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ineacomunicacionesco-my.sharepoint.com/personal/lini_hernandez_lineacom_co/Documents/CONSOLIDADO PRODUCCIÓN 2025/NOVIEMBRE/LIQUIDACIONES WOMPI/"/>
    </mc:Choice>
  </mc:AlternateContent>
  <xr:revisionPtr revIDLastSave="3" documentId="13_ncr:1_{3AE73DC6-64E3-4ED6-A3A1-D04E37C0D5CD}" xr6:coauthVersionLast="47" xr6:coauthVersionMax="47" xr10:uidLastSave="{325949EC-1DE3-45C5-BBAE-13D9AADCA0B1}"/>
  <bookViews>
    <workbookView xWindow="28680" yWindow="-120" windowWidth="29040" windowHeight="15720" xr2:uid="{00000000-000D-0000-FFFF-FFFF00000000}"/>
  </bookViews>
  <sheets>
    <sheet name="RESUMEN" sheetId="5" r:id="rId1"/>
    <sheet name="BASE TARIFA 2025" sheetId="4" r:id="rId2"/>
    <sheet name="MIGRACIONES LINEACOM" sheetId="6" r:id="rId3"/>
    <sheet name="TD" sheetId="8" state="hidden" r:id="rId4"/>
  </sheets>
  <externalReferences>
    <externalReference r:id="rId5"/>
  </externalReferences>
  <definedNames>
    <definedName name="_xlnm._FilterDatabase" localSheetId="2" hidden="1">'MIGRACIONES LINEACOM'!$A$1:$R$363</definedName>
  </definedNames>
  <calcPr calcId="191028"/>
  <pivotCaches>
    <pivotCache cacheId="80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" i="5" l="1"/>
  <c r="O3" i="6"/>
  <c r="O4" i="6"/>
  <c r="O5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3" i="6"/>
  <c r="O34" i="6"/>
  <c r="O35" i="6"/>
  <c r="O36" i="6"/>
  <c r="O37" i="6"/>
  <c r="O38" i="6"/>
  <c r="O39" i="6"/>
  <c r="O40" i="6"/>
  <c r="O41" i="6"/>
  <c r="O42" i="6"/>
  <c r="O43" i="6"/>
  <c r="O44" i="6"/>
  <c r="O45" i="6"/>
  <c r="O46" i="6"/>
  <c r="O47" i="6"/>
  <c r="O48" i="6"/>
  <c r="O49" i="6"/>
  <c r="O50" i="6"/>
  <c r="O51" i="6"/>
  <c r="O52" i="6"/>
  <c r="O53" i="6"/>
  <c r="O54" i="6"/>
  <c r="O55" i="6"/>
  <c r="O56" i="6"/>
  <c r="O57" i="6"/>
  <c r="O58" i="6"/>
  <c r="O59" i="6"/>
  <c r="O60" i="6"/>
  <c r="O61" i="6"/>
  <c r="O62" i="6"/>
  <c r="O63" i="6"/>
  <c r="O64" i="6"/>
  <c r="O65" i="6"/>
  <c r="O66" i="6"/>
  <c r="O67" i="6"/>
  <c r="O68" i="6"/>
  <c r="O69" i="6"/>
  <c r="O70" i="6"/>
  <c r="O71" i="6"/>
  <c r="O72" i="6"/>
  <c r="O73" i="6"/>
  <c r="O74" i="6"/>
  <c r="O75" i="6"/>
  <c r="O76" i="6"/>
  <c r="O77" i="6"/>
  <c r="O78" i="6"/>
  <c r="O79" i="6"/>
  <c r="O80" i="6"/>
  <c r="O81" i="6"/>
  <c r="O82" i="6"/>
  <c r="O83" i="6"/>
  <c r="O84" i="6"/>
  <c r="O85" i="6"/>
  <c r="O86" i="6"/>
  <c r="O87" i="6"/>
  <c r="O88" i="6"/>
  <c r="O89" i="6"/>
  <c r="O90" i="6"/>
  <c r="O91" i="6"/>
  <c r="O92" i="6"/>
  <c r="O93" i="6"/>
  <c r="O94" i="6"/>
  <c r="O95" i="6"/>
  <c r="O96" i="6"/>
  <c r="O97" i="6"/>
  <c r="O98" i="6"/>
  <c r="O99" i="6"/>
  <c r="O100" i="6"/>
  <c r="O101" i="6"/>
  <c r="O102" i="6"/>
  <c r="O103" i="6"/>
  <c r="O104" i="6"/>
  <c r="O105" i="6"/>
  <c r="O106" i="6"/>
  <c r="O107" i="6"/>
  <c r="O108" i="6"/>
  <c r="O109" i="6"/>
  <c r="O110" i="6"/>
  <c r="O111" i="6"/>
  <c r="O112" i="6"/>
  <c r="O113" i="6"/>
  <c r="O114" i="6"/>
  <c r="O115" i="6"/>
  <c r="O116" i="6"/>
  <c r="O117" i="6"/>
  <c r="O118" i="6"/>
  <c r="O119" i="6"/>
  <c r="O120" i="6"/>
  <c r="O121" i="6"/>
  <c r="O122" i="6"/>
  <c r="O123" i="6"/>
  <c r="O124" i="6"/>
  <c r="O125" i="6"/>
  <c r="O126" i="6"/>
  <c r="O127" i="6"/>
  <c r="O128" i="6"/>
  <c r="O129" i="6"/>
  <c r="O130" i="6"/>
  <c r="O131" i="6"/>
  <c r="O132" i="6"/>
  <c r="O133" i="6"/>
  <c r="O134" i="6"/>
  <c r="O135" i="6"/>
  <c r="O136" i="6"/>
  <c r="O137" i="6"/>
  <c r="O138" i="6"/>
  <c r="O139" i="6"/>
  <c r="O140" i="6"/>
  <c r="O141" i="6"/>
  <c r="O142" i="6"/>
  <c r="O143" i="6"/>
  <c r="O144" i="6"/>
  <c r="O145" i="6"/>
  <c r="O146" i="6"/>
  <c r="O147" i="6"/>
  <c r="O148" i="6"/>
  <c r="O149" i="6"/>
  <c r="O150" i="6"/>
  <c r="O151" i="6"/>
  <c r="O152" i="6"/>
  <c r="O153" i="6"/>
  <c r="O154" i="6"/>
  <c r="O155" i="6"/>
  <c r="O156" i="6"/>
  <c r="O157" i="6"/>
  <c r="O158" i="6"/>
  <c r="O159" i="6"/>
  <c r="O160" i="6"/>
  <c r="O161" i="6"/>
  <c r="O162" i="6"/>
  <c r="O163" i="6"/>
  <c r="O164" i="6"/>
  <c r="O165" i="6"/>
  <c r="O166" i="6"/>
  <c r="O167" i="6"/>
  <c r="O168" i="6"/>
  <c r="O169" i="6"/>
  <c r="O170" i="6"/>
  <c r="O171" i="6"/>
  <c r="O172" i="6"/>
  <c r="O173" i="6"/>
  <c r="O174" i="6"/>
  <c r="O175" i="6"/>
  <c r="O176" i="6"/>
  <c r="O177" i="6"/>
  <c r="O178" i="6"/>
  <c r="O179" i="6"/>
  <c r="O180" i="6"/>
  <c r="O181" i="6"/>
  <c r="O182" i="6"/>
  <c r="O183" i="6"/>
  <c r="O184" i="6"/>
  <c r="O185" i="6"/>
  <c r="O186" i="6"/>
  <c r="O187" i="6"/>
  <c r="O188" i="6"/>
  <c r="O189" i="6"/>
  <c r="O190" i="6"/>
  <c r="O191" i="6"/>
  <c r="O192" i="6"/>
  <c r="O193" i="6"/>
  <c r="O194" i="6"/>
  <c r="O195" i="6"/>
  <c r="O196" i="6"/>
  <c r="O197" i="6"/>
  <c r="O198" i="6"/>
  <c r="O199" i="6"/>
  <c r="O200" i="6"/>
  <c r="O201" i="6"/>
  <c r="O202" i="6"/>
  <c r="O203" i="6"/>
  <c r="O204" i="6"/>
  <c r="O205" i="6"/>
  <c r="O206" i="6"/>
  <c r="O207" i="6"/>
  <c r="O208" i="6"/>
  <c r="O209" i="6"/>
  <c r="O210" i="6"/>
  <c r="O211" i="6"/>
  <c r="O212" i="6"/>
  <c r="O213" i="6"/>
  <c r="O214" i="6"/>
  <c r="O215" i="6"/>
  <c r="O216" i="6"/>
  <c r="O217" i="6"/>
  <c r="O218" i="6"/>
  <c r="O219" i="6"/>
  <c r="O220" i="6"/>
  <c r="O221" i="6"/>
  <c r="O222" i="6"/>
  <c r="O223" i="6"/>
  <c r="O224" i="6"/>
  <c r="O225" i="6"/>
  <c r="O226" i="6"/>
  <c r="O227" i="6"/>
  <c r="O228" i="6"/>
  <c r="O229" i="6"/>
  <c r="O230" i="6"/>
  <c r="O231" i="6"/>
  <c r="O232" i="6"/>
  <c r="O233" i="6"/>
  <c r="O234" i="6"/>
  <c r="O235" i="6"/>
  <c r="O236" i="6"/>
  <c r="O237" i="6"/>
  <c r="O238" i="6"/>
  <c r="O239" i="6"/>
  <c r="O240" i="6"/>
  <c r="O241" i="6"/>
  <c r="O242" i="6"/>
  <c r="O243" i="6"/>
  <c r="O244" i="6"/>
  <c r="O245" i="6"/>
  <c r="O246" i="6"/>
  <c r="O247" i="6"/>
  <c r="O248" i="6"/>
  <c r="O249" i="6"/>
  <c r="O250" i="6"/>
  <c r="O251" i="6"/>
  <c r="O252" i="6"/>
  <c r="O253" i="6"/>
  <c r="O254" i="6"/>
  <c r="O255" i="6"/>
  <c r="O256" i="6"/>
  <c r="O257" i="6"/>
  <c r="O258" i="6"/>
  <c r="O259" i="6"/>
  <c r="O260" i="6"/>
  <c r="O261" i="6"/>
  <c r="O262" i="6"/>
  <c r="O263" i="6"/>
  <c r="O264" i="6"/>
  <c r="O265" i="6"/>
  <c r="O266" i="6"/>
  <c r="O267" i="6"/>
  <c r="O268" i="6"/>
  <c r="O269" i="6"/>
  <c r="O270" i="6"/>
  <c r="O271" i="6"/>
  <c r="O272" i="6"/>
  <c r="O273" i="6"/>
  <c r="O274" i="6"/>
  <c r="O275" i="6"/>
  <c r="O276" i="6"/>
  <c r="O277" i="6"/>
  <c r="O278" i="6"/>
  <c r="O279" i="6"/>
  <c r="O280" i="6"/>
  <c r="O281" i="6"/>
  <c r="O282" i="6"/>
  <c r="O283" i="6"/>
  <c r="O284" i="6"/>
  <c r="O285" i="6"/>
  <c r="O286" i="6"/>
  <c r="O287" i="6"/>
  <c r="O288" i="6"/>
  <c r="O289" i="6"/>
  <c r="O290" i="6"/>
  <c r="O291" i="6"/>
  <c r="O292" i="6"/>
  <c r="O293" i="6"/>
  <c r="O294" i="6"/>
  <c r="O295" i="6"/>
  <c r="O296" i="6"/>
  <c r="O297" i="6"/>
  <c r="O298" i="6"/>
  <c r="O299" i="6"/>
  <c r="O300" i="6"/>
  <c r="O301" i="6"/>
  <c r="O302" i="6"/>
  <c r="O303" i="6"/>
  <c r="O304" i="6"/>
  <c r="O305" i="6"/>
  <c r="O306" i="6"/>
  <c r="O307" i="6"/>
  <c r="O308" i="6"/>
  <c r="O309" i="6"/>
  <c r="O310" i="6"/>
  <c r="O311" i="6"/>
  <c r="O312" i="6"/>
  <c r="O313" i="6"/>
  <c r="O314" i="6"/>
  <c r="O315" i="6"/>
  <c r="O316" i="6"/>
  <c r="O317" i="6"/>
  <c r="O318" i="6"/>
  <c r="O319" i="6"/>
  <c r="O320" i="6"/>
  <c r="O321" i="6"/>
  <c r="O322" i="6"/>
  <c r="O323" i="6"/>
  <c r="O324" i="6"/>
  <c r="O325" i="6"/>
  <c r="O326" i="6"/>
  <c r="O327" i="6"/>
  <c r="O328" i="6"/>
  <c r="O329" i="6"/>
  <c r="O330" i="6"/>
  <c r="O331" i="6"/>
  <c r="O332" i="6"/>
  <c r="O333" i="6"/>
  <c r="O334" i="6"/>
  <c r="O335" i="6"/>
  <c r="O336" i="6"/>
  <c r="O337" i="6"/>
  <c r="O338" i="6"/>
  <c r="O339" i="6"/>
  <c r="O340" i="6"/>
  <c r="O341" i="6"/>
  <c r="O342" i="6"/>
  <c r="O343" i="6"/>
  <c r="O344" i="6"/>
  <c r="O345" i="6"/>
  <c r="O346" i="6"/>
  <c r="O347" i="6"/>
  <c r="O348" i="6"/>
  <c r="O349" i="6"/>
  <c r="O350" i="6"/>
  <c r="O351" i="6"/>
  <c r="O352" i="6"/>
  <c r="O353" i="6"/>
  <c r="O354" i="6"/>
  <c r="O355" i="6"/>
  <c r="O356" i="6"/>
  <c r="O357" i="6"/>
  <c r="O358" i="6"/>
  <c r="O359" i="6"/>
  <c r="O360" i="6"/>
  <c r="O361" i="6"/>
  <c r="O362" i="6"/>
  <c r="O2" i="6"/>
  <c r="Q3" i="6" l="1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40" i="6"/>
  <c r="Q41" i="6"/>
  <c r="Q42" i="6"/>
  <c r="Q43" i="6"/>
  <c r="Q44" i="6"/>
  <c r="Q45" i="6"/>
  <c r="Q46" i="6"/>
  <c r="Q47" i="6"/>
  <c r="Q48" i="6"/>
  <c r="Q49" i="6"/>
  <c r="Q50" i="6"/>
  <c r="Q51" i="6"/>
  <c r="Q52" i="6"/>
  <c r="Q53" i="6"/>
  <c r="Q54" i="6"/>
  <c r="Q55" i="6"/>
  <c r="Q56" i="6"/>
  <c r="Q57" i="6"/>
  <c r="Q58" i="6"/>
  <c r="Q59" i="6"/>
  <c r="Q60" i="6"/>
  <c r="Q61" i="6"/>
  <c r="Q62" i="6"/>
  <c r="Q63" i="6"/>
  <c r="Q64" i="6"/>
  <c r="Q65" i="6"/>
  <c r="Q66" i="6"/>
  <c r="Q67" i="6"/>
  <c r="Q68" i="6"/>
  <c r="Q69" i="6"/>
  <c r="Q70" i="6"/>
  <c r="Q71" i="6"/>
  <c r="Q72" i="6"/>
  <c r="Q73" i="6"/>
  <c r="Q74" i="6"/>
  <c r="Q75" i="6"/>
  <c r="Q76" i="6"/>
  <c r="Q77" i="6"/>
  <c r="Q78" i="6"/>
  <c r="Q79" i="6"/>
  <c r="Q80" i="6"/>
  <c r="Q81" i="6"/>
  <c r="Q82" i="6"/>
  <c r="Q83" i="6"/>
  <c r="Q84" i="6"/>
  <c r="Q85" i="6"/>
  <c r="Q86" i="6"/>
  <c r="Q87" i="6"/>
  <c r="Q88" i="6"/>
  <c r="Q89" i="6"/>
  <c r="Q90" i="6"/>
  <c r="Q91" i="6"/>
  <c r="Q92" i="6"/>
  <c r="Q93" i="6"/>
  <c r="Q94" i="6"/>
  <c r="Q95" i="6"/>
  <c r="Q96" i="6"/>
  <c r="Q97" i="6"/>
  <c r="Q98" i="6"/>
  <c r="Q99" i="6"/>
  <c r="Q100" i="6"/>
  <c r="Q101" i="6"/>
  <c r="Q102" i="6"/>
  <c r="Q103" i="6"/>
  <c r="Q104" i="6"/>
  <c r="Q105" i="6"/>
  <c r="Q106" i="6"/>
  <c r="Q107" i="6"/>
  <c r="Q108" i="6"/>
  <c r="Q109" i="6"/>
  <c r="Q110" i="6"/>
  <c r="Q111" i="6"/>
  <c r="Q112" i="6"/>
  <c r="Q113" i="6"/>
  <c r="Q114" i="6"/>
  <c r="Q115" i="6"/>
  <c r="Q116" i="6"/>
  <c r="Q117" i="6"/>
  <c r="Q118" i="6"/>
  <c r="Q119" i="6"/>
  <c r="Q120" i="6"/>
  <c r="Q121" i="6"/>
  <c r="Q122" i="6"/>
  <c r="Q123" i="6"/>
  <c r="Q124" i="6"/>
  <c r="Q125" i="6"/>
  <c r="Q126" i="6"/>
  <c r="Q127" i="6"/>
  <c r="Q128" i="6"/>
  <c r="Q129" i="6"/>
  <c r="Q130" i="6"/>
  <c r="Q131" i="6"/>
  <c r="Q132" i="6"/>
  <c r="Q133" i="6"/>
  <c r="Q134" i="6"/>
  <c r="Q135" i="6"/>
  <c r="Q136" i="6"/>
  <c r="Q137" i="6"/>
  <c r="Q138" i="6"/>
  <c r="Q139" i="6"/>
  <c r="Q140" i="6"/>
  <c r="Q141" i="6"/>
  <c r="Q142" i="6"/>
  <c r="Q143" i="6"/>
  <c r="Q144" i="6"/>
  <c r="Q145" i="6"/>
  <c r="Q146" i="6"/>
  <c r="Q147" i="6"/>
  <c r="Q148" i="6"/>
  <c r="Q149" i="6"/>
  <c r="Q150" i="6"/>
  <c r="Q151" i="6"/>
  <c r="Q152" i="6"/>
  <c r="Q153" i="6"/>
  <c r="Q154" i="6"/>
  <c r="Q155" i="6"/>
  <c r="Q156" i="6"/>
  <c r="Q157" i="6"/>
  <c r="Q158" i="6"/>
  <c r="Q159" i="6"/>
  <c r="Q160" i="6"/>
  <c r="Q161" i="6"/>
  <c r="Q162" i="6"/>
  <c r="Q163" i="6"/>
  <c r="Q164" i="6"/>
  <c r="Q165" i="6"/>
  <c r="Q166" i="6"/>
  <c r="Q167" i="6"/>
  <c r="Q168" i="6"/>
  <c r="Q169" i="6"/>
  <c r="Q170" i="6"/>
  <c r="Q171" i="6"/>
  <c r="Q172" i="6"/>
  <c r="Q173" i="6"/>
  <c r="Q174" i="6"/>
  <c r="Q175" i="6"/>
  <c r="Q176" i="6"/>
  <c r="Q177" i="6"/>
  <c r="Q178" i="6"/>
  <c r="Q179" i="6"/>
  <c r="Q180" i="6"/>
  <c r="Q181" i="6"/>
  <c r="Q182" i="6"/>
  <c r="Q183" i="6"/>
  <c r="Q184" i="6"/>
  <c r="Q185" i="6"/>
  <c r="Q186" i="6"/>
  <c r="Q187" i="6"/>
  <c r="Q188" i="6"/>
  <c r="Q189" i="6"/>
  <c r="Q190" i="6"/>
  <c r="Q191" i="6"/>
  <c r="Q192" i="6"/>
  <c r="Q193" i="6"/>
  <c r="Q194" i="6"/>
  <c r="Q195" i="6"/>
  <c r="Q196" i="6"/>
  <c r="Q197" i="6"/>
  <c r="Q198" i="6"/>
  <c r="Q199" i="6"/>
  <c r="Q200" i="6"/>
  <c r="Q201" i="6"/>
  <c r="Q202" i="6"/>
  <c r="Q203" i="6"/>
  <c r="Q204" i="6"/>
  <c r="Q205" i="6"/>
  <c r="Q206" i="6"/>
  <c r="Q207" i="6"/>
  <c r="Q208" i="6"/>
  <c r="Q209" i="6"/>
  <c r="Q210" i="6"/>
  <c r="Q211" i="6"/>
  <c r="Q212" i="6"/>
  <c r="Q213" i="6"/>
  <c r="Q214" i="6"/>
  <c r="Q215" i="6"/>
  <c r="Q216" i="6"/>
  <c r="Q217" i="6"/>
  <c r="Q218" i="6"/>
  <c r="Q219" i="6"/>
  <c r="Q220" i="6"/>
  <c r="Q221" i="6"/>
  <c r="Q222" i="6"/>
  <c r="Q223" i="6"/>
  <c r="Q224" i="6"/>
  <c r="Q225" i="6"/>
  <c r="Q226" i="6"/>
  <c r="Q227" i="6"/>
  <c r="Q228" i="6"/>
  <c r="R228" i="6" s="1"/>
  <c r="Q229" i="6"/>
  <c r="Q230" i="6"/>
  <c r="Q231" i="6"/>
  <c r="Q232" i="6"/>
  <c r="Q233" i="6"/>
  <c r="Q234" i="6"/>
  <c r="Q235" i="6"/>
  <c r="Q236" i="6"/>
  <c r="Q237" i="6"/>
  <c r="Q238" i="6"/>
  <c r="Q239" i="6"/>
  <c r="Q240" i="6"/>
  <c r="Q241" i="6"/>
  <c r="Q242" i="6"/>
  <c r="Q243" i="6"/>
  <c r="Q244" i="6"/>
  <c r="Q245" i="6"/>
  <c r="Q246" i="6"/>
  <c r="Q247" i="6"/>
  <c r="Q248" i="6"/>
  <c r="Q249" i="6"/>
  <c r="Q250" i="6"/>
  <c r="Q251" i="6"/>
  <c r="Q252" i="6"/>
  <c r="Q253" i="6"/>
  <c r="Q254" i="6"/>
  <c r="Q255" i="6"/>
  <c r="Q256" i="6"/>
  <c r="Q257" i="6"/>
  <c r="Q258" i="6"/>
  <c r="Q259" i="6"/>
  <c r="Q260" i="6"/>
  <c r="Q261" i="6"/>
  <c r="Q262" i="6"/>
  <c r="Q263" i="6"/>
  <c r="Q264" i="6"/>
  <c r="Q265" i="6"/>
  <c r="Q266" i="6"/>
  <c r="Q267" i="6"/>
  <c r="Q268" i="6"/>
  <c r="Q269" i="6"/>
  <c r="Q270" i="6"/>
  <c r="Q271" i="6"/>
  <c r="Q272" i="6"/>
  <c r="Q273" i="6"/>
  <c r="Q274" i="6"/>
  <c r="Q275" i="6"/>
  <c r="Q276" i="6"/>
  <c r="Q277" i="6"/>
  <c r="Q278" i="6"/>
  <c r="Q279" i="6"/>
  <c r="Q280" i="6"/>
  <c r="Q281" i="6"/>
  <c r="Q282" i="6"/>
  <c r="Q283" i="6"/>
  <c r="Q284" i="6"/>
  <c r="Q285" i="6"/>
  <c r="Q286" i="6"/>
  <c r="Q287" i="6"/>
  <c r="Q288" i="6"/>
  <c r="Q289" i="6"/>
  <c r="Q290" i="6"/>
  <c r="Q291" i="6"/>
  <c r="Q292" i="6"/>
  <c r="Q293" i="6"/>
  <c r="Q294" i="6"/>
  <c r="Q295" i="6"/>
  <c r="Q296" i="6"/>
  <c r="Q297" i="6"/>
  <c r="Q298" i="6"/>
  <c r="Q299" i="6"/>
  <c r="Q300" i="6"/>
  <c r="Q301" i="6"/>
  <c r="Q302" i="6"/>
  <c r="Q303" i="6"/>
  <c r="Q304" i="6"/>
  <c r="Q305" i="6"/>
  <c r="Q306" i="6"/>
  <c r="Q307" i="6"/>
  <c r="Q308" i="6"/>
  <c r="Q309" i="6"/>
  <c r="Q310" i="6"/>
  <c r="Q311" i="6"/>
  <c r="Q312" i="6"/>
  <c r="Q313" i="6"/>
  <c r="Q314" i="6"/>
  <c r="Q315" i="6"/>
  <c r="Q316" i="6"/>
  <c r="Q317" i="6"/>
  <c r="Q318" i="6"/>
  <c r="Q319" i="6"/>
  <c r="Q320" i="6"/>
  <c r="Q321" i="6"/>
  <c r="Q322" i="6"/>
  <c r="Q323" i="6"/>
  <c r="Q324" i="6"/>
  <c r="Q325" i="6"/>
  <c r="Q326" i="6"/>
  <c r="Q327" i="6"/>
  <c r="Q328" i="6"/>
  <c r="Q329" i="6"/>
  <c r="Q330" i="6"/>
  <c r="Q331" i="6"/>
  <c r="Q332" i="6"/>
  <c r="Q333" i="6"/>
  <c r="Q334" i="6"/>
  <c r="Q335" i="6"/>
  <c r="Q336" i="6"/>
  <c r="Q337" i="6"/>
  <c r="Q338" i="6"/>
  <c r="Q339" i="6"/>
  <c r="Q340" i="6"/>
  <c r="Q341" i="6"/>
  <c r="Q342" i="6"/>
  <c r="Q343" i="6"/>
  <c r="Q344" i="6"/>
  <c r="Q345" i="6"/>
  <c r="Q346" i="6"/>
  <c r="Q347" i="6"/>
  <c r="Q348" i="6"/>
  <c r="Q349" i="6"/>
  <c r="Q350" i="6"/>
  <c r="Q351" i="6"/>
  <c r="Q352" i="6"/>
  <c r="Q353" i="6"/>
  <c r="Q354" i="6"/>
  <c r="Q355" i="6"/>
  <c r="Q356" i="6"/>
  <c r="Q357" i="6"/>
  <c r="Q358" i="6"/>
  <c r="Q359" i="6"/>
  <c r="Q360" i="6"/>
  <c r="Q361" i="6"/>
  <c r="Q362" i="6"/>
  <c r="N3" i="6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N65" i="6"/>
  <c r="N66" i="6"/>
  <c r="N67" i="6"/>
  <c r="N68" i="6"/>
  <c r="N69" i="6"/>
  <c r="N70" i="6"/>
  <c r="N71" i="6"/>
  <c r="N72" i="6"/>
  <c r="N73" i="6"/>
  <c r="N74" i="6"/>
  <c r="N75" i="6"/>
  <c r="N76" i="6"/>
  <c r="N77" i="6"/>
  <c r="N78" i="6"/>
  <c r="N79" i="6"/>
  <c r="N80" i="6"/>
  <c r="N81" i="6"/>
  <c r="N82" i="6"/>
  <c r="N83" i="6"/>
  <c r="N84" i="6"/>
  <c r="N85" i="6"/>
  <c r="N86" i="6"/>
  <c r="N87" i="6"/>
  <c r="N88" i="6"/>
  <c r="N89" i="6"/>
  <c r="N90" i="6"/>
  <c r="N91" i="6"/>
  <c r="N92" i="6"/>
  <c r="N93" i="6"/>
  <c r="N94" i="6"/>
  <c r="N95" i="6"/>
  <c r="N96" i="6"/>
  <c r="N97" i="6"/>
  <c r="N98" i="6"/>
  <c r="N99" i="6"/>
  <c r="N100" i="6"/>
  <c r="N101" i="6"/>
  <c r="N102" i="6"/>
  <c r="N103" i="6"/>
  <c r="N104" i="6"/>
  <c r="N105" i="6"/>
  <c r="N106" i="6"/>
  <c r="N107" i="6"/>
  <c r="N108" i="6"/>
  <c r="N109" i="6"/>
  <c r="N110" i="6"/>
  <c r="N111" i="6"/>
  <c r="N112" i="6"/>
  <c r="N113" i="6"/>
  <c r="N114" i="6"/>
  <c r="N115" i="6"/>
  <c r="N116" i="6"/>
  <c r="N117" i="6"/>
  <c r="N118" i="6"/>
  <c r="N119" i="6"/>
  <c r="N120" i="6"/>
  <c r="N121" i="6"/>
  <c r="N122" i="6"/>
  <c r="N123" i="6"/>
  <c r="N124" i="6"/>
  <c r="N125" i="6"/>
  <c r="N126" i="6"/>
  <c r="N127" i="6"/>
  <c r="N128" i="6"/>
  <c r="N129" i="6"/>
  <c r="N130" i="6"/>
  <c r="N131" i="6"/>
  <c r="N132" i="6"/>
  <c r="N133" i="6"/>
  <c r="N134" i="6"/>
  <c r="N135" i="6"/>
  <c r="N136" i="6"/>
  <c r="N137" i="6"/>
  <c r="N138" i="6"/>
  <c r="N139" i="6"/>
  <c r="N140" i="6"/>
  <c r="N141" i="6"/>
  <c r="N142" i="6"/>
  <c r="N143" i="6"/>
  <c r="N144" i="6"/>
  <c r="N145" i="6"/>
  <c r="N146" i="6"/>
  <c r="N147" i="6"/>
  <c r="N148" i="6"/>
  <c r="N149" i="6"/>
  <c r="N150" i="6"/>
  <c r="N151" i="6"/>
  <c r="N152" i="6"/>
  <c r="N153" i="6"/>
  <c r="N154" i="6"/>
  <c r="N155" i="6"/>
  <c r="N156" i="6"/>
  <c r="N157" i="6"/>
  <c r="N158" i="6"/>
  <c r="N159" i="6"/>
  <c r="N160" i="6"/>
  <c r="N161" i="6"/>
  <c r="N162" i="6"/>
  <c r="N163" i="6"/>
  <c r="N164" i="6"/>
  <c r="N165" i="6"/>
  <c r="N166" i="6"/>
  <c r="N167" i="6"/>
  <c r="N168" i="6"/>
  <c r="N169" i="6"/>
  <c r="N170" i="6"/>
  <c r="N171" i="6"/>
  <c r="N172" i="6"/>
  <c r="N173" i="6"/>
  <c r="N174" i="6"/>
  <c r="N175" i="6"/>
  <c r="N176" i="6"/>
  <c r="N177" i="6"/>
  <c r="N178" i="6"/>
  <c r="N179" i="6"/>
  <c r="N180" i="6"/>
  <c r="N181" i="6"/>
  <c r="N182" i="6"/>
  <c r="N183" i="6"/>
  <c r="N184" i="6"/>
  <c r="N185" i="6"/>
  <c r="N186" i="6"/>
  <c r="N187" i="6"/>
  <c r="N188" i="6"/>
  <c r="N189" i="6"/>
  <c r="N190" i="6"/>
  <c r="N191" i="6"/>
  <c r="N192" i="6"/>
  <c r="N193" i="6"/>
  <c r="N194" i="6"/>
  <c r="N195" i="6"/>
  <c r="N196" i="6"/>
  <c r="N197" i="6"/>
  <c r="N198" i="6"/>
  <c r="N199" i="6"/>
  <c r="N200" i="6"/>
  <c r="N201" i="6"/>
  <c r="N202" i="6"/>
  <c r="N203" i="6"/>
  <c r="N204" i="6"/>
  <c r="N205" i="6"/>
  <c r="N206" i="6"/>
  <c r="N207" i="6"/>
  <c r="N208" i="6"/>
  <c r="N209" i="6"/>
  <c r="N210" i="6"/>
  <c r="N211" i="6"/>
  <c r="N212" i="6"/>
  <c r="N213" i="6"/>
  <c r="N214" i="6"/>
  <c r="N215" i="6"/>
  <c r="N216" i="6"/>
  <c r="N217" i="6"/>
  <c r="N218" i="6"/>
  <c r="N219" i="6"/>
  <c r="N220" i="6"/>
  <c r="N221" i="6"/>
  <c r="N222" i="6"/>
  <c r="N223" i="6"/>
  <c r="N224" i="6"/>
  <c r="N225" i="6"/>
  <c r="N226" i="6"/>
  <c r="N227" i="6"/>
  <c r="N228" i="6"/>
  <c r="N229" i="6"/>
  <c r="N230" i="6"/>
  <c r="N231" i="6"/>
  <c r="N232" i="6"/>
  <c r="N233" i="6"/>
  <c r="N234" i="6"/>
  <c r="N235" i="6"/>
  <c r="N236" i="6"/>
  <c r="N237" i="6"/>
  <c r="N238" i="6"/>
  <c r="N239" i="6"/>
  <c r="N240" i="6"/>
  <c r="N241" i="6"/>
  <c r="N242" i="6"/>
  <c r="N243" i="6"/>
  <c r="N244" i="6"/>
  <c r="N245" i="6"/>
  <c r="N246" i="6"/>
  <c r="N247" i="6"/>
  <c r="N248" i="6"/>
  <c r="N249" i="6"/>
  <c r="N250" i="6"/>
  <c r="N251" i="6"/>
  <c r="N252" i="6"/>
  <c r="N253" i="6"/>
  <c r="N254" i="6"/>
  <c r="N255" i="6"/>
  <c r="N256" i="6"/>
  <c r="N257" i="6"/>
  <c r="N258" i="6"/>
  <c r="N259" i="6"/>
  <c r="N260" i="6"/>
  <c r="N261" i="6"/>
  <c r="N262" i="6"/>
  <c r="N263" i="6"/>
  <c r="N264" i="6"/>
  <c r="N265" i="6"/>
  <c r="N266" i="6"/>
  <c r="N267" i="6"/>
  <c r="N268" i="6"/>
  <c r="N269" i="6"/>
  <c r="N270" i="6"/>
  <c r="N271" i="6"/>
  <c r="N272" i="6"/>
  <c r="N273" i="6"/>
  <c r="N274" i="6"/>
  <c r="N275" i="6"/>
  <c r="N276" i="6"/>
  <c r="N277" i="6"/>
  <c r="N278" i="6"/>
  <c r="N279" i="6"/>
  <c r="N280" i="6"/>
  <c r="N281" i="6"/>
  <c r="N282" i="6"/>
  <c r="N283" i="6"/>
  <c r="N284" i="6"/>
  <c r="N285" i="6"/>
  <c r="N286" i="6"/>
  <c r="N287" i="6"/>
  <c r="N288" i="6"/>
  <c r="N289" i="6"/>
  <c r="N290" i="6"/>
  <c r="N291" i="6"/>
  <c r="N292" i="6"/>
  <c r="N293" i="6"/>
  <c r="N294" i="6"/>
  <c r="N295" i="6"/>
  <c r="N296" i="6"/>
  <c r="N297" i="6"/>
  <c r="N298" i="6"/>
  <c r="N299" i="6"/>
  <c r="N300" i="6"/>
  <c r="N301" i="6"/>
  <c r="N302" i="6"/>
  <c r="N303" i="6"/>
  <c r="N304" i="6"/>
  <c r="N305" i="6"/>
  <c r="N306" i="6"/>
  <c r="N307" i="6"/>
  <c r="N308" i="6"/>
  <c r="N309" i="6"/>
  <c r="N310" i="6"/>
  <c r="N311" i="6"/>
  <c r="N312" i="6"/>
  <c r="N313" i="6"/>
  <c r="N314" i="6"/>
  <c r="N315" i="6"/>
  <c r="N316" i="6"/>
  <c r="N317" i="6"/>
  <c r="N318" i="6"/>
  <c r="N319" i="6"/>
  <c r="N320" i="6"/>
  <c r="N321" i="6"/>
  <c r="N322" i="6"/>
  <c r="N323" i="6"/>
  <c r="N324" i="6"/>
  <c r="N325" i="6"/>
  <c r="N326" i="6"/>
  <c r="N327" i="6"/>
  <c r="N328" i="6"/>
  <c r="N329" i="6"/>
  <c r="N330" i="6"/>
  <c r="N331" i="6"/>
  <c r="N332" i="6"/>
  <c r="N333" i="6"/>
  <c r="N334" i="6"/>
  <c r="N335" i="6"/>
  <c r="N336" i="6"/>
  <c r="N337" i="6"/>
  <c r="N338" i="6"/>
  <c r="N339" i="6"/>
  <c r="N340" i="6"/>
  <c r="N341" i="6"/>
  <c r="N342" i="6"/>
  <c r="N343" i="6"/>
  <c r="N344" i="6"/>
  <c r="N345" i="6"/>
  <c r="N346" i="6"/>
  <c r="N347" i="6"/>
  <c r="N348" i="6"/>
  <c r="N349" i="6"/>
  <c r="N350" i="6"/>
  <c r="N351" i="6"/>
  <c r="N352" i="6"/>
  <c r="N353" i="6"/>
  <c r="N354" i="6"/>
  <c r="N355" i="6"/>
  <c r="N356" i="6"/>
  <c r="N357" i="6"/>
  <c r="N358" i="6"/>
  <c r="N359" i="6"/>
  <c r="N360" i="6"/>
  <c r="N361" i="6"/>
  <c r="N362" i="6"/>
  <c r="N2" i="6"/>
  <c r="M3" i="6"/>
  <c r="P3" i="6" s="1"/>
  <c r="M4" i="6"/>
  <c r="P4" i="6" s="1"/>
  <c r="M5" i="6"/>
  <c r="P5" i="6" s="1"/>
  <c r="R5" i="6" s="1"/>
  <c r="M6" i="6"/>
  <c r="P6" i="6" s="1"/>
  <c r="R6" i="6" s="1"/>
  <c r="M7" i="6"/>
  <c r="P7" i="6" s="1"/>
  <c r="M8" i="6"/>
  <c r="P8" i="6" s="1"/>
  <c r="M9" i="6"/>
  <c r="P9" i="6" s="1"/>
  <c r="M10" i="6"/>
  <c r="P10" i="6" s="1"/>
  <c r="M11" i="6"/>
  <c r="P11" i="6" s="1"/>
  <c r="M12" i="6"/>
  <c r="P12" i="6" s="1"/>
  <c r="M13" i="6"/>
  <c r="P13" i="6" s="1"/>
  <c r="M14" i="6"/>
  <c r="P14" i="6" s="1"/>
  <c r="M15" i="6"/>
  <c r="P15" i="6" s="1"/>
  <c r="M16" i="6"/>
  <c r="P16" i="6" s="1"/>
  <c r="R16" i="6" s="1"/>
  <c r="M17" i="6"/>
  <c r="P17" i="6" s="1"/>
  <c r="R17" i="6" s="1"/>
  <c r="M18" i="6"/>
  <c r="P18" i="6" s="1"/>
  <c r="R18" i="6" s="1"/>
  <c r="M19" i="6"/>
  <c r="P19" i="6" s="1"/>
  <c r="M20" i="6"/>
  <c r="P20" i="6" s="1"/>
  <c r="M21" i="6"/>
  <c r="P21" i="6" s="1"/>
  <c r="M22" i="6"/>
  <c r="P22" i="6" s="1"/>
  <c r="M23" i="6"/>
  <c r="P23" i="6" s="1"/>
  <c r="M24" i="6"/>
  <c r="P24" i="6" s="1"/>
  <c r="M25" i="6"/>
  <c r="P25" i="6" s="1"/>
  <c r="M26" i="6"/>
  <c r="P26" i="6" s="1"/>
  <c r="M27" i="6"/>
  <c r="P27" i="6" s="1"/>
  <c r="M28" i="6"/>
  <c r="P28" i="6" s="1"/>
  <c r="R28" i="6" s="1"/>
  <c r="M29" i="6"/>
  <c r="P29" i="6" s="1"/>
  <c r="R29" i="6" s="1"/>
  <c r="M30" i="6"/>
  <c r="P30" i="6" s="1"/>
  <c r="R30" i="6" s="1"/>
  <c r="M31" i="6"/>
  <c r="P31" i="6" s="1"/>
  <c r="M32" i="6"/>
  <c r="P32" i="6" s="1"/>
  <c r="M33" i="6"/>
  <c r="P33" i="6" s="1"/>
  <c r="M34" i="6"/>
  <c r="P34" i="6" s="1"/>
  <c r="M35" i="6"/>
  <c r="P35" i="6" s="1"/>
  <c r="M36" i="6"/>
  <c r="P36" i="6" s="1"/>
  <c r="M37" i="6"/>
  <c r="P37" i="6" s="1"/>
  <c r="M38" i="6"/>
  <c r="P38" i="6" s="1"/>
  <c r="M39" i="6"/>
  <c r="P39" i="6" s="1"/>
  <c r="M40" i="6"/>
  <c r="P40" i="6" s="1"/>
  <c r="R40" i="6" s="1"/>
  <c r="M41" i="6"/>
  <c r="P41" i="6" s="1"/>
  <c r="R41" i="6" s="1"/>
  <c r="M42" i="6"/>
  <c r="P42" i="6" s="1"/>
  <c r="R42" i="6" s="1"/>
  <c r="M43" i="6"/>
  <c r="P43" i="6" s="1"/>
  <c r="R43" i="6" s="1"/>
  <c r="M44" i="6"/>
  <c r="P44" i="6" s="1"/>
  <c r="M45" i="6"/>
  <c r="P45" i="6" s="1"/>
  <c r="M46" i="6"/>
  <c r="P46" i="6" s="1"/>
  <c r="M47" i="6"/>
  <c r="P47" i="6" s="1"/>
  <c r="M48" i="6"/>
  <c r="P48" i="6" s="1"/>
  <c r="M49" i="6"/>
  <c r="P49" i="6" s="1"/>
  <c r="M50" i="6"/>
  <c r="P50" i="6" s="1"/>
  <c r="M51" i="6"/>
  <c r="P51" i="6" s="1"/>
  <c r="M52" i="6"/>
  <c r="P52" i="6" s="1"/>
  <c r="R52" i="6" s="1"/>
  <c r="M53" i="6"/>
  <c r="P53" i="6" s="1"/>
  <c r="R53" i="6" s="1"/>
  <c r="M54" i="6"/>
  <c r="P54" i="6" s="1"/>
  <c r="R54" i="6" s="1"/>
  <c r="M55" i="6"/>
  <c r="P55" i="6" s="1"/>
  <c r="M56" i="6"/>
  <c r="P56" i="6" s="1"/>
  <c r="M57" i="6"/>
  <c r="P57" i="6" s="1"/>
  <c r="M58" i="6"/>
  <c r="P58" i="6" s="1"/>
  <c r="M59" i="6"/>
  <c r="P59" i="6" s="1"/>
  <c r="M60" i="6"/>
  <c r="P60" i="6" s="1"/>
  <c r="M61" i="6"/>
  <c r="P61" i="6" s="1"/>
  <c r="M62" i="6"/>
  <c r="P62" i="6" s="1"/>
  <c r="M63" i="6"/>
  <c r="P63" i="6" s="1"/>
  <c r="M64" i="6"/>
  <c r="P64" i="6" s="1"/>
  <c r="R64" i="6" s="1"/>
  <c r="M65" i="6"/>
  <c r="P65" i="6" s="1"/>
  <c r="R65" i="6" s="1"/>
  <c r="M66" i="6"/>
  <c r="P66" i="6" s="1"/>
  <c r="R66" i="6" s="1"/>
  <c r="M67" i="6"/>
  <c r="P67" i="6" s="1"/>
  <c r="M68" i="6"/>
  <c r="P68" i="6" s="1"/>
  <c r="M69" i="6"/>
  <c r="P69" i="6" s="1"/>
  <c r="M70" i="6"/>
  <c r="P70" i="6" s="1"/>
  <c r="M71" i="6"/>
  <c r="P71" i="6" s="1"/>
  <c r="M72" i="6"/>
  <c r="P72" i="6" s="1"/>
  <c r="M73" i="6"/>
  <c r="P73" i="6" s="1"/>
  <c r="M74" i="6"/>
  <c r="P74" i="6" s="1"/>
  <c r="M75" i="6"/>
  <c r="P75" i="6" s="1"/>
  <c r="M76" i="6"/>
  <c r="P76" i="6" s="1"/>
  <c r="R76" i="6" s="1"/>
  <c r="M77" i="6"/>
  <c r="P77" i="6" s="1"/>
  <c r="R77" i="6" s="1"/>
  <c r="M78" i="6"/>
  <c r="P78" i="6" s="1"/>
  <c r="R78" i="6" s="1"/>
  <c r="M79" i="6"/>
  <c r="P79" i="6" s="1"/>
  <c r="R79" i="6" s="1"/>
  <c r="M80" i="6"/>
  <c r="P80" i="6" s="1"/>
  <c r="M81" i="6"/>
  <c r="P81" i="6" s="1"/>
  <c r="M82" i="6"/>
  <c r="P82" i="6" s="1"/>
  <c r="M83" i="6"/>
  <c r="P83" i="6" s="1"/>
  <c r="M84" i="6"/>
  <c r="P84" i="6" s="1"/>
  <c r="M85" i="6"/>
  <c r="P85" i="6" s="1"/>
  <c r="M86" i="6"/>
  <c r="P86" i="6" s="1"/>
  <c r="M87" i="6"/>
  <c r="P87" i="6" s="1"/>
  <c r="M88" i="6"/>
  <c r="P88" i="6" s="1"/>
  <c r="R88" i="6" s="1"/>
  <c r="M89" i="6"/>
  <c r="P89" i="6" s="1"/>
  <c r="R89" i="6" s="1"/>
  <c r="M90" i="6"/>
  <c r="P90" i="6" s="1"/>
  <c r="R90" i="6" s="1"/>
  <c r="M91" i="6"/>
  <c r="P91" i="6" s="1"/>
  <c r="M92" i="6"/>
  <c r="P92" i="6" s="1"/>
  <c r="M93" i="6"/>
  <c r="P93" i="6" s="1"/>
  <c r="M94" i="6"/>
  <c r="P94" i="6" s="1"/>
  <c r="M95" i="6"/>
  <c r="P95" i="6" s="1"/>
  <c r="M96" i="6"/>
  <c r="P96" i="6" s="1"/>
  <c r="M97" i="6"/>
  <c r="P97" i="6" s="1"/>
  <c r="M98" i="6"/>
  <c r="P98" i="6" s="1"/>
  <c r="M99" i="6"/>
  <c r="P99" i="6" s="1"/>
  <c r="M100" i="6"/>
  <c r="P100" i="6" s="1"/>
  <c r="R100" i="6" s="1"/>
  <c r="M101" i="6"/>
  <c r="P101" i="6" s="1"/>
  <c r="R101" i="6" s="1"/>
  <c r="M102" i="6"/>
  <c r="P102" i="6" s="1"/>
  <c r="R102" i="6" s="1"/>
  <c r="M103" i="6"/>
  <c r="P103" i="6" s="1"/>
  <c r="M104" i="6"/>
  <c r="P104" i="6" s="1"/>
  <c r="M105" i="6"/>
  <c r="P105" i="6" s="1"/>
  <c r="M106" i="6"/>
  <c r="P106" i="6" s="1"/>
  <c r="M107" i="6"/>
  <c r="P107" i="6" s="1"/>
  <c r="M108" i="6"/>
  <c r="P108" i="6" s="1"/>
  <c r="M109" i="6"/>
  <c r="P109" i="6" s="1"/>
  <c r="M110" i="6"/>
  <c r="P110" i="6" s="1"/>
  <c r="M111" i="6"/>
  <c r="P111" i="6" s="1"/>
  <c r="M112" i="6"/>
  <c r="P112" i="6" s="1"/>
  <c r="R112" i="6" s="1"/>
  <c r="M113" i="6"/>
  <c r="P113" i="6" s="1"/>
  <c r="R113" i="6" s="1"/>
  <c r="M114" i="6"/>
  <c r="P114" i="6" s="1"/>
  <c r="R114" i="6" s="1"/>
  <c r="M115" i="6"/>
  <c r="P115" i="6" s="1"/>
  <c r="M116" i="6"/>
  <c r="P116" i="6" s="1"/>
  <c r="M117" i="6"/>
  <c r="P117" i="6" s="1"/>
  <c r="M118" i="6"/>
  <c r="P118" i="6" s="1"/>
  <c r="M119" i="6"/>
  <c r="P119" i="6" s="1"/>
  <c r="M120" i="6"/>
  <c r="P120" i="6" s="1"/>
  <c r="M121" i="6"/>
  <c r="P121" i="6" s="1"/>
  <c r="M122" i="6"/>
  <c r="P122" i="6" s="1"/>
  <c r="M123" i="6"/>
  <c r="P123" i="6" s="1"/>
  <c r="M124" i="6"/>
  <c r="P124" i="6" s="1"/>
  <c r="R124" i="6" s="1"/>
  <c r="M125" i="6"/>
  <c r="P125" i="6" s="1"/>
  <c r="R125" i="6" s="1"/>
  <c r="M126" i="6"/>
  <c r="P126" i="6" s="1"/>
  <c r="R126" i="6" s="1"/>
  <c r="M127" i="6"/>
  <c r="P127" i="6" s="1"/>
  <c r="M128" i="6"/>
  <c r="P128" i="6" s="1"/>
  <c r="M129" i="6"/>
  <c r="P129" i="6" s="1"/>
  <c r="M130" i="6"/>
  <c r="P130" i="6" s="1"/>
  <c r="M131" i="6"/>
  <c r="P131" i="6" s="1"/>
  <c r="M132" i="6"/>
  <c r="P132" i="6" s="1"/>
  <c r="M133" i="6"/>
  <c r="P133" i="6" s="1"/>
  <c r="M134" i="6"/>
  <c r="P134" i="6" s="1"/>
  <c r="M135" i="6"/>
  <c r="P135" i="6" s="1"/>
  <c r="M136" i="6"/>
  <c r="P136" i="6" s="1"/>
  <c r="R136" i="6" s="1"/>
  <c r="M137" i="6"/>
  <c r="P137" i="6" s="1"/>
  <c r="R137" i="6" s="1"/>
  <c r="M138" i="6"/>
  <c r="P138" i="6" s="1"/>
  <c r="R138" i="6" s="1"/>
  <c r="M139" i="6"/>
  <c r="P139" i="6" s="1"/>
  <c r="M140" i="6"/>
  <c r="P140" i="6" s="1"/>
  <c r="M141" i="6"/>
  <c r="P141" i="6" s="1"/>
  <c r="M142" i="6"/>
  <c r="P142" i="6" s="1"/>
  <c r="M143" i="6"/>
  <c r="P143" i="6" s="1"/>
  <c r="M144" i="6"/>
  <c r="P144" i="6" s="1"/>
  <c r="M145" i="6"/>
  <c r="P145" i="6" s="1"/>
  <c r="M146" i="6"/>
  <c r="P146" i="6" s="1"/>
  <c r="M147" i="6"/>
  <c r="P147" i="6" s="1"/>
  <c r="M148" i="6"/>
  <c r="P148" i="6" s="1"/>
  <c r="R148" i="6" s="1"/>
  <c r="M149" i="6"/>
  <c r="P149" i="6" s="1"/>
  <c r="R149" i="6" s="1"/>
  <c r="M150" i="6"/>
  <c r="P150" i="6" s="1"/>
  <c r="R150" i="6" s="1"/>
  <c r="M151" i="6"/>
  <c r="P151" i="6" s="1"/>
  <c r="R151" i="6" s="1"/>
  <c r="M152" i="6"/>
  <c r="P152" i="6" s="1"/>
  <c r="M153" i="6"/>
  <c r="P153" i="6" s="1"/>
  <c r="M154" i="6"/>
  <c r="P154" i="6" s="1"/>
  <c r="M155" i="6"/>
  <c r="P155" i="6" s="1"/>
  <c r="M156" i="6"/>
  <c r="P156" i="6" s="1"/>
  <c r="M157" i="6"/>
  <c r="P157" i="6" s="1"/>
  <c r="M158" i="6"/>
  <c r="P158" i="6" s="1"/>
  <c r="M159" i="6"/>
  <c r="P159" i="6" s="1"/>
  <c r="M160" i="6"/>
  <c r="P160" i="6" s="1"/>
  <c r="R160" i="6" s="1"/>
  <c r="M161" i="6"/>
  <c r="P161" i="6" s="1"/>
  <c r="R161" i="6" s="1"/>
  <c r="M162" i="6"/>
  <c r="P162" i="6" s="1"/>
  <c r="R162" i="6" s="1"/>
  <c r="M163" i="6"/>
  <c r="P163" i="6" s="1"/>
  <c r="M164" i="6"/>
  <c r="P164" i="6" s="1"/>
  <c r="M165" i="6"/>
  <c r="P165" i="6" s="1"/>
  <c r="M166" i="6"/>
  <c r="P166" i="6" s="1"/>
  <c r="M167" i="6"/>
  <c r="P167" i="6" s="1"/>
  <c r="M168" i="6"/>
  <c r="P168" i="6" s="1"/>
  <c r="M169" i="6"/>
  <c r="P169" i="6" s="1"/>
  <c r="M170" i="6"/>
  <c r="P170" i="6" s="1"/>
  <c r="M171" i="6"/>
  <c r="P171" i="6" s="1"/>
  <c r="M172" i="6"/>
  <c r="P172" i="6" s="1"/>
  <c r="R172" i="6" s="1"/>
  <c r="M173" i="6"/>
  <c r="P173" i="6" s="1"/>
  <c r="R173" i="6" s="1"/>
  <c r="M174" i="6"/>
  <c r="P174" i="6" s="1"/>
  <c r="R174" i="6" s="1"/>
  <c r="M175" i="6"/>
  <c r="P175" i="6" s="1"/>
  <c r="M176" i="6"/>
  <c r="P176" i="6" s="1"/>
  <c r="M177" i="6"/>
  <c r="P177" i="6" s="1"/>
  <c r="M178" i="6"/>
  <c r="P178" i="6" s="1"/>
  <c r="M179" i="6"/>
  <c r="P179" i="6" s="1"/>
  <c r="M180" i="6"/>
  <c r="P180" i="6" s="1"/>
  <c r="M181" i="6"/>
  <c r="P181" i="6" s="1"/>
  <c r="M182" i="6"/>
  <c r="P182" i="6" s="1"/>
  <c r="M183" i="6"/>
  <c r="P183" i="6" s="1"/>
  <c r="M184" i="6"/>
  <c r="P184" i="6" s="1"/>
  <c r="R184" i="6" s="1"/>
  <c r="M185" i="6"/>
  <c r="P185" i="6" s="1"/>
  <c r="R185" i="6" s="1"/>
  <c r="M186" i="6"/>
  <c r="P186" i="6" s="1"/>
  <c r="R186" i="6" s="1"/>
  <c r="M187" i="6"/>
  <c r="P187" i="6" s="1"/>
  <c r="M188" i="6"/>
  <c r="P188" i="6" s="1"/>
  <c r="M189" i="6"/>
  <c r="P189" i="6" s="1"/>
  <c r="M190" i="6"/>
  <c r="P190" i="6" s="1"/>
  <c r="M191" i="6"/>
  <c r="P191" i="6" s="1"/>
  <c r="M192" i="6"/>
  <c r="P192" i="6" s="1"/>
  <c r="M193" i="6"/>
  <c r="P193" i="6" s="1"/>
  <c r="M194" i="6"/>
  <c r="P194" i="6" s="1"/>
  <c r="M195" i="6"/>
  <c r="P195" i="6" s="1"/>
  <c r="M196" i="6"/>
  <c r="P196" i="6" s="1"/>
  <c r="R196" i="6" s="1"/>
  <c r="M197" i="6"/>
  <c r="P197" i="6" s="1"/>
  <c r="R197" i="6" s="1"/>
  <c r="M198" i="6"/>
  <c r="P198" i="6" s="1"/>
  <c r="R198" i="6" s="1"/>
  <c r="M199" i="6"/>
  <c r="P199" i="6" s="1"/>
  <c r="M200" i="6"/>
  <c r="P200" i="6" s="1"/>
  <c r="M201" i="6"/>
  <c r="P201" i="6" s="1"/>
  <c r="M202" i="6"/>
  <c r="P202" i="6" s="1"/>
  <c r="R202" i="6" s="1"/>
  <c r="M203" i="6"/>
  <c r="P203" i="6" s="1"/>
  <c r="M204" i="6"/>
  <c r="P204" i="6" s="1"/>
  <c r="M205" i="6"/>
  <c r="P205" i="6" s="1"/>
  <c r="M206" i="6"/>
  <c r="P206" i="6" s="1"/>
  <c r="M207" i="6"/>
  <c r="P207" i="6" s="1"/>
  <c r="M208" i="6"/>
  <c r="P208" i="6" s="1"/>
  <c r="R208" i="6" s="1"/>
  <c r="M209" i="6"/>
  <c r="P209" i="6" s="1"/>
  <c r="R209" i="6" s="1"/>
  <c r="M210" i="6"/>
  <c r="P210" i="6" s="1"/>
  <c r="R210" i="6" s="1"/>
  <c r="M211" i="6"/>
  <c r="P211" i="6" s="1"/>
  <c r="M212" i="6"/>
  <c r="P212" i="6" s="1"/>
  <c r="M213" i="6"/>
  <c r="P213" i="6" s="1"/>
  <c r="M214" i="6"/>
  <c r="P214" i="6" s="1"/>
  <c r="M215" i="6"/>
  <c r="P215" i="6" s="1"/>
  <c r="M216" i="6"/>
  <c r="P216" i="6" s="1"/>
  <c r="M217" i="6"/>
  <c r="P217" i="6" s="1"/>
  <c r="M218" i="6"/>
  <c r="P218" i="6" s="1"/>
  <c r="M219" i="6"/>
  <c r="P219" i="6" s="1"/>
  <c r="M220" i="6"/>
  <c r="P220" i="6" s="1"/>
  <c r="R220" i="6" s="1"/>
  <c r="M221" i="6"/>
  <c r="P221" i="6" s="1"/>
  <c r="R221" i="6" s="1"/>
  <c r="M222" i="6"/>
  <c r="P222" i="6" s="1"/>
  <c r="R222" i="6" s="1"/>
  <c r="M223" i="6"/>
  <c r="P223" i="6" s="1"/>
  <c r="R223" i="6" s="1"/>
  <c r="M224" i="6"/>
  <c r="P224" i="6" s="1"/>
  <c r="M225" i="6"/>
  <c r="P225" i="6" s="1"/>
  <c r="M226" i="6"/>
  <c r="P226" i="6" s="1"/>
  <c r="M227" i="6"/>
  <c r="P227" i="6" s="1"/>
  <c r="M228" i="6"/>
  <c r="P228" i="6" s="1"/>
  <c r="M229" i="6"/>
  <c r="P229" i="6" s="1"/>
  <c r="M230" i="6"/>
  <c r="P230" i="6" s="1"/>
  <c r="M231" i="6"/>
  <c r="P231" i="6" s="1"/>
  <c r="M232" i="6"/>
  <c r="P232" i="6" s="1"/>
  <c r="R232" i="6" s="1"/>
  <c r="M233" i="6"/>
  <c r="P233" i="6" s="1"/>
  <c r="R233" i="6" s="1"/>
  <c r="M234" i="6"/>
  <c r="P234" i="6" s="1"/>
  <c r="R234" i="6" s="1"/>
  <c r="M235" i="6"/>
  <c r="P235" i="6" s="1"/>
  <c r="M236" i="6"/>
  <c r="P236" i="6" s="1"/>
  <c r="M237" i="6"/>
  <c r="P237" i="6" s="1"/>
  <c r="M238" i="6"/>
  <c r="P238" i="6" s="1"/>
  <c r="R238" i="6" s="1"/>
  <c r="M239" i="6"/>
  <c r="P239" i="6" s="1"/>
  <c r="M240" i="6"/>
  <c r="P240" i="6" s="1"/>
  <c r="M241" i="6"/>
  <c r="P241" i="6" s="1"/>
  <c r="M242" i="6"/>
  <c r="P242" i="6" s="1"/>
  <c r="M243" i="6"/>
  <c r="P243" i="6" s="1"/>
  <c r="M244" i="6"/>
  <c r="P244" i="6" s="1"/>
  <c r="R244" i="6" s="1"/>
  <c r="M245" i="6"/>
  <c r="P245" i="6" s="1"/>
  <c r="R245" i="6" s="1"/>
  <c r="M246" i="6"/>
  <c r="P246" i="6" s="1"/>
  <c r="R246" i="6" s="1"/>
  <c r="M247" i="6"/>
  <c r="P247" i="6" s="1"/>
  <c r="M248" i="6"/>
  <c r="P248" i="6" s="1"/>
  <c r="M249" i="6"/>
  <c r="P249" i="6" s="1"/>
  <c r="M250" i="6"/>
  <c r="P250" i="6" s="1"/>
  <c r="M251" i="6"/>
  <c r="P251" i="6" s="1"/>
  <c r="M252" i="6"/>
  <c r="P252" i="6" s="1"/>
  <c r="M253" i="6"/>
  <c r="P253" i="6" s="1"/>
  <c r="M254" i="6"/>
  <c r="P254" i="6" s="1"/>
  <c r="M255" i="6"/>
  <c r="P255" i="6" s="1"/>
  <c r="M256" i="6"/>
  <c r="P256" i="6" s="1"/>
  <c r="R256" i="6" s="1"/>
  <c r="M257" i="6"/>
  <c r="P257" i="6" s="1"/>
  <c r="R257" i="6" s="1"/>
  <c r="M258" i="6"/>
  <c r="P258" i="6" s="1"/>
  <c r="R258" i="6" s="1"/>
  <c r="M259" i="6"/>
  <c r="P259" i="6" s="1"/>
  <c r="M260" i="6"/>
  <c r="P260" i="6" s="1"/>
  <c r="M261" i="6"/>
  <c r="P261" i="6" s="1"/>
  <c r="M262" i="6"/>
  <c r="P262" i="6" s="1"/>
  <c r="M263" i="6"/>
  <c r="P263" i="6" s="1"/>
  <c r="M264" i="6"/>
  <c r="P264" i="6" s="1"/>
  <c r="M265" i="6"/>
  <c r="P265" i="6" s="1"/>
  <c r="M266" i="6"/>
  <c r="P266" i="6" s="1"/>
  <c r="M267" i="6"/>
  <c r="P267" i="6" s="1"/>
  <c r="M268" i="6"/>
  <c r="P268" i="6" s="1"/>
  <c r="R268" i="6" s="1"/>
  <c r="M269" i="6"/>
  <c r="P269" i="6" s="1"/>
  <c r="R269" i="6" s="1"/>
  <c r="M270" i="6"/>
  <c r="P270" i="6" s="1"/>
  <c r="R270" i="6" s="1"/>
  <c r="M271" i="6"/>
  <c r="P271" i="6" s="1"/>
  <c r="M272" i="6"/>
  <c r="P272" i="6" s="1"/>
  <c r="M273" i="6"/>
  <c r="P273" i="6" s="1"/>
  <c r="M274" i="6"/>
  <c r="P274" i="6" s="1"/>
  <c r="M275" i="6"/>
  <c r="P275" i="6" s="1"/>
  <c r="M276" i="6"/>
  <c r="P276" i="6" s="1"/>
  <c r="M277" i="6"/>
  <c r="P277" i="6" s="1"/>
  <c r="M278" i="6"/>
  <c r="P278" i="6" s="1"/>
  <c r="M279" i="6"/>
  <c r="P279" i="6" s="1"/>
  <c r="M280" i="6"/>
  <c r="P280" i="6" s="1"/>
  <c r="R280" i="6" s="1"/>
  <c r="M281" i="6"/>
  <c r="P281" i="6" s="1"/>
  <c r="R281" i="6" s="1"/>
  <c r="M282" i="6"/>
  <c r="P282" i="6" s="1"/>
  <c r="R282" i="6" s="1"/>
  <c r="M283" i="6"/>
  <c r="P283" i="6" s="1"/>
  <c r="M284" i="6"/>
  <c r="P284" i="6" s="1"/>
  <c r="M285" i="6"/>
  <c r="P285" i="6" s="1"/>
  <c r="M286" i="6"/>
  <c r="P286" i="6" s="1"/>
  <c r="M287" i="6"/>
  <c r="P287" i="6" s="1"/>
  <c r="M288" i="6"/>
  <c r="P288" i="6" s="1"/>
  <c r="M289" i="6"/>
  <c r="P289" i="6" s="1"/>
  <c r="M290" i="6"/>
  <c r="P290" i="6" s="1"/>
  <c r="M291" i="6"/>
  <c r="P291" i="6" s="1"/>
  <c r="M292" i="6"/>
  <c r="P292" i="6" s="1"/>
  <c r="R292" i="6" s="1"/>
  <c r="M293" i="6"/>
  <c r="P293" i="6" s="1"/>
  <c r="R293" i="6" s="1"/>
  <c r="M294" i="6"/>
  <c r="P294" i="6" s="1"/>
  <c r="R294" i="6" s="1"/>
  <c r="M295" i="6"/>
  <c r="P295" i="6" s="1"/>
  <c r="R295" i="6" s="1"/>
  <c r="M296" i="6"/>
  <c r="P296" i="6" s="1"/>
  <c r="M297" i="6"/>
  <c r="P297" i="6" s="1"/>
  <c r="M298" i="6"/>
  <c r="P298" i="6" s="1"/>
  <c r="M299" i="6"/>
  <c r="P299" i="6" s="1"/>
  <c r="M300" i="6"/>
  <c r="P300" i="6" s="1"/>
  <c r="M301" i="6"/>
  <c r="P301" i="6" s="1"/>
  <c r="M302" i="6"/>
  <c r="P302" i="6" s="1"/>
  <c r="M303" i="6"/>
  <c r="P303" i="6" s="1"/>
  <c r="M304" i="6"/>
  <c r="P304" i="6" s="1"/>
  <c r="R304" i="6" s="1"/>
  <c r="M305" i="6"/>
  <c r="P305" i="6" s="1"/>
  <c r="R305" i="6" s="1"/>
  <c r="M306" i="6"/>
  <c r="P306" i="6" s="1"/>
  <c r="R306" i="6" s="1"/>
  <c r="M307" i="6"/>
  <c r="P307" i="6" s="1"/>
  <c r="M308" i="6"/>
  <c r="P308" i="6" s="1"/>
  <c r="M309" i="6"/>
  <c r="P309" i="6" s="1"/>
  <c r="M310" i="6"/>
  <c r="P310" i="6" s="1"/>
  <c r="R310" i="6" s="1"/>
  <c r="M311" i="6"/>
  <c r="P311" i="6" s="1"/>
  <c r="M312" i="6"/>
  <c r="P312" i="6" s="1"/>
  <c r="M313" i="6"/>
  <c r="P313" i="6" s="1"/>
  <c r="M314" i="6"/>
  <c r="P314" i="6" s="1"/>
  <c r="M315" i="6"/>
  <c r="P315" i="6" s="1"/>
  <c r="M316" i="6"/>
  <c r="P316" i="6" s="1"/>
  <c r="R316" i="6" s="1"/>
  <c r="M317" i="6"/>
  <c r="P317" i="6" s="1"/>
  <c r="R317" i="6" s="1"/>
  <c r="M318" i="6"/>
  <c r="P318" i="6" s="1"/>
  <c r="R318" i="6" s="1"/>
  <c r="M319" i="6"/>
  <c r="P319" i="6" s="1"/>
  <c r="M320" i="6"/>
  <c r="P320" i="6" s="1"/>
  <c r="M321" i="6"/>
  <c r="P321" i="6" s="1"/>
  <c r="M322" i="6"/>
  <c r="P322" i="6" s="1"/>
  <c r="M323" i="6"/>
  <c r="P323" i="6" s="1"/>
  <c r="M324" i="6"/>
  <c r="P324" i="6" s="1"/>
  <c r="M325" i="6"/>
  <c r="P325" i="6" s="1"/>
  <c r="M326" i="6"/>
  <c r="P326" i="6" s="1"/>
  <c r="M327" i="6"/>
  <c r="P327" i="6" s="1"/>
  <c r="M328" i="6"/>
  <c r="P328" i="6" s="1"/>
  <c r="R328" i="6" s="1"/>
  <c r="M329" i="6"/>
  <c r="P329" i="6" s="1"/>
  <c r="R329" i="6" s="1"/>
  <c r="M330" i="6"/>
  <c r="P330" i="6" s="1"/>
  <c r="R330" i="6" s="1"/>
  <c r="M331" i="6"/>
  <c r="P331" i="6" s="1"/>
  <c r="R331" i="6" s="1"/>
  <c r="M332" i="6"/>
  <c r="P332" i="6" s="1"/>
  <c r="M333" i="6"/>
  <c r="P333" i="6" s="1"/>
  <c r="M334" i="6"/>
  <c r="P334" i="6" s="1"/>
  <c r="M335" i="6"/>
  <c r="P335" i="6" s="1"/>
  <c r="M336" i="6"/>
  <c r="P336" i="6" s="1"/>
  <c r="M337" i="6"/>
  <c r="P337" i="6" s="1"/>
  <c r="M338" i="6"/>
  <c r="P338" i="6" s="1"/>
  <c r="M339" i="6"/>
  <c r="P339" i="6" s="1"/>
  <c r="M340" i="6"/>
  <c r="P340" i="6" s="1"/>
  <c r="R340" i="6" s="1"/>
  <c r="M341" i="6"/>
  <c r="P341" i="6" s="1"/>
  <c r="R341" i="6" s="1"/>
  <c r="M342" i="6"/>
  <c r="P342" i="6" s="1"/>
  <c r="R342" i="6" s="1"/>
  <c r="M343" i="6"/>
  <c r="P343" i="6" s="1"/>
  <c r="M344" i="6"/>
  <c r="P344" i="6" s="1"/>
  <c r="M345" i="6"/>
  <c r="P345" i="6" s="1"/>
  <c r="M346" i="6"/>
  <c r="P346" i="6" s="1"/>
  <c r="R346" i="6" s="1"/>
  <c r="M347" i="6"/>
  <c r="P347" i="6" s="1"/>
  <c r="M348" i="6"/>
  <c r="P348" i="6" s="1"/>
  <c r="M349" i="6"/>
  <c r="P349" i="6" s="1"/>
  <c r="M350" i="6"/>
  <c r="P350" i="6" s="1"/>
  <c r="M351" i="6"/>
  <c r="P351" i="6" s="1"/>
  <c r="M352" i="6"/>
  <c r="P352" i="6" s="1"/>
  <c r="R352" i="6" s="1"/>
  <c r="M353" i="6"/>
  <c r="P353" i="6" s="1"/>
  <c r="R353" i="6" s="1"/>
  <c r="M354" i="6"/>
  <c r="P354" i="6" s="1"/>
  <c r="R354" i="6" s="1"/>
  <c r="M355" i="6"/>
  <c r="P355" i="6" s="1"/>
  <c r="M356" i="6"/>
  <c r="P356" i="6" s="1"/>
  <c r="M357" i="6"/>
  <c r="P357" i="6" s="1"/>
  <c r="M358" i="6"/>
  <c r="P358" i="6" s="1"/>
  <c r="M359" i="6"/>
  <c r="P359" i="6" s="1"/>
  <c r="M360" i="6"/>
  <c r="P360" i="6" s="1"/>
  <c r="M361" i="6"/>
  <c r="P361" i="6" s="1"/>
  <c r="M362" i="6"/>
  <c r="P362" i="6" s="1"/>
  <c r="M2" i="6"/>
  <c r="P2" i="6" s="1"/>
  <c r="Q2" i="6"/>
  <c r="R58" i="6" l="1"/>
  <c r="R107" i="6"/>
  <c r="R4" i="6"/>
  <c r="R250" i="6"/>
  <c r="R351" i="6"/>
  <c r="R339" i="6"/>
  <c r="R327" i="6"/>
  <c r="R315" i="6"/>
  <c r="R303" i="6"/>
  <c r="R291" i="6"/>
  <c r="R279" i="6"/>
  <c r="R267" i="6"/>
  <c r="R255" i="6"/>
  <c r="R243" i="6"/>
  <c r="R231" i="6"/>
  <c r="R219" i="6"/>
  <c r="R207" i="6"/>
  <c r="R195" i="6"/>
  <c r="R183" i="6"/>
  <c r="R171" i="6"/>
  <c r="R159" i="6"/>
  <c r="R147" i="6"/>
  <c r="R135" i="6"/>
  <c r="R123" i="6"/>
  <c r="R111" i="6"/>
  <c r="R99" i="6"/>
  <c r="R87" i="6"/>
  <c r="R75" i="6"/>
  <c r="R63" i="6"/>
  <c r="R51" i="6"/>
  <c r="R39" i="6"/>
  <c r="R27" i="6"/>
  <c r="R15" i="6"/>
  <c r="R3" i="6"/>
  <c r="R326" i="6"/>
  <c r="R254" i="6"/>
  <c r="R218" i="6"/>
  <c r="R182" i="6"/>
  <c r="R146" i="6"/>
  <c r="R110" i="6"/>
  <c r="R74" i="6"/>
  <c r="R62" i="6"/>
  <c r="R38" i="6"/>
  <c r="R290" i="6"/>
  <c r="R362" i="6"/>
  <c r="R203" i="6"/>
  <c r="R311" i="6"/>
  <c r="R275" i="6"/>
  <c r="R239" i="6"/>
  <c r="R59" i="6"/>
  <c r="R23" i="6"/>
  <c r="R206" i="6"/>
  <c r="R167" i="6"/>
  <c r="R131" i="6"/>
  <c r="R130" i="6"/>
  <c r="R274" i="6"/>
  <c r="R190" i="6"/>
  <c r="R166" i="6"/>
  <c r="R106" i="6"/>
  <c r="R22" i="6"/>
  <c r="R357" i="6"/>
  <c r="R345" i="6"/>
  <c r="R333" i="6"/>
  <c r="R321" i="6"/>
  <c r="R309" i="6"/>
  <c r="R297" i="6"/>
  <c r="R285" i="6"/>
  <c r="R273" i="6"/>
  <c r="R261" i="6"/>
  <c r="R249" i="6"/>
  <c r="R237" i="6"/>
  <c r="R225" i="6"/>
  <c r="R213" i="6"/>
  <c r="R201" i="6"/>
  <c r="R189" i="6"/>
  <c r="R177" i="6"/>
  <c r="R165" i="6"/>
  <c r="R153" i="6"/>
  <c r="R141" i="6"/>
  <c r="R129" i="6"/>
  <c r="R117" i="6"/>
  <c r="R105" i="6"/>
  <c r="R93" i="6"/>
  <c r="R81" i="6"/>
  <c r="R69" i="6"/>
  <c r="R57" i="6"/>
  <c r="R45" i="6"/>
  <c r="R33" i="6"/>
  <c r="R21" i="6"/>
  <c r="R9" i="6"/>
  <c r="R356" i="6"/>
  <c r="R344" i="6"/>
  <c r="R332" i="6"/>
  <c r="R320" i="6"/>
  <c r="R308" i="6"/>
  <c r="R296" i="6"/>
  <c r="R284" i="6"/>
  <c r="R272" i="6"/>
  <c r="R260" i="6"/>
  <c r="R248" i="6"/>
  <c r="R236" i="6"/>
  <c r="R224" i="6"/>
  <c r="R212" i="6"/>
  <c r="R200" i="6"/>
  <c r="R188" i="6"/>
  <c r="R176" i="6"/>
  <c r="R164" i="6"/>
  <c r="R152" i="6"/>
  <c r="R140" i="6"/>
  <c r="R128" i="6"/>
  <c r="R116" i="6"/>
  <c r="R104" i="6"/>
  <c r="R92" i="6"/>
  <c r="R80" i="6"/>
  <c r="R68" i="6"/>
  <c r="R56" i="6"/>
  <c r="R44" i="6"/>
  <c r="R32" i="6"/>
  <c r="R20" i="6"/>
  <c r="R8" i="6"/>
  <c r="R229" i="6"/>
  <c r="R271" i="6"/>
  <c r="R163" i="6"/>
  <c r="R91" i="6"/>
  <c r="R7" i="6"/>
  <c r="R343" i="6"/>
  <c r="R307" i="6"/>
  <c r="R283" i="6"/>
  <c r="R235" i="6"/>
  <c r="R211" i="6"/>
  <c r="R175" i="6"/>
  <c r="R139" i="6"/>
  <c r="R103" i="6"/>
  <c r="R67" i="6"/>
  <c r="R31" i="6"/>
  <c r="R253" i="6"/>
  <c r="R217" i="6"/>
  <c r="R181" i="6"/>
  <c r="R145" i="6"/>
  <c r="R109" i="6"/>
  <c r="R85" i="6"/>
  <c r="R347" i="6"/>
  <c r="R319" i="6"/>
  <c r="R259" i="6"/>
  <c r="R199" i="6"/>
  <c r="R127" i="6"/>
  <c r="R55" i="6"/>
  <c r="R361" i="6"/>
  <c r="R325" i="6"/>
  <c r="R355" i="6"/>
  <c r="R247" i="6"/>
  <c r="R187" i="6"/>
  <c r="R115" i="6"/>
  <c r="R19" i="6"/>
  <c r="R289" i="6"/>
  <c r="R73" i="6"/>
  <c r="R61" i="6"/>
  <c r="R37" i="6"/>
  <c r="R25" i="6"/>
  <c r="R95" i="6"/>
  <c r="R360" i="6"/>
  <c r="R348" i="6"/>
  <c r="R336" i="6"/>
  <c r="R324" i="6"/>
  <c r="R312" i="6"/>
  <c r="R300" i="6"/>
  <c r="R288" i="6"/>
  <c r="R276" i="6"/>
  <c r="R264" i="6"/>
  <c r="R252" i="6"/>
  <c r="R240" i="6"/>
  <c r="R216" i="6"/>
  <c r="R204" i="6"/>
  <c r="R192" i="6"/>
  <c r="R180" i="6"/>
  <c r="R168" i="6"/>
  <c r="R156" i="6"/>
  <c r="R144" i="6"/>
  <c r="R132" i="6"/>
  <c r="R120" i="6"/>
  <c r="R108" i="6"/>
  <c r="R96" i="6"/>
  <c r="R84" i="6"/>
  <c r="R72" i="6"/>
  <c r="R60" i="6"/>
  <c r="R48" i="6"/>
  <c r="R36" i="6"/>
  <c r="R24" i="6"/>
  <c r="R12" i="6"/>
  <c r="R94" i="6"/>
  <c r="R359" i="6"/>
  <c r="R335" i="6"/>
  <c r="R323" i="6"/>
  <c r="R299" i="6"/>
  <c r="R287" i="6"/>
  <c r="R263" i="6"/>
  <c r="R251" i="6"/>
  <c r="R227" i="6"/>
  <c r="R215" i="6"/>
  <c r="R191" i="6"/>
  <c r="R179" i="6"/>
  <c r="R155" i="6"/>
  <c r="R143" i="6"/>
  <c r="R119" i="6"/>
  <c r="R83" i="6"/>
  <c r="R71" i="6"/>
  <c r="R47" i="6"/>
  <c r="R35" i="6"/>
  <c r="R11" i="6"/>
  <c r="R358" i="6"/>
  <c r="R334" i="6"/>
  <c r="R322" i="6"/>
  <c r="R298" i="6"/>
  <c r="R286" i="6"/>
  <c r="R262" i="6"/>
  <c r="R226" i="6"/>
  <c r="R214" i="6"/>
  <c r="R178" i="6"/>
  <c r="R154" i="6"/>
  <c r="R142" i="6"/>
  <c r="R118" i="6"/>
  <c r="R82" i="6"/>
  <c r="R70" i="6"/>
  <c r="R46" i="6"/>
  <c r="R34" i="6"/>
  <c r="R10" i="6"/>
  <c r="R302" i="6"/>
  <c r="R266" i="6"/>
  <c r="R242" i="6"/>
  <c r="R194" i="6"/>
  <c r="R122" i="6"/>
  <c r="R98" i="6"/>
  <c r="R50" i="6"/>
  <c r="R14" i="6"/>
  <c r="R349" i="6"/>
  <c r="R301" i="6"/>
  <c r="R265" i="6"/>
  <c r="R241" i="6"/>
  <c r="R193" i="6"/>
  <c r="R169" i="6"/>
  <c r="R121" i="6"/>
  <c r="R97" i="6"/>
  <c r="R13" i="6"/>
  <c r="R170" i="6"/>
  <c r="R350" i="6"/>
  <c r="R277" i="6"/>
  <c r="R338" i="6"/>
  <c r="R314" i="6"/>
  <c r="R278" i="6"/>
  <c r="R230" i="6"/>
  <c r="R158" i="6"/>
  <c r="R134" i="6"/>
  <c r="R86" i="6"/>
  <c r="R26" i="6"/>
  <c r="R337" i="6"/>
  <c r="R313" i="6"/>
  <c r="R205" i="6"/>
  <c r="R157" i="6"/>
  <c r="R133" i="6"/>
  <c r="R49" i="6"/>
  <c r="R2" i="6"/>
  <c r="R363" i="6" l="1"/>
  <c r="B5" i="5" l="1"/>
  <c r="C6" i="5" l="1"/>
  <c r="C7" i="5" s="1"/>
  <c r="C8" i="5" s="1"/>
</calcChain>
</file>

<file path=xl/sharedStrings.xml><?xml version="1.0" encoding="utf-8"?>
<sst xmlns="http://schemas.openxmlformats.org/spreadsheetml/2006/main" count="2978" uniqueCount="838">
  <si>
    <t>FACTURACIÓN ENTREGA DE DATAFONO A GESTORES</t>
  </si>
  <si>
    <t>WOMPI</t>
  </si>
  <si>
    <t>CONCEPTOS</t>
  </si>
  <si>
    <t>CANTIDAD</t>
  </si>
  <si>
    <t>TOTAL</t>
  </si>
  <si>
    <t>ENTREGA DE DATAFONOS PERSONAL LINEACOM</t>
  </si>
  <si>
    <t xml:space="preserve">SUBTOTAL </t>
  </si>
  <si>
    <t>Iva</t>
  </si>
  <si>
    <t>TIPOLOGIA</t>
  </si>
  <si>
    <t>ENVIO DATAFONO</t>
  </si>
  <si>
    <t>ENVIO VISITA DATAFONO</t>
  </si>
  <si>
    <t>BODEGA</t>
  </si>
  <si>
    <t>CENTRO DE COSTOS</t>
  </si>
  <si>
    <t>PRINCIPAL</t>
  </si>
  <si>
    <t>MEDELLIN</t>
  </si>
  <si>
    <t>WOMPI NOROCCIDENTE</t>
  </si>
  <si>
    <t>INTERMEDIA</t>
  </si>
  <si>
    <t>BOGOTA</t>
  </si>
  <si>
    <t>WOMPI CENTRO</t>
  </si>
  <si>
    <t>LEJANA</t>
  </si>
  <si>
    <t>CALI</t>
  </si>
  <si>
    <t>WOMPI SUROCCIDENTE</t>
  </si>
  <si>
    <t>PEREIRA</t>
  </si>
  <si>
    <t>WOMPI EJE CAFETERO</t>
  </si>
  <si>
    <t>BARRANQUILLA</t>
  </si>
  <si>
    <t>WOMPI COSTA</t>
  </si>
  <si>
    <t>BUCARAMANGA</t>
  </si>
  <si>
    <t>WOMPI SANTANDERES</t>
  </si>
  <si>
    <t>MONTERIA</t>
  </si>
  <si>
    <t>CUCUTA</t>
  </si>
  <si>
    <t>NEIVA</t>
  </si>
  <si>
    <t>WOMPI ORIENTE</t>
  </si>
  <si>
    <t>SANTA MARTA</t>
  </si>
  <si>
    <t>TUNJA</t>
  </si>
  <si>
    <t>VILLAVICENCIO</t>
  </si>
  <si>
    <t>APARTADO</t>
  </si>
  <si>
    <t>CARTAGENA</t>
  </si>
  <si>
    <t>FLORENCIA</t>
  </si>
  <si>
    <t>IBAGUE</t>
  </si>
  <si>
    <t>MANIZALES</t>
  </si>
  <si>
    <t>PASTO</t>
  </si>
  <si>
    <t>POPAYAN</t>
  </si>
  <si>
    <t>SINCELEJO</t>
  </si>
  <si>
    <t>VALLEDUPAR</t>
  </si>
  <si>
    <t>YOPAL</t>
  </si>
  <si>
    <t>CODIGO PUNTO DE SERVICIO</t>
  </si>
  <si>
    <t>REGION</t>
  </si>
  <si>
    <t>DEPARTAMENTO</t>
  </si>
  <si>
    <t>MUNICIPIO</t>
  </si>
  <si>
    <t>CODIGO DANE</t>
  </si>
  <si>
    <t>NOMBRE PUNTO DE SERVICIO</t>
  </si>
  <si>
    <t>cantidad_equipos</t>
  </si>
  <si>
    <t>Formulario</t>
  </si>
  <si>
    <t>Plantilla</t>
  </si>
  <si>
    <t>FORMA DE ATENCION</t>
  </si>
  <si>
    <t>Fecha_Migracion/Entrega</t>
  </si>
  <si>
    <t>ESTADO RESULTADO ACTIVIDAD</t>
  </si>
  <si>
    <t>Tipologia</t>
  </si>
  <si>
    <t>Bodega</t>
  </si>
  <si>
    <t>Centro_de_Costos</t>
  </si>
  <si>
    <t>Valor por datáfono</t>
  </si>
  <si>
    <t>%FACTURACIÓN</t>
  </si>
  <si>
    <t>valor total</t>
  </si>
  <si>
    <t>CUNDINAMARCA</t>
  </si>
  <si>
    <t>BOGOTÁ</t>
  </si>
  <si>
    <t>P-FO-ENVIO VISITA DATAFONO WOMPI</t>
  </si>
  <si>
    <t>VISITA TECNICA</t>
  </si>
  <si>
    <t>EJECUTADO</t>
  </si>
  <si>
    <t>MOSQUERA</t>
  </si>
  <si>
    <t>EJECUTADO/CANCELADO</t>
  </si>
  <si>
    <t>NORTE DE SANTANDER</t>
  </si>
  <si>
    <t>CÚCUTA</t>
  </si>
  <si>
    <t>CÓRDOBA</t>
  </si>
  <si>
    <t>MONTERÍA</t>
  </si>
  <si>
    <t>ATLÁNTICO</t>
  </si>
  <si>
    <t>TOLIMA</t>
  </si>
  <si>
    <t>IBAGUÉ</t>
  </si>
  <si>
    <t>SANTANDER</t>
  </si>
  <si>
    <t>HUILA</t>
  </si>
  <si>
    <t>BOYACÁ</t>
  </si>
  <si>
    <t>FLORIDABLANCA</t>
  </si>
  <si>
    <t>CESAR</t>
  </si>
  <si>
    <t>VALLE DEL CAUCA</t>
  </si>
  <si>
    <t>CASANARE</t>
  </si>
  <si>
    <t>META</t>
  </si>
  <si>
    <t>RISARALDA</t>
  </si>
  <si>
    <t>SANTA ROSA DE CABAL</t>
  </si>
  <si>
    <t>DOSQUEBRADAS</t>
  </si>
  <si>
    <t>CALDAS</t>
  </si>
  <si>
    <t>SOACHA</t>
  </si>
  <si>
    <t>ANTIOQUIA</t>
  </si>
  <si>
    <t>MEDELLÍN</t>
  </si>
  <si>
    <t>BELLO</t>
  </si>
  <si>
    <t>SUCRE</t>
  </si>
  <si>
    <t>MAGDALENA</t>
  </si>
  <si>
    <t>NARIÑO</t>
  </si>
  <si>
    <t>VILLA DEL ROSARIO</t>
  </si>
  <si>
    <t>LOS PATIOS</t>
  </si>
  <si>
    <t>SOLEDAD</t>
  </si>
  <si>
    <t>APARTADÓ</t>
  </si>
  <si>
    <t>ENVIGADO</t>
  </si>
  <si>
    <t>ITAGÜÍ</t>
  </si>
  <si>
    <t>COPACABANA</t>
  </si>
  <si>
    <t>PALMIRA</t>
  </si>
  <si>
    <t>CARTAGO</t>
  </si>
  <si>
    <t>GIRÓN</t>
  </si>
  <si>
    <t>Suma de valor total</t>
  </si>
  <si>
    <t>Total general</t>
  </si>
  <si>
    <t>1 AL 3O DE NOVIEMBRE 2025</t>
  </si>
  <si>
    <t>FO-25-1736225</t>
  </si>
  <si>
    <t>FO-25-1736235</t>
  </si>
  <si>
    <t>FO-25-1736243</t>
  </si>
  <si>
    <t>FO-25-1736248</t>
  </si>
  <si>
    <t>FO-25-1736250</t>
  </si>
  <si>
    <t>FO-25-1736289</t>
  </si>
  <si>
    <t>FO-25-1736290</t>
  </si>
  <si>
    <t>FO-25-1736291</t>
  </si>
  <si>
    <t>FO-25-1736292</t>
  </si>
  <si>
    <t>FO-25-1736300</t>
  </si>
  <si>
    <t>FO-25-1736338</t>
  </si>
  <si>
    <t>FO-25-1736339</t>
  </si>
  <si>
    <t>FO-25-1736340</t>
  </si>
  <si>
    <t>FO-25-1736386</t>
  </si>
  <si>
    <t>FO-25-1736422</t>
  </si>
  <si>
    <t>FO-25-1736434</t>
  </si>
  <si>
    <t>FO-25-1736441</t>
  </si>
  <si>
    <t>FO-25-1736442</t>
  </si>
  <si>
    <t>FO-25-1784461</t>
  </si>
  <si>
    <t>FO-25-1784466</t>
  </si>
  <si>
    <t>FO-25-1784469</t>
  </si>
  <si>
    <t>FO-25-1784481</t>
  </si>
  <si>
    <t>FO-25-1794345</t>
  </si>
  <si>
    <t>FO-25-1819933</t>
  </si>
  <si>
    <t>FO-25-1819934</t>
  </si>
  <si>
    <t>FO-25-1819935</t>
  </si>
  <si>
    <t>FO-25-1819936</t>
  </si>
  <si>
    <t>FO-25-1819937</t>
  </si>
  <si>
    <t>FO-25-1819938</t>
  </si>
  <si>
    <t>FO-25-1819941</t>
  </si>
  <si>
    <t>FO-25-1819943</t>
  </si>
  <si>
    <t>FO-25-1819945</t>
  </si>
  <si>
    <t>FO-25-1819949</t>
  </si>
  <si>
    <t>FO-25-1819951</t>
  </si>
  <si>
    <t>FO-25-1819954</t>
  </si>
  <si>
    <t>FO-25-1819955</t>
  </si>
  <si>
    <t>FO-25-1819957</t>
  </si>
  <si>
    <t>FO-25-1819958</t>
  </si>
  <si>
    <t>FO-25-1819965</t>
  </si>
  <si>
    <t>FO-25-1819969</t>
  </si>
  <si>
    <t>FO-25-1819970</t>
  </si>
  <si>
    <t>FO-25-1819972</t>
  </si>
  <si>
    <t>FO-25-1819974</t>
  </si>
  <si>
    <t>FO-25-1819975</t>
  </si>
  <si>
    <t>FO-25-1819978</t>
  </si>
  <si>
    <t>FO-25-1819987</t>
  </si>
  <si>
    <t>FO-25-1819994</t>
  </si>
  <si>
    <t>FO-25-1819996</t>
  </si>
  <si>
    <t>FO-25-1820001</t>
  </si>
  <si>
    <t>FO-25-1820002</t>
  </si>
  <si>
    <t>FO-25-1825623</t>
  </si>
  <si>
    <t>FO-25-1829752</t>
  </si>
  <si>
    <t>FO-25-1838019</t>
  </si>
  <si>
    <t>FO-25-1842464</t>
  </si>
  <si>
    <t>FO-25-1842466</t>
  </si>
  <si>
    <t>FO-25-1842469</t>
  </si>
  <si>
    <t>FO-25-1842473</t>
  </si>
  <si>
    <t>FO-25-1842475</t>
  </si>
  <si>
    <t>FO-25-1842477</t>
  </si>
  <si>
    <t>FO-25-1842480</t>
  </si>
  <si>
    <t>FO-25-1842485</t>
  </si>
  <si>
    <t>FO-25-1842488</t>
  </si>
  <si>
    <t>FO-25-1842490</t>
  </si>
  <si>
    <t>FO-25-1842509</t>
  </si>
  <si>
    <t>FO-25-1842522</t>
  </si>
  <si>
    <t>FO-25-1842525</t>
  </si>
  <si>
    <t>FO-25-1842534</t>
  </si>
  <si>
    <t>FO-25-1842538</t>
  </si>
  <si>
    <t>FO-25-1842539</t>
  </si>
  <si>
    <t>FO-25-1842540</t>
  </si>
  <si>
    <t>FO-25-1842544</t>
  </si>
  <si>
    <t>FO-25-1842549</t>
  </si>
  <si>
    <t>FO-25-1842550</t>
  </si>
  <si>
    <t>FO-25-1842553</t>
  </si>
  <si>
    <t>FO-25-1842557</t>
  </si>
  <si>
    <t>FO-25-1842558</t>
  </si>
  <si>
    <t>FO-25-1842560</t>
  </si>
  <si>
    <t>FO-25-1842567</t>
  </si>
  <si>
    <t>FO-25-1842577</t>
  </si>
  <si>
    <t>FO-25-1842578</t>
  </si>
  <si>
    <t>FO-25-1842584</t>
  </si>
  <si>
    <t>FO-25-1842586</t>
  </si>
  <si>
    <t>FO-25-1842588</t>
  </si>
  <si>
    <t>FO-25-1842589</t>
  </si>
  <si>
    <t>FO-25-1842590</t>
  </si>
  <si>
    <t>FO-25-1842593</t>
  </si>
  <si>
    <t>FO-25-1842596</t>
  </si>
  <si>
    <t>FO-25-1842599</t>
  </si>
  <si>
    <t>FO-25-1842601</t>
  </si>
  <si>
    <t>FO-25-1842602</t>
  </si>
  <si>
    <t>FO-25-1842608</t>
  </si>
  <si>
    <t>FO-25-1842611</t>
  </si>
  <si>
    <t>FO-25-1842612</t>
  </si>
  <si>
    <t>FO-25-1842613</t>
  </si>
  <si>
    <t>FO-25-1842614</t>
  </si>
  <si>
    <t>FO-25-1842615</t>
  </si>
  <si>
    <t>FO-25-1842616</t>
  </si>
  <si>
    <t>FO-25-1842617</t>
  </si>
  <si>
    <t>FO-25-1842618</t>
  </si>
  <si>
    <t>FO-25-1842620</t>
  </si>
  <si>
    <t>FO-25-1842624</t>
  </si>
  <si>
    <t>FO-25-1842627</t>
  </si>
  <si>
    <t>FO-25-1842628</t>
  </si>
  <si>
    <t>FO-25-1842630</t>
  </si>
  <si>
    <t>FO-25-1842634</t>
  </si>
  <si>
    <t>FO-25-1842635</t>
  </si>
  <si>
    <t>FO-25-1842636</t>
  </si>
  <si>
    <t>FO-25-1842637</t>
  </si>
  <si>
    <t>FO-25-1842641</t>
  </si>
  <si>
    <t>FO-25-1842642</t>
  </si>
  <si>
    <t>FO-25-1842644</t>
  </si>
  <si>
    <t>FO-25-1842646</t>
  </si>
  <si>
    <t>FO-25-1842647</t>
  </si>
  <si>
    <t>FO-25-1842655</t>
  </si>
  <si>
    <t>FO-25-1842657</t>
  </si>
  <si>
    <t>FO-25-1842659</t>
  </si>
  <si>
    <t>FO-25-1842664</t>
  </si>
  <si>
    <t>FO-25-1842665</t>
  </si>
  <si>
    <t>FO-25-1842666</t>
  </si>
  <si>
    <t>FO-25-1842668</t>
  </si>
  <si>
    <t>FO-25-1842670</t>
  </si>
  <si>
    <t>FO-25-1842672</t>
  </si>
  <si>
    <t>FO-25-1842674</t>
  </si>
  <si>
    <t>FO-25-1842677</t>
  </si>
  <si>
    <t>FO-25-1842679</t>
  </si>
  <si>
    <t>FO-25-1842680</t>
  </si>
  <si>
    <t>FO-25-1842681</t>
  </si>
  <si>
    <t>FO-25-1842682</t>
  </si>
  <si>
    <t>FO-25-1842685</t>
  </si>
  <si>
    <t>FO-25-1842689</t>
  </si>
  <si>
    <t>FO-25-1842716</t>
  </si>
  <si>
    <t>FO-25-1842719</t>
  </si>
  <si>
    <t>FO-25-1842726</t>
  </si>
  <si>
    <t>FO-25-1842731</t>
  </si>
  <si>
    <t>FO-25-1842732</t>
  </si>
  <si>
    <t>FO-25-1842738</t>
  </si>
  <si>
    <t>FO-25-1842739</t>
  </si>
  <si>
    <t>FO-25-1842740</t>
  </si>
  <si>
    <t>FO-25-1842742</t>
  </si>
  <si>
    <t>FO-25-1842745</t>
  </si>
  <si>
    <t>FO-25-1842747</t>
  </si>
  <si>
    <t>FO-25-1842757</t>
  </si>
  <si>
    <t>FO-25-1842760</t>
  </si>
  <si>
    <t>FO-25-1842761</t>
  </si>
  <si>
    <t>FO-25-1842763</t>
  </si>
  <si>
    <t>FO-25-1842764</t>
  </si>
  <si>
    <t>FO-25-1842767</t>
  </si>
  <si>
    <t>FO-25-1842769</t>
  </si>
  <si>
    <t>FO-25-1842771</t>
  </si>
  <si>
    <t>FO-25-1842773</t>
  </si>
  <si>
    <t>FO-25-1842775</t>
  </si>
  <si>
    <t>FO-25-1842778</t>
  </si>
  <si>
    <t>FO-25-1842787</t>
  </si>
  <si>
    <t>FO-25-1842792</t>
  </si>
  <si>
    <t>FO-25-1842795</t>
  </si>
  <si>
    <t>FO-25-1842797</t>
  </si>
  <si>
    <t>FO-25-1842805</t>
  </si>
  <si>
    <t>FO-25-1842808</t>
  </si>
  <si>
    <t>FO-25-1842811</t>
  </si>
  <si>
    <t>FO-25-1842813</t>
  </si>
  <si>
    <t>FO-25-1842815</t>
  </si>
  <si>
    <t>FO-25-1842819</t>
  </si>
  <si>
    <t>FO-25-1842821</t>
  </si>
  <si>
    <t>FO-25-1842822</t>
  </si>
  <si>
    <t>FO-25-1842831</t>
  </si>
  <si>
    <t>FO-25-1842833</t>
  </si>
  <si>
    <t>FO-25-1842834</t>
  </si>
  <si>
    <t>FO-25-1842837</t>
  </si>
  <si>
    <t>FO-25-1842843</t>
  </si>
  <si>
    <t>FO-25-1842845</t>
  </si>
  <si>
    <t>FO-25-1842848</t>
  </si>
  <si>
    <t>FO-25-1842849</t>
  </si>
  <si>
    <t>FO-25-1842856</t>
  </si>
  <si>
    <t>FO-25-1842860</t>
  </si>
  <si>
    <t>FO-25-1842861</t>
  </si>
  <si>
    <t>FO-25-1842868</t>
  </si>
  <si>
    <t>FO-25-1842869</t>
  </si>
  <si>
    <t>FO-25-1842871</t>
  </si>
  <si>
    <t>FO-25-1842872</t>
  </si>
  <si>
    <t>FO-25-1842874</t>
  </si>
  <si>
    <t>FO-25-1842885</t>
  </si>
  <si>
    <t>FO-25-1842887</t>
  </si>
  <si>
    <t>FO-25-1842896</t>
  </si>
  <si>
    <t>FO-25-1842901</t>
  </si>
  <si>
    <t>FO-25-1842903</t>
  </si>
  <si>
    <t>FO-25-1842905</t>
  </si>
  <si>
    <t>FO-25-1842912</t>
  </si>
  <si>
    <t>FO-25-1842913</t>
  </si>
  <si>
    <t>FO-25-1842919</t>
  </si>
  <si>
    <t>FO-25-1842924</t>
  </si>
  <si>
    <t>FO-25-1842926</t>
  </si>
  <si>
    <t>FO-25-1842927</t>
  </si>
  <si>
    <t>FO-25-1842928</t>
  </si>
  <si>
    <t>FO-25-1842932</t>
  </si>
  <si>
    <t>FO-25-1842933</t>
  </si>
  <si>
    <t>FO-25-1842934</t>
  </si>
  <si>
    <t>FO-25-1842936</t>
  </si>
  <si>
    <t>FO-25-1842939</t>
  </si>
  <si>
    <t>FO-25-1842941</t>
  </si>
  <si>
    <t>FO-25-1842942</t>
  </si>
  <si>
    <t>FO-25-1842943</t>
  </si>
  <si>
    <t>FO-25-1842944</t>
  </si>
  <si>
    <t>FO-25-1843008</t>
  </si>
  <si>
    <t>FO-25-1843009</t>
  </si>
  <si>
    <t>FO-25-1843018</t>
  </si>
  <si>
    <t>FO-25-1843019</t>
  </si>
  <si>
    <t>FO-25-1843020</t>
  </si>
  <si>
    <t>FO-25-1843021</t>
  </si>
  <si>
    <t>FO-25-1843022</t>
  </si>
  <si>
    <t>FO-25-1843023</t>
  </si>
  <si>
    <t>FO-25-1843028</t>
  </si>
  <si>
    <t>FO-25-1843036</t>
  </si>
  <si>
    <t>FO-25-1843037</t>
  </si>
  <si>
    <t>FO-25-1843040</t>
  </si>
  <si>
    <t>FO-25-1843041</t>
  </si>
  <si>
    <t>FO-25-1843044</t>
  </si>
  <si>
    <t>FO-25-1843045</t>
  </si>
  <si>
    <t>FO-25-1843048</t>
  </si>
  <si>
    <t>FO-25-1843050</t>
  </si>
  <si>
    <t>FO-25-1843051</t>
  </si>
  <si>
    <t>FO-25-1843057</t>
  </si>
  <si>
    <t>FO-25-1843071</t>
  </si>
  <si>
    <t>FO-25-1843072</t>
  </si>
  <si>
    <t>FO-25-1843073</t>
  </si>
  <si>
    <t>FO-25-1843078</t>
  </si>
  <si>
    <t>FO-25-1843079</t>
  </si>
  <si>
    <t>FO-25-1843081</t>
  </si>
  <si>
    <t>FO-25-1843084</t>
  </si>
  <si>
    <t>FO-25-1843088</t>
  </si>
  <si>
    <t>FO-25-1843101</t>
  </si>
  <si>
    <t>FO-25-1843103</t>
  </si>
  <si>
    <t>FO-25-1843105</t>
  </si>
  <si>
    <t>FO-25-1843106</t>
  </si>
  <si>
    <t>FO-25-1843107</t>
  </si>
  <si>
    <t>FO-25-1843113</t>
  </si>
  <si>
    <t>FO-25-1843128</t>
  </si>
  <si>
    <t>FO-25-1843134</t>
  </si>
  <si>
    <t>FO-25-1843136</t>
  </si>
  <si>
    <t>FO-25-1843139</t>
  </si>
  <si>
    <t>FO-25-1843140</t>
  </si>
  <si>
    <t>FO-25-1843143</t>
  </si>
  <si>
    <t>FO-25-1843149</t>
  </si>
  <si>
    <t>FO-25-1843152</t>
  </si>
  <si>
    <t>FO-25-1843153</t>
  </si>
  <si>
    <t>FO-25-1843156</t>
  </si>
  <si>
    <t>FO-25-1843157</t>
  </si>
  <si>
    <t>FO-25-1843160</t>
  </si>
  <si>
    <t>FO-25-1843161</t>
  </si>
  <si>
    <t>FO-25-1843172</t>
  </si>
  <si>
    <t>FO-25-1843174</t>
  </si>
  <si>
    <t>FO-25-1843176</t>
  </si>
  <si>
    <t>FO-25-1843178</t>
  </si>
  <si>
    <t>FO-25-1843179</t>
  </si>
  <si>
    <t>FO-25-1843180</t>
  </si>
  <si>
    <t>FO-25-1843185</t>
  </si>
  <si>
    <t>FO-25-1843186</t>
  </si>
  <si>
    <t>FO-25-1843188</t>
  </si>
  <si>
    <t>FO-25-1843190</t>
  </si>
  <si>
    <t>FO-25-1843191</t>
  </si>
  <si>
    <t>FO-25-1843193</t>
  </si>
  <si>
    <t>FO-25-1843195</t>
  </si>
  <si>
    <t>FO-25-1843196</t>
  </si>
  <si>
    <t>FO-25-1843198</t>
  </si>
  <si>
    <t>FO-25-1843199</t>
  </si>
  <si>
    <t>FO-25-1843201</t>
  </si>
  <si>
    <t>FO-25-1843202</t>
  </si>
  <si>
    <t>FO-25-1843204</t>
  </si>
  <si>
    <t>FO-25-1843205</t>
  </si>
  <si>
    <t>FO-25-1843206</t>
  </si>
  <si>
    <t>FO-25-1843207</t>
  </si>
  <si>
    <t>FO-25-1843211</t>
  </si>
  <si>
    <t>FO-25-1843213</t>
  </si>
  <si>
    <t>FO-25-1843214</t>
  </si>
  <si>
    <t>FO-25-1843215</t>
  </si>
  <si>
    <t>FO-25-1843222</t>
  </si>
  <si>
    <t>FO-25-1854824</t>
  </si>
  <si>
    <t>FO-25-1854860</t>
  </si>
  <si>
    <t>FO-25-1854893</t>
  </si>
  <si>
    <t>FO-25-1642809</t>
  </si>
  <si>
    <t>FO-25-1736245</t>
  </si>
  <si>
    <t>FO-25-1736293</t>
  </si>
  <si>
    <t>FO-25-1736320</t>
  </si>
  <si>
    <t>FO-25-1736440</t>
  </si>
  <si>
    <t>FO-25-1819946</t>
  </si>
  <si>
    <t>FO-25-1819948</t>
  </si>
  <si>
    <t>FO-25-1819961</t>
  </si>
  <si>
    <t>FO-25-1819964</t>
  </si>
  <si>
    <t>FO-25-1819968</t>
  </si>
  <si>
    <t>FO-25-1819990</t>
  </si>
  <si>
    <t>FO-25-1819999</t>
  </si>
  <si>
    <t>FO-25-1842533</t>
  </si>
  <si>
    <t>FO-25-1842543</t>
  </si>
  <si>
    <t>FO-25-1842547</t>
  </si>
  <si>
    <t>FO-25-1842561</t>
  </si>
  <si>
    <t>FO-25-1842572</t>
  </si>
  <si>
    <t>FO-25-1842576</t>
  </si>
  <si>
    <t>FO-25-1842603</t>
  </si>
  <si>
    <t>FO-25-1842604</t>
  </si>
  <si>
    <t>FO-25-1842621</t>
  </si>
  <si>
    <t>FO-25-1842643</t>
  </si>
  <si>
    <t>FO-25-1842669</t>
  </si>
  <si>
    <t>FO-25-1842687</t>
  </si>
  <si>
    <t>FO-25-1842715</t>
  </si>
  <si>
    <t>FO-25-1842728</t>
  </si>
  <si>
    <t>FO-25-1842729</t>
  </si>
  <si>
    <t>FO-25-1842730</t>
  </si>
  <si>
    <t>FO-25-1842736</t>
  </si>
  <si>
    <t>FO-25-1842737</t>
  </si>
  <si>
    <t>FO-25-1842744</t>
  </si>
  <si>
    <t>FO-25-1842754</t>
  </si>
  <si>
    <t>FO-25-1842786</t>
  </si>
  <si>
    <t>FO-25-1842789</t>
  </si>
  <si>
    <t>FO-25-1842790</t>
  </si>
  <si>
    <t>FO-25-1842809</t>
  </si>
  <si>
    <t>FO-25-1842820</t>
  </si>
  <si>
    <t>FO-25-1842823</t>
  </si>
  <si>
    <t>FO-25-1842835</t>
  </si>
  <si>
    <t>FO-25-1842836</t>
  </si>
  <si>
    <t>FO-25-1842839</t>
  </si>
  <si>
    <t>FO-25-1842842</t>
  </si>
  <si>
    <t>FO-25-1842844</t>
  </si>
  <si>
    <t>FO-25-1842862</t>
  </si>
  <si>
    <t>FO-25-1842888</t>
  </si>
  <si>
    <t>FO-25-1842910</t>
  </si>
  <si>
    <t>FO-25-1843007</t>
  </si>
  <si>
    <t>FO-25-1843012</t>
  </si>
  <si>
    <t>FO-25-1843024</t>
  </si>
  <si>
    <t>FO-25-1843027</t>
  </si>
  <si>
    <t>FO-25-1843046</t>
  </si>
  <si>
    <t>FO-25-1843083</t>
  </si>
  <si>
    <t>FO-25-1843099</t>
  </si>
  <si>
    <t>FO-25-1843115</t>
  </si>
  <si>
    <t>FO-25-1843141</t>
  </si>
  <si>
    <t>FO-25-1843145</t>
  </si>
  <si>
    <t>FO-25-1843166</t>
  </si>
  <si>
    <t>FO-25-1843184</t>
  </si>
  <si>
    <t>FO-25-1843192</t>
  </si>
  <si>
    <t>FO-25-1843197</t>
  </si>
  <si>
    <t>FO-25-1843203</t>
  </si>
  <si>
    <t>FO-25-1843209</t>
  </si>
  <si>
    <t>FO-25-1843219</t>
  </si>
  <si>
    <t>FO-25-1843220</t>
  </si>
  <si>
    <t>FO-25-1854204</t>
  </si>
  <si>
    <t>FO-25-1854231</t>
  </si>
  <si>
    <t>FO-25-1854349</t>
  </si>
  <si>
    <t>FO-25-1854350</t>
  </si>
  <si>
    <t>FO-25-1854826</t>
  </si>
  <si>
    <t>FO-25-1854829</t>
  </si>
  <si>
    <t>FO-25-1854832</t>
  </si>
  <si>
    <t>FO-25-1854862</t>
  </si>
  <si>
    <t>FO-25-1854877</t>
  </si>
  <si>
    <t>FO-25-1854878</t>
  </si>
  <si>
    <t>FO-25-1854889</t>
  </si>
  <si>
    <t>FO-25-1854890</t>
  </si>
  <si>
    <t>FO-25-1854894</t>
  </si>
  <si>
    <t>FO-25-1854897</t>
  </si>
  <si>
    <t>FO-25-1854898</t>
  </si>
  <si>
    <t>FO-25-1854900</t>
  </si>
  <si>
    <t>FO-25-1854903</t>
  </si>
  <si>
    <t>FO-25-1854911</t>
  </si>
  <si>
    <t>FO-25-1854912</t>
  </si>
  <si>
    <t>BOGOTA Y CUNDINAMARCA</t>
  </si>
  <si>
    <t>BARRIO ACAPULCO BOGOTA</t>
  </si>
  <si>
    <t>BARRIO SANTA VIVIANA BOGOTA</t>
  </si>
  <si>
    <t>BARRIO PUENTE ARANDA BOGOTA 8</t>
  </si>
  <si>
    <t>BARRIO RAFAEL NUÑEZ BOGOTA</t>
  </si>
  <si>
    <t>BARRIO PATIO BONITO BOGOTA 30</t>
  </si>
  <si>
    <t>CENTRO</t>
  </si>
  <si>
    <t>BARRIO TOLEDO PLATA CUCUTA 4</t>
  </si>
  <si>
    <t>BARRIO CLARET CUCUTA 4</t>
  </si>
  <si>
    <t>BARRIO LA CORDIALIDAD LOS PATIOS  11</t>
  </si>
  <si>
    <t>BARRIO ONCE DE NOVIEMBRE LOS PATIOS 8</t>
  </si>
  <si>
    <t>SUR</t>
  </si>
  <si>
    <t>BARRIO CAMPO HERMOSO MANIZALES</t>
  </si>
  <si>
    <t>BARRIO LAGUITOS LA PRADERA DOSQUEBRADAS</t>
  </si>
  <si>
    <t>BARRIO MIRADOR LA ESTANCIA DOSQUEBRADAS</t>
  </si>
  <si>
    <t>BARRIO LA PRADERA DOSQUEBRADAS 5</t>
  </si>
  <si>
    <t>BARRIO MELENDEZ CALI 5</t>
  </si>
  <si>
    <t>BARRIO GUAYACANES MANIZALES 1</t>
  </si>
  <si>
    <t>BARRIO EL BERNAL PASTO 1</t>
  </si>
  <si>
    <t>BARRIO CENTRO SANTA ROSA DE CABAL 7</t>
  </si>
  <si>
    <t>BARRIO BOLIVAR SANTA ROSA DE  CABAL</t>
  </si>
  <si>
    <t>CARIBE</t>
  </si>
  <si>
    <t>BARRIO VILLA DE LAS MORAS LL SOLEDAD</t>
  </si>
  <si>
    <t>BARRIO VALLE GRANDE V - CALI</t>
  </si>
  <si>
    <t>BARRIO PUENTE ARANDA BOGOTA 3</t>
  </si>
  <si>
    <t>BARRIO ALFONSO BONILLA ARAGON  CALI</t>
  </si>
  <si>
    <t>BARRIO PANCE CALI 1</t>
  </si>
  <si>
    <t>BARRIO LA CAÑIZA BOGOTA</t>
  </si>
  <si>
    <t>BARRIO BOSA BOGOTA 10</t>
  </si>
  <si>
    <t>BARRIO HAMBURGO PEREIRA</t>
  </si>
  <si>
    <t>BARRIO ALCAZARES MANIZALES</t>
  </si>
  <si>
    <t>BARRIO MUZU II BOGOTA</t>
  </si>
  <si>
    <t>BARRIO ARBOLEDA - MANIZALES</t>
  </si>
  <si>
    <t>BARRIO LA PRADERA I - DOSQUEBRADAS</t>
  </si>
  <si>
    <t>BARRIO BOSQUE VILLAVICENCIO</t>
  </si>
  <si>
    <t>BARRIO CENTRO 34</t>
  </si>
  <si>
    <t>BARRIO PARAISO BOGOTA 1</t>
  </si>
  <si>
    <t>BARRIO POLICARPA APARTADO 1</t>
  </si>
  <si>
    <t>BARRIO BOSA SANTA FE BOGOTA 2</t>
  </si>
  <si>
    <t>BARRIO FATIMA MANIZALES 3</t>
  </si>
  <si>
    <t>BARRIO MACARENA VILLAVICENCIO</t>
  </si>
  <si>
    <t>PALERMO</t>
  </si>
  <si>
    <t>BARRIO EDUARDO SANTOS PALERMO</t>
  </si>
  <si>
    <t>BARRIO CENTRO TUNJA 18</t>
  </si>
  <si>
    <t>BARRIO COSTA HERMOSA 8</t>
  </si>
  <si>
    <t>BARRIO BOSA EL ANHELO BOGOTA</t>
  </si>
  <si>
    <t>BARRIO SANTA CRUZ LA ROSA MEDELLIN</t>
  </si>
  <si>
    <t>BARRIO NIQUIA BELLO 14</t>
  </si>
  <si>
    <t>BARRIO LA GAVIOTA IBAGUE 5</t>
  </si>
  <si>
    <t>YUMBO</t>
  </si>
  <si>
    <t>BARRIO BOLIVAR YUMBO 4</t>
  </si>
  <si>
    <t>BARRIO INCORA SINCELEJO</t>
  </si>
  <si>
    <t xml:space="preserve">BARRIO BOSQUES DE LA RIVERA VILLAVICENCIO </t>
  </si>
  <si>
    <t>BARRIO VEREDA RINCON DAPA</t>
  </si>
  <si>
    <t>BARRIO LA HERMOSA SANTA ROSA DE CABAL 6</t>
  </si>
  <si>
    <t>BARRIO EL CARMEN CARTAGO 1</t>
  </si>
  <si>
    <t>BARRIO SAN MARTIN VALLEDUPAR 3</t>
  </si>
  <si>
    <t>BARRIO SAN LUIS BOGOTA 2</t>
  </si>
  <si>
    <t>BARRIO CHAPINERO ALTO PARDO RUBIO BOGOTA</t>
  </si>
  <si>
    <t>BARRIO PEDREGAL</t>
  </si>
  <si>
    <t>BARRIO MANRIQUE ORIENTAL</t>
  </si>
  <si>
    <t>BARRIO EL TRIUNFO</t>
  </si>
  <si>
    <t>BARRIO MANRIQUE GUADALUPE</t>
  </si>
  <si>
    <t>BARRIO EL CARMELO</t>
  </si>
  <si>
    <t>BARRIO LA MILAGROSA II</t>
  </si>
  <si>
    <t>BARRIO CERRO EL VOLADOR</t>
  </si>
  <si>
    <t>SAN CRISTOBAL PARQUE - ANTIOQUIA</t>
  </si>
  <si>
    <t>BARRIO VISTA HERMOSA</t>
  </si>
  <si>
    <t>BARRIO SANTA MARIA - ITAGUI</t>
  </si>
  <si>
    <t>BARRIO JORDAN III- IBAGUE</t>
  </si>
  <si>
    <t>BARRIO DOCE DE OCTUBRE II MEDELLIN</t>
  </si>
  <si>
    <t>BARRIO LAS AMERICAS PEREIRA</t>
  </si>
  <si>
    <t>BARRIO EL LIMONAR 1 SAN ANTONIO DE PRADO MEDELLIN</t>
  </si>
  <si>
    <t>BARRIO PATIO BONITO X BOGOTA</t>
  </si>
  <si>
    <t>BARRIO MATATIGRES BOGOTA</t>
  </si>
  <si>
    <t>BARRIO ZAMORA II BELLO</t>
  </si>
  <si>
    <t>BARRIO SALVADOR MEDELLÍN</t>
  </si>
  <si>
    <t>GIRARDOTA</t>
  </si>
  <si>
    <t>BARRIO VEREDA PORTACHUELO GIRARDOTA</t>
  </si>
  <si>
    <t>BARRIO MODELIA XIII BOGOTA</t>
  </si>
  <si>
    <t>BARRIO CENTRO XLIII - MEDELLÍN</t>
  </si>
  <si>
    <t>BARRIO SANTA CRUZ X MEDELLIN</t>
  </si>
  <si>
    <t>BARRIO CENTRO XLXIII - MEDELLÍN</t>
  </si>
  <si>
    <t>BARRIO CENTRO ITAGUI</t>
  </si>
  <si>
    <t>BARRIO KENNEDY IX BOGOTA</t>
  </si>
  <si>
    <t>BARRIO LA PLAYITA - CALDAS</t>
  </si>
  <si>
    <t>BARRIO JESUS NAZARENO III - MEDELLÍN</t>
  </si>
  <si>
    <t xml:space="preserve">BARRIO ALQUERIA - BOGOTÁ </t>
  </si>
  <si>
    <t>ROBLEDO DIAMANTE MEDELLIN - ANTIOQUIA</t>
  </si>
  <si>
    <t>BARRIO BOSA ATALAYAS III - BOGOTÁ</t>
  </si>
  <si>
    <t>TIMIZA BOGOTA - CUNDINAMARCA</t>
  </si>
  <si>
    <t>BOSA NARANJOS BOGOTA - CUNDINAMARCA</t>
  </si>
  <si>
    <t>BARRIO LA ESPAÑOLA BOGOTA</t>
  </si>
  <si>
    <t>CENTRO LLL MEDELLIN - ANTIOQUIA</t>
  </si>
  <si>
    <t>BARRIO VENECIA IX BOGOTA</t>
  </si>
  <si>
    <t>BARRIO CENTRO 45 MEDELLIN</t>
  </si>
  <si>
    <t>BARRIO CENTRO CR 8 PEREIRA</t>
  </si>
  <si>
    <t>BARRIO LAURELES MEDELLIN</t>
  </si>
  <si>
    <t>BARRIO AURELIO MEJIA GIRARDOTA</t>
  </si>
  <si>
    <t>BARRIO MANRIQUE XVI - MEDELLÍN</t>
  </si>
  <si>
    <t>BARRIO SAN MARCOS - ENVIGADO</t>
  </si>
  <si>
    <t xml:space="preserve">BARRIO MADELENA 5 - BOGOTÁ </t>
  </si>
  <si>
    <t>BARRIO KENNEDY 20 - BOGOTÁ</t>
  </si>
  <si>
    <t>BARRIO SANTO DOMINGO - BELLO</t>
  </si>
  <si>
    <t>BARRIO CENTRO 2 MEDELLIN</t>
  </si>
  <si>
    <t>BARRIO MANRIQUE ORIENTAL MEDELLIN</t>
  </si>
  <si>
    <t>BARRIO GALAN 6 BOGOTÁ</t>
  </si>
  <si>
    <t xml:space="preserve">BARRIO CENTRO  25 - BUCARAMANGA </t>
  </si>
  <si>
    <t>BARRIO PERDOMO BOGOTA 3</t>
  </si>
  <si>
    <t>BARRIO NAVARRA 3  BELLO</t>
  </si>
  <si>
    <t>BARRIO BELLO LA GABRIELA</t>
  </si>
  <si>
    <t>BARRIO SAN FRANCISCO 9</t>
  </si>
  <si>
    <t>BARRIO SAN FRANCISCO 10</t>
  </si>
  <si>
    <t>BARRIO SUBA CAÑIZA 2</t>
  </si>
  <si>
    <t>BARRIO CENTRO 78 MEDELLÍN</t>
  </si>
  <si>
    <t>BARRIO  CENTRO 28  BUCARAMANGA</t>
  </si>
  <si>
    <t>BARRIO SAN FELIX 2 BELLO</t>
  </si>
  <si>
    <t>BARRIO DINDALITO BELLAVISTA  BOGOTÁ</t>
  </si>
  <si>
    <t>BARRIO SAN GABRIEL ITAGUI III</t>
  </si>
  <si>
    <t>BARRIO LA 33 MEDELLIN 2</t>
  </si>
  <si>
    <t>BARRIO VIRREY BOGOTA</t>
  </si>
  <si>
    <t>BARRIO ISLA DEL SOL BOGOTA</t>
  </si>
  <si>
    <t>BARRIO ENCISO MEDELLIN 2</t>
  </si>
  <si>
    <t>BARRIO TERRAZAS BUCARAMANGA</t>
  </si>
  <si>
    <t>BARRIO PEDREGAL MEDELLIN</t>
  </si>
  <si>
    <t>BARRIO ALFONSO LOPEZ BOGOTA</t>
  </si>
  <si>
    <t>BARRIO NIQUIA EL BURRO BELLO</t>
  </si>
  <si>
    <t>BARRIO MINUTO DE DIOS BOGOTA 1</t>
  </si>
  <si>
    <t>BARRIO MARIDIAZ PASTO 2</t>
  </si>
  <si>
    <t>BARRIO FATIMA BOGOTA 3</t>
  </si>
  <si>
    <t>BARRIO MOLINOS BOGOTA 1</t>
  </si>
  <si>
    <t>BARRIO SANTA PAULA BOGOTA</t>
  </si>
  <si>
    <t>BARRIO ZAMORA BELLO 2</t>
  </si>
  <si>
    <t>BARRIO LOS ROBLES SOLEDAD</t>
  </si>
  <si>
    <t>BARRIO PATIO BONITO 1 SECTOR</t>
  </si>
  <si>
    <t>BARRIO ENCISO MEDELLIN 4</t>
  </si>
  <si>
    <t>BARRIO CENTRO BUCARAMANGA 4</t>
  </si>
  <si>
    <t>BARRIO SUAREZ TUNJA</t>
  </si>
  <si>
    <t>BARRIO CANDELARIA SUR VALLEDUPAR 1</t>
  </si>
  <si>
    <t>BARRIO LA ACACIA BOGOTA</t>
  </si>
  <si>
    <t>BARRIO CENTRO PEREIRA 32</t>
  </si>
  <si>
    <t>BARRIO DOCE DE OCTUBRE MEDELLIN 1</t>
  </si>
  <si>
    <t>BARRIO COMUNEROS CALI 1</t>
  </si>
  <si>
    <t>BARRIO EL LLANO MEDELLIN</t>
  </si>
  <si>
    <t>BARRIO SANTA MARIA BOGOTA</t>
  </si>
  <si>
    <t>BARRIO CIUDAD JARDIN NORTE BOGOTA 5</t>
  </si>
  <si>
    <t>BARRIO RICAUTE BUCARAMANGA 2</t>
  </si>
  <si>
    <t>BARRIO CALLE SANTANA PARQUE PRINCIPAL GIRARDOTA</t>
  </si>
  <si>
    <t>BARRIO BUCARAMANGA BUCARAMANGA 6</t>
  </si>
  <si>
    <t>BARRIO CENTRO BOGOTA 37</t>
  </si>
  <si>
    <t>BARRIO ITAGUI ITAGUI 14</t>
  </si>
  <si>
    <t>BARRIO LA GRANJA BOGOTA 2</t>
  </si>
  <si>
    <t>BARRIO EL SALADO IBAGUE 8</t>
  </si>
  <si>
    <t>BARRIO NUEVA GRANADA BOGOTA</t>
  </si>
  <si>
    <t>BARRIO JUAN REY BOGOTA 1</t>
  </si>
  <si>
    <t>BARRIO DIANA TURBAY BOGOTA 5</t>
  </si>
  <si>
    <t>BARRIO CENTRO BUCARAMANGA 50</t>
  </si>
  <si>
    <t>BARRIO LOS MAYALES VALLEDUPAR</t>
  </si>
  <si>
    <t>BARRIO LAS FERIAS BOGOTA 5</t>
  </si>
  <si>
    <t>BARRIO CENTRO BOGOTA 38</t>
  </si>
  <si>
    <t>BARRIO CENTRO BOGOTA 39</t>
  </si>
  <si>
    <t>BARRIO CENTRO BUCARAMANGA 56</t>
  </si>
  <si>
    <t>BARRIO CENTRO BUCARAMANGA 57</t>
  </si>
  <si>
    <t>BARRIO NUEVA ZELANDIA BOGOTA 8</t>
  </si>
  <si>
    <t>BARRIO MARCO FIDEL SUAREZ BOGOTA 1</t>
  </si>
  <si>
    <t>BARRIO ANDALUCIA BOGOTA 1</t>
  </si>
  <si>
    <t>BARRIO ROMA BOGOTA 11</t>
  </si>
  <si>
    <t>BARRIO ANTIOQUIA MEDELLIN</t>
  </si>
  <si>
    <t>BARRIO VILLA DEL RIO BOGOTA 6</t>
  </si>
  <si>
    <t>BARRIO MIRAFLORES KENNEDY BOGOTA</t>
  </si>
  <si>
    <t>BARRIO BOSA ISLANDIA BOGOTA 2</t>
  </si>
  <si>
    <t>BARRIO COAVICONSA BUCARAMANGA 3</t>
  </si>
  <si>
    <t>BARRIO EL BOSQUE BOGOTA 2</t>
  </si>
  <si>
    <t>BARRIO MARTIRES BOGOTA  4</t>
  </si>
  <si>
    <t xml:space="preserve">BARRIO REMANSO SUR BOGOTA </t>
  </si>
  <si>
    <t>BOSA JIMENEZ DE QUESADA</t>
  </si>
  <si>
    <t>BARRIO LA RIVERA BOGOTA</t>
  </si>
  <si>
    <t>BARRIO MORICHAL DE COMFANDI CALI  1</t>
  </si>
  <si>
    <t>BARRIO LAURELES MEDELLIN  17</t>
  </si>
  <si>
    <t xml:space="preserve">BARRIO TRICENTENARIO MEDELLIN </t>
  </si>
  <si>
    <t>SAN JOSE BOGOTA 6</t>
  </si>
  <si>
    <t xml:space="preserve">CIUDAD JARDIN </t>
  </si>
  <si>
    <t>BARRIO ENVIGADO LA MINA</t>
  </si>
  <si>
    <t>BARRIO PROVENZA BUCARAMANGOA 13</t>
  </si>
  <si>
    <t>BARRIO BOSA MARGARITAS BOGOTA 3</t>
  </si>
  <si>
    <t>BARRIO LA ACACIA BOGOTA 1</t>
  </si>
  <si>
    <t>BOGOTA CAMPIÑA</t>
  </si>
  <si>
    <t>BARRIO FATIMA BOGOTA 9</t>
  </si>
  <si>
    <t>BARRIO MANRIQUE MEDELLIN  25</t>
  </si>
  <si>
    <t>BARRIO CHAPINERO BOGOTA 28</t>
  </si>
  <si>
    <t>BARRIO SANTO DOMINGO MEDELLIN 7</t>
  </si>
  <si>
    <t>BARRIO QUIROGA BOGOTA 11</t>
  </si>
  <si>
    <t>BARRIO FRANCISCO ANTONIO SEA MEDELLIN</t>
  </si>
  <si>
    <t>BARRIO SAN FRANCISCO TUNJA 1</t>
  </si>
  <si>
    <t>BARRIO VERBENAL BOGOTA 9</t>
  </si>
  <si>
    <t>BARRIO CANTACLARO MONTERIA 9</t>
  </si>
  <si>
    <t>BARRIO MANRIQUE ORIENTAL MEDELLIN 4</t>
  </si>
  <si>
    <t>BARRIO CAICEDO TRES ESQUINAS MEDELLIN</t>
  </si>
  <si>
    <t>BARRIO SAN JORGE SUR BOGOTA  4</t>
  </si>
  <si>
    <t>BARRIO LA FAVORITA BOGOTA 5</t>
  </si>
  <si>
    <t>BARRIO BOSA EL BOSQUE BOGOTA</t>
  </si>
  <si>
    <t>BARRIO NUEVA TIBABUYES BOGOTA</t>
  </si>
  <si>
    <t>BARRIO LAS ACACIAS BOGOTA 1</t>
  </si>
  <si>
    <t>BARRIO SAN BENITO MEDELLIN 6</t>
  </si>
  <si>
    <t>BARRIO BOSA LAURELES BOGOTA 5</t>
  </si>
  <si>
    <t>BARRIO RESTREPO OCCIDENTAL BOGOTA 2</t>
  </si>
  <si>
    <t>BARRIO LA TOSCANA BOGOTA</t>
  </si>
  <si>
    <t>BARRIO VISION DE COLOMBIA BOGOTA 1</t>
  </si>
  <si>
    <t>BARRIO SANTA SOFIA BOGOTA 4</t>
  </si>
  <si>
    <t>BARRIO LAGOS IV FLORIDABLANCA</t>
  </si>
  <si>
    <t>BARRIO HACIENDA SAN JUAN FLORIDABLANCA</t>
  </si>
  <si>
    <t>BARRIO PERLA DEL SUR PEREIRA</t>
  </si>
  <si>
    <t>BARRIO CASA BLANCA BOGOTA 3</t>
  </si>
  <si>
    <t>BARRIO SANTA CRUZ MEDELLIN 3</t>
  </si>
  <si>
    <t>BARRIO SANTA CRUZ MEDELLIN 4</t>
  </si>
  <si>
    <t>BARRIO CENTRO BUCARAMANGA 14</t>
  </si>
  <si>
    <t>BARRIO ALTICO SOACHA</t>
  </si>
  <si>
    <t>BARRIO REPOSO FLORIDABLANCA</t>
  </si>
  <si>
    <t>BARRIO CENTRO MEDELLIN 37</t>
  </si>
  <si>
    <t>BARRIO DANUBIO AZUL BOGOTA 1</t>
  </si>
  <si>
    <t>BARRIO JULIO RINCON SOACHA SOACHA</t>
  </si>
  <si>
    <t>BARRIO SAN JOSE ENVIGADO 1</t>
  </si>
  <si>
    <t>BARRIO 12 DE MARZO MEDELLIN</t>
  </si>
  <si>
    <t>BARRIO PRADITO MEDELLIN 2</t>
  </si>
  <si>
    <t>BARRIO CABECERA BUCARAMANGA 4</t>
  </si>
  <si>
    <t>BARRIO BELLO HORIZONTE TUNJA 1</t>
  </si>
  <si>
    <t>BARRIO CASCO ANTIGUO FLORIDABLANCA 2</t>
  </si>
  <si>
    <t>BARRIO BOSA PRIMAVERA BOGOTA</t>
  </si>
  <si>
    <t>BARRIO SANTA ELENA MEDELLIN 1</t>
  </si>
  <si>
    <t>BARRIO KENNEDY BOGOTA 4</t>
  </si>
  <si>
    <t>BARRIO 45078 BUCARAMANGA</t>
  </si>
  <si>
    <t>BARRIO BOSA BRASIL BOGOTA 3</t>
  </si>
  <si>
    <t>BARRIO REMANSOS DE COMFANDI CALI 1</t>
  </si>
  <si>
    <t>BARRIO SAN CRISTOBAL BOGOTA 3</t>
  </si>
  <si>
    <t>BARRIO ROBLEDO AURES MEDELLIN 1</t>
  </si>
  <si>
    <t>BARRIO CENTRO TUNJA 12</t>
  </si>
  <si>
    <t>BARRIO HORIZONTES BOGOTA</t>
  </si>
  <si>
    <t>BARRIO LUCERO BAJO BOGOTA 3</t>
  </si>
  <si>
    <t>BARRIO MOSQUERA MOSQUERA 6</t>
  </si>
  <si>
    <t>BARRIO VEREDA EL PARAISO GIRARDOTA</t>
  </si>
  <si>
    <t>BARRIO MOSQUERA MOSQUERA 7</t>
  </si>
  <si>
    <t>BARRIO SAN EUSEBIO BOGOTA</t>
  </si>
  <si>
    <t>BARRIO BOSA BETANIA BOGOTA 1</t>
  </si>
  <si>
    <t>BARRIO TAMASAGRA II PASTO</t>
  </si>
  <si>
    <t>BARRIO TINTALITO BOGOTA 2</t>
  </si>
  <si>
    <t>BARRIO SAN JUAN BAUTISTA BOGOTA</t>
  </si>
  <si>
    <t>BARRIO LA AMISTAD SOACHA</t>
  </si>
  <si>
    <t>BARRIO 20 DE JULIO BOGOTA 5</t>
  </si>
  <si>
    <t>BARRIO LAS TORRES BOGOTA 1</t>
  </si>
  <si>
    <t>BARRIO CENTRO MEDELLIN 73</t>
  </si>
  <si>
    <t>BARRIO RINCON DE GIRON GIRON 4</t>
  </si>
  <si>
    <t>BARRIO SANTA ANITA PASTO</t>
  </si>
  <si>
    <t>BARRIO SAN FRANCISCO BOGOTA 2</t>
  </si>
  <si>
    <t>BARRIO EL JARDIN CALI 1</t>
  </si>
  <si>
    <t>BARRIO LOS CEREZOS CALDAS</t>
  </si>
  <si>
    <t>BARRIO EL CARMEN FLORIDABLANCA 3</t>
  </si>
  <si>
    <t>BARRIO MARISCAL SUCRE SOACHA 1</t>
  </si>
  <si>
    <t>BARRIO GIRON GIRON 5</t>
  </si>
  <si>
    <t>BARRIO SAN MATEO SOACHA 17</t>
  </si>
  <si>
    <t>BARRIO PUERTO MADERO GIRON 1</t>
  </si>
  <si>
    <t>BARRIO CENTRO SINCELEJO 21</t>
  </si>
  <si>
    <t>BARRIO EL SOL SOACHA</t>
  </si>
  <si>
    <t>VILLA MARIA ET 4</t>
  </si>
  <si>
    <t>QUINTAS DE LA LAGUNA SOACHA CUNDINAMARCA</t>
  </si>
  <si>
    <t>VILLA ITALIA SOACHA 1</t>
  </si>
  <si>
    <t>BARRIO INDUMIL SOACHA</t>
  </si>
  <si>
    <t>BARRIO VALLE SANTA ANA SOACHA</t>
  </si>
  <si>
    <t>MOSQUERA SANTELMO</t>
  </si>
  <si>
    <t>SINCELEJO CUATRO VIENTOS</t>
  </si>
  <si>
    <t>BARRIO SANTA ANA FLORIDABLANCA  5</t>
  </si>
  <si>
    <t>BARRIO GIRON GIRON 15</t>
  </si>
  <si>
    <t>BARRIO CENTRO TUNJA 31</t>
  </si>
  <si>
    <t>BARRIO LAGOS DE MALIBÚ SOACHA</t>
  </si>
  <si>
    <t>BARRIO BOSA CARBONEL BOGOTA 1</t>
  </si>
  <si>
    <t>BARRIO BOSA CARBONEL BOGOTA</t>
  </si>
  <si>
    <t>BARRIO FLORIDA NUEVA MEDELLIN</t>
  </si>
  <si>
    <t>BARRIO SAN MATEO SOACHA 2</t>
  </si>
  <si>
    <t>BARRIO GIRARDOTA ANTIOQUIA</t>
  </si>
  <si>
    <t>BARRIO EL MUELLE ENGATIVA BOGOTA</t>
  </si>
  <si>
    <t>BARRIO CENTRO SOLEDAD 1</t>
  </si>
  <si>
    <t xml:space="preserve">BARRIO VILLA ITALIA SOACHA   </t>
  </si>
  <si>
    <t>BARRIO COMPARTIR SOACHA 4</t>
  </si>
  <si>
    <t xml:space="preserve">BARRIO VILLA LOMITAS DEL ROSARIO </t>
  </si>
  <si>
    <t>BARRI MINUTO DE DIOS NEIVA</t>
  </si>
  <si>
    <t>MATERIALES EMO - PEREIRA</t>
  </si>
  <si>
    <t>BARRIO NACIONAL IBAGUE</t>
  </si>
  <si>
    <t>BARRIO LAS MARGARITAS BOGOTA  4</t>
  </si>
  <si>
    <t>BARRIO SAN MARTIN VILLA DEL ROSARIO  2</t>
  </si>
  <si>
    <t>BARRIO EL PILAR PASTO 3</t>
  </si>
  <si>
    <t>BARRIO VIA EL POLLO LA ROMELIA DOSQUEBRADAS</t>
  </si>
  <si>
    <t>BARRIO TEJARES DE LA LOMA 1</t>
  </si>
  <si>
    <t>BARRIO CENTRO PEREIRA 8</t>
  </si>
  <si>
    <t xml:space="preserve">BARRIO GAVIOTAS VILLAVICENCIO </t>
  </si>
  <si>
    <t>BARRIO HIPODROMO IBAGUE 6</t>
  </si>
  <si>
    <t>BARRIO LOS LIBERTADORES YOPAL</t>
  </si>
  <si>
    <t>BARRIO LA FLORIDA BELLO 1</t>
  </si>
  <si>
    <t>BARRIO AV ARGELIA SINCELEJO</t>
  </si>
  <si>
    <t>BARRIO BUENOS AIRES V - MEDELLIN</t>
  </si>
  <si>
    <t>BARRIO NUEVO SOTOMAYOR II BUCARAMANGA</t>
  </si>
  <si>
    <t>BARRIO LA ASUNCION COPACABANA</t>
  </si>
  <si>
    <t>BARRIO SAN PABLO MEDELLIN</t>
  </si>
  <si>
    <t>BARRIO TINTALITO - BOGOTA</t>
  </si>
  <si>
    <t>BARRIO BLANQUIZAL - MEDELLIN</t>
  </si>
  <si>
    <t>BARRIO SAN FRANCISCO 8 BOGOTA</t>
  </si>
  <si>
    <t>BARRIO LAS MERCEDES PASTO</t>
  </si>
  <si>
    <t>BARRIO PATIO BONITO 13 BOGOTÁ</t>
  </si>
  <si>
    <t>BARRIO SUBA LISBOA 2 BOGOTÁ</t>
  </si>
  <si>
    <t>BARRIO VILLACOLOMBIA CALI</t>
  </si>
  <si>
    <t>BARRIO GIRASOL BELLO</t>
  </si>
  <si>
    <t>BARRIO PALOQUEMAO BOGOTA 5</t>
  </si>
  <si>
    <t>BARRIO LA AMERICA MEDELLIN 8</t>
  </si>
  <si>
    <t>BARRIO LA VICTORIA BOGOTA 4</t>
  </si>
  <si>
    <t>BARRIO CASTILLA BOGOTA 14</t>
  </si>
  <si>
    <t>BARRIO BOSA LA CABAÑA BOGOTA 2</t>
  </si>
  <si>
    <t>BARRIO JORDAN III ETAPA IBAGUE</t>
  </si>
  <si>
    <t xml:space="preserve">BARRIO MARIA ISABEL PASTO </t>
  </si>
  <si>
    <t>BARRIO SANTA BARBARA 1 BUCARAMANGA</t>
  </si>
  <si>
    <t>BARRIO DANUBIO AZUL BOGOTA 5</t>
  </si>
  <si>
    <t>BARRIO SALOMIA CALI 5</t>
  </si>
  <si>
    <t>BARRIO QUIROGA BOGOTA 9</t>
  </si>
  <si>
    <t>BARRIO LA VICTORIA BOGOTA 5</t>
  </si>
  <si>
    <t>BARRIO VISTA HERMOSA BOGOTA 1</t>
  </si>
  <si>
    <t>BARRIO BRAVO PAEZ BOGOTA</t>
  </si>
  <si>
    <t>BARRIO SAN VICENTE CALI  8</t>
  </si>
  <si>
    <t>MANRIQUE CENTRAL 6</t>
  </si>
  <si>
    <t>VILLA DEL RIO  7</t>
  </si>
  <si>
    <t xml:space="preserve">SAN JUAN BOSCO 1 </t>
  </si>
  <si>
    <t>PUERTAS DEL LLANO</t>
  </si>
  <si>
    <t xml:space="preserve">BARRIO EL POPULAR 2 MEDELLIN </t>
  </si>
  <si>
    <t>BARRIO BOSA CALDAS BOGOTA</t>
  </si>
  <si>
    <t>BARRIO BELEN LA PALMA MEDELLIN  3</t>
  </si>
  <si>
    <t>EXXON BARRIO ALTOS DE ROSALES FLORIDABLANCA</t>
  </si>
  <si>
    <t>CHIMITA GIRON I - SANTANDER</t>
  </si>
  <si>
    <t>BARRIO GUADUALES GIRON</t>
  </si>
  <si>
    <t>BARRIO SUBA PINAR BOGOTA 2</t>
  </si>
  <si>
    <t>BARRIO SAN RAFAEL BOGOTA 1</t>
  </si>
  <si>
    <t>BARRIO PATIO BONITO SEC II</t>
  </si>
  <si>
    <t>BARRIO SOACHA CIUDAD VERDE SOACHA 1</t>
  </si>
  <si>
    <t>BARRIO SOACHA LAS VEGAS SOACHA</t>
  </si>
  <si>
    <t>BARRIO EL RECREO SAN FELIX DOSQUEBRADAS</t>
  </si>
  <si>
    <t>BARRIO BOSA SAN MARTIN BOGOTA</t>
  </si>
  <si>
    <t>BARRIO VERAGUAS BOGOTA</t>
  </si>
  <si>
    <t>BARRIO SOACHA SAN LUIS SOACHA</t>
  </si>
  <si>
    <t>BARRIO COMPARTIR SOACHA 7</t>
  </si>
  <si>
    <t>BARRIO CAÑAVERAL FLORIDABLANCA 6</t>
  </si>
  <si>
    <t>BARRIO SAN HUMBERTO SOACHA 3</t>
  </si>
  <si>
    <t>BARRIO SAN MATEO SOACHA 3</t>
  </si>
  <si>
    <t>BARRIO SANTA CRUZ MEDELLIN 2</t>
  </si>
  <si>
    <t>BARRIO MANRIQUE MEDELLIN 5</t>
  </si>
  <si>
    <t>BARRIO VEREDA SANTA ELENA MEDELLÍN</t>
  </si>
  <si>
    <t>BARRIO VRD JALISCO BELLO</t>
  </si>
  <si>
    <t>BARRIO COSTA HERMOSA SOLEDAD 5</t>
  </si>
  <si>
    <t>BARRIO COSTA HERMOSA SOLEDAD 6</t>
  </si>
  <si>
    <t>BARRIO SALADO IBAGUE 2</t>
  </si>
  <si>
    <t>BARRIO AMBALA IBAGUE 4</t>
  </si>
  <si>
    <t>BARRIO AMBALA IBAGUE 11</t>
  </si>
  <si>
    <t>BARRIO EL CENTRO NEIVA 12</t>
  </si>
  <si>
    <t>BARRIO URBANIZACION EL BOSQUE</t>
  </si>
  <si>
    <t>Barrio Llano Grande - Palmira</t>
  </si>
  <si>
    <t xml:space="preserve">BARRIO LA TORRE PALMIRA </t>
  </si>
  <si>
    <t>BARRIO ALTAMIRA PALMIRA 2</t>
  </si>
  <si>
    <t>BARRIO MARALLA PEREIRA</t>
  </si>
  <si>
    <t>BARRIO GUADALCANAL CUBA PEREIRA 1</t>
  </si>
  <si>
    <t>BARRIO LA CAMPIÑA PEREIRA</t>
  </si>
  <si>
    <t>BARRIO EL JARDIN ETAPA 3 PEREIRA</t>
  </si>
  <si>
    <t>BARRIO GAIRA SANTA MARTA 9</t>
  </si>
  <si>
    <t>BARRIO VILLA LUZ TUNJA 2</t>
  </si>
  <si>
    <t>BARRIO SANTA TERESA TUNJA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</si>
</sst>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  <numFmt numFmtId="165" formatCode="&quot;$&quot;\ #,##0"/>
    <numFmt numFmtId="166" formatCode="yyyy\-mm\-dd;@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rgb="FF000000"/>
      <name val="Gelion Thin"/>
    </font>
    <font>
      <b/>
      <sz val="10"/>
      <color theme="1"/>
      <name val="Gelion Thin"/>
    </font>
    <font>
      <sz val="10"/>
      <color theme="1"/>
      <name val="Gelion Thin"/>
    </font>
    <font>
      <sz val="11"/>
      <color rgb="FF00B05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4" fillId="3" borderId="3" xfId="0" applyFont="1" applyFill="1" applyBorder="1" applyAlignment="1">
      <alignment vertical="center"/>
    </xf>
    <xf numFmtId="0" fontId="4" fillId="3" borderId="4" xfId="0" applyFont="1" applyFill="1" applyBorder="1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horizontal="center" vertical="center"/>
    </xf>
    <xf numFmtId="164" fontId="6" fillId="0" borderId="9" xfId="1" applyNumberFormat="1" applyFont="1" applyBorder="1" applyAlignment="1">
      <alignment vertical="center"/>
    </xf>
    <xf numFmtId="164" fontId="5" fillId="0" borderId="9" xfId="1" applyNumberFormat="1" applyFont="1" applyBorder="1" applyAlignment="1">
      <alignment horizontal="right" vertical="center"/>
    </xf>
    <xf numFmtId="164" fontId="6" fillId="0" borderId="10" xfId="1" applyNumberFormat="1" applyFont="1" applyBorder="1" applyAlignment="1">
      <alignment horizontal="right" vertical="center"/>
    </xf>
    <xf numFmtId="164" fontId="5" fillId="0" borderId="5" xfId="1" applyNumberFormat="1" applyFont="1" applyBorder="1" applyAlignment="1">
      <alignment horizontal="right" vertical="center"/>
    </xf>
    <xf numFmtId="0" fontId="4" fillId="3" borderId="9" xfId="0" applyFont="1" applyFill="1" applyBorder="1" applyAlignment="1">
      <alignment vertical="center"/>
    </xf>
    <xf numFmtId="0" fontId="0" fillId="0" borderId="0" xfId="0" pivotButton="1"/>
    <xf numFmtId="165" fontId="0" fillId="0" borderId="0" xfId="0" applyNumberFormat="1"/>
    <xf numFmtId="14" fontId="0" fillId="0" borderId="0" xfId="0" applyNumberFormat="1" applyAlignment="1">
      <alignment horizontal="center" vertical="center"/>
    </xf>
    <xf numFmtId="0" fontId="7" fillId="0" borderId="0" xfId="0" applyFont="1" applyAlignment="1">
      <alignment wrapText="1"/>
    </xf>
    <xf numFmtId="14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9" fontId="0" fillId="0" borderId="0" xfId="2" applyFont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14" fontId="3" fillId="4" borderId="1" xfId="0" applyNumberFormat="1" applyFont="1" applyFill="1" applyBorder="1" applyAlignment="1">
      <alignment horizontal="center" vertical="center" wrapText="1"/>
    </xf>
    <xf numFmtId="164" fontId="3" fillId="4" borderId="1" xfId="1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9" fontId="0" fillId="0" borderId="1" xfId="2" applyFont="1" applyBorder="1" applyAlignment="1">
      <alignment horizontal="center"/>
    </xf>
    <xf numFmtId="9" fontId="3" fillId="4" borderId="1" xfId="2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right" vertical="center"/>
    </xf>
    <xf numFmtId="0" fontId="5" fillId="0" borderId="7" xfId="0" applyFont="1" applyBorder="1" applyAlignment="1">
      <alignment horizontal="right" vertical="center"/>
    </xf>
    <xf numFmtId="0" fontId="6" fillId="0" borderId="6" xfId="0" applyFont="1" applyBorder="1" applyAlignment="1">
      <alignment horizontal="right" vertical="center"/>
    </xf>
    <xf numFmtId="0" fontId="6" fillId="0" borderId="8" xfId="0" applyFont="1" applyBorder="1" applyAlignment="1">
      <alignment horizontal="right" vertical="center"/>
    </xf>
    <xf numFmtId="0" fontId="5" fillId="0" borderId="8" xfId="0" applyFont="1" applyBorder="1" applyAlignment="1">
      <alignment horizontal="right" vertical="center"/>
    </xf>
    <xf numFmtId="166" fontId="3" fillId="4" borderId="1" xfId="0" applyNumberFormat="1" applyFont="1" applyFill="1" applyBorder="1" applyAlignment="1">
      <alignment horizontal="center" vertical="center" wrapText="1"/>
    </xf>
    <xf numFmtId="166" fontId="0" fillId="0" borderId="0" xfId="0" applyNumberFormat="1" applyAlignment="1">
      <alignment horizontal="center"/>
    </xf>
    <xf numFmtId="166" fontId="0" fillId="0" borderId="1" xfId="0" applyNumberFormat="1" applyBorder="1" applyAlignment="1">
      <alignment horizontal="center"/>
    </xf>
    <xf numFmtId="164" fontId="0" fillId="0" borderId="0" xfId="0" applyNumberFormat="1" applyAlignment="1">
      <alignment horizontal="center" vertical="center"/>
    </xf>
    <xf numFmtId="44" fontId="0" fillId="0" borderId="1" xfId="1" applyFont="1" applyBorder="1" applyAlignment="1">
      <alignment horizontal="center"/>
    </xf>
    <xf numFmtId="44" fontId="0" fillId="0" borderId="1" xfId="1" applyFont="1" applyBorder="1"/>
  </cellXfs>
  <cellStyles count="3">
    <cellStyle name="Moneda" xfId="1" builtinId="4"/>
    <cellStyle name="Normal" xfId="0" builtinId="0"/>
    <cellStyle name="Porcentaje" xfId="2" builtinId="5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5" formatCode="&quot;$&quot;\ #,##0"/>
    </dxf>
  </dxfs>
  <tableStyles count="0" defaultTableStyle="TableStyleMedium9" defaultPivotStyle="PivotStyleLight16"/>
  <colors>
    <mruColors>
      <color rgb="FFDDF2FF"/>
      <color rgb="FF00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lineacomunicacionesco-my.sharepoint.com/personal/lini_hernandez_lineacom_co/Documents/descargas%20migraci&#243;n/TIPOLOGIAS%20LINEACOM_WOMPI%20(4).xlsx" TargetMode="External"/><Relationship Id="rId1" Type="http://schemas.openxmlformats.org/officeDocument/2006/relationships/externalLinkPath" Target="/personal/lini_hernandez_lineacom_co/Documents/descargas%20migraci&#243;n/TIPOLOGIAS%20LINEACOM_WOMPI%20(4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IPOLOGIAS"/>
    </sheetNames>
    <sheetDataSet>
      <sheetData sheetId="0">
        <row r="1">
          <cell r="A1" t="str">
            <v>COD. CIUDAD</v>
          </cell>
          <cell r="B1" t="str">
            <v>CIUDAD</v>
          </cell>
          <cell r="C1" t="str">
            <v>DEPARTAMENTO</v>
          </cell>
          <cell r="D1" t="str">
            <v>DESDE DONDE SE ATIENDE</v>
          </cell>
          <cell r="E1" t="str">
            <v>TIPOLOGIA WOMPI</v>
          </cell>
          <cell r="F1" t="str">
            <v>TIPO DE TRAYECTO</v>
          </cell>
          <cell r="G1" t="str">
            <v>BODEGA WOMPI</v>
          </cell>
        </row>
        <row r="2">
          <cell r="A2">
            <v>91430</v>
          </cell>
          <cell r="B2" t="str">
            <v>LA VICTORIA</v>
          </cell>
          <cell r="C2" t="str">
            <v>AMAZONAS</v>
          </cell>
          <cell r="D2" t="str">
            <v>BOGOTA</v>
          </cell>
          <cell r="E2" t="str">
            <v>LEJANA</v>
          </cell>
          <cell r="F2" t="str">
            <v>AEREO</v>
          </cell>
          <cell r="G2" t="str">
            <v>BOGOTA</v>
          </cell>
        </row>
        <row r="3">
          <cell r="A3">
            <v>91669</v>
          </cell>
          <cell r="B3" t="str">
            <v>PUERTO SANTANDER</v>
          </cell>
          <cell r="C3" t="str">
            <v>AMAZONAS</v>
          </cell>
          <cell r="D3" t="str">
            <v>BOGOTA</v>
          </cell>
          <cell r="E3" t="str">
            <v>LEJANA</v>
          </cell>
          <cell r="F3" t="str">
            <v>AEREO</v>
          </cell>
          <cell r="G3" t="str">
            <v>BOGOTA</v>
          </cell>
        </row>
        <row r="4">
          <cell r="A4">
            <v>91263</v>
          </cell>
          <cell r="B4" t="str">
            <v>EL ENCANTO</v>
          </cell>
          <cell r="C4" t="str">
            <v>AMAZONAS</v>
          </cell>
          <cell r="D4" t="str">
            <v>BOGOTA</v>
          </cell>
          <cell r="E4" t="str">
            <v>LEJANA</v>
          </cell>
          <cell r="F4" t="str">
            <v>AEREO</v>
          </cell>
          <cell r="G4" t="str">
            <v>BOGOTA</v>
          </cell>
        </row>
        <row r="5">
          <cell r="A5">
            <v>91405</v>
          </cell>
          <cell r="B5" t="str">
            <v>LA CHORRERA</v>
          </cell>
          <cell r="C5" t="str">
            <v>AMAZONAS</v>
          </cell>
          <cell r="D5" t="str">
            <v>BOGOTA</v>
          </cell>
          <cell r="E5" t="str">
            <v>LEJANA</v>
          </cell>
          <cell r="F5" t="str">
            <v>AEREO</v>
          </cell>
          <cell r="G5" t="str">
            <v>BOGOTA</v>
          </cell>
        </row>
        <row r="6">
          <cell r="A6">
            <v>91407</v>
          </cell>
          <cell r="B6" t="str">
            <v>LA PEDRERA</v>
          </cell>
          <cell r="C6" t="str">
            <v>AMAZONAS</v>
          </cell>
          <cell r="D6" t="str">
            <v>BOGOTA</v>
          </cell>
          <cell r="E6" t="str">
            <v>LEJANA</v>
          </cell>
          <cell r="F6" t="str">
            <v>AEREO</v>
          </cell>
          <cell r="G6" t="str">
            <v>BOGOTA</v>
          </cell>
        </row>
        <row r="7">
          <cell r="A7">
            <v>91001</v>
          </cell>
          <cell r="B7" t="str">
            <v>LETICIA</v>
          </cell>
          <cell r="C7" t="str">
            <v>AMAZONAS</v>
          </cell>
          <cell r="D7" t="str">
            <v>BOGOTA</v>
          </cell>
          <cell r="E7" t="str">
            <v>LEJANA</v>
          </cell>
          <cell r="F7" t="str">
            <v>AEREO</v>
          </cell>
          <cell r="G7" t="str">
            <v>BOGOTA</v>
          </cell>
        </row>
        <row r="8">
          <cell r="A8">
            <v>91460</v>
          </cell>
          <cell r="B8" t="str">
            <v>MIRITI - PARANA</v>
          </cell>
          <cell r="C8" t="str">
            <v>AMAZONAS</v>
          </cell>
          <cell r="D8" t="str">
            <v>BOGOTA</v>
          </cell>
          <cell r="E8" t="str">
            <v>LEJANA</v>
          </cell>
          <cell r="F8" t="str">
            <v>AEREO</v>
          </cell>
          <cell r="G8" t="str">
            <v>BOGOTA</v>
          </cell>
        </row>
        <row r="9">
          <cell r="A9">
            <v>91530</v>
          </cell>
          <cell r="B9" t="str">
            <v>PUERTO ALEGRIA</v>
          </cell>
          <cell r="C9" t="str">
            <v>AMAZONAS</v>
          </cell>
          <cell r="D9" t="str">
            <v>BOGOTA</v>
          </cell>
          <cell r="E9" t="str">
            <v>LEJANA</v>
          </cell>
          <cell r="F9" t="str">
            <v>AEREO</v>
          </cell>
          <cell r="G9" t="str">
            <v>BOGOTA</v>
          </cell>
        </row>
        <row r="10">
          <cell r="A10">
            <v>91536</v>
          </cell>
          <cell r="B10" t="str">
            <v>PUERTO ARICA</v>
          </cell>
          <cell r="C10" t="str">
            <v>AMAZONAS</v>
          </cell>
          <cell r="D10" t="str">
            <v>BOGOTA</v>
          </cell>
          <cell r="E10" t="str">
            <v>LEJANA</v>
          </cell>
          <cell r="F10" t="str">
            <v>AEREO</v>
          </cell>
          <cell r="G10" t="str">
            <v>BOGOTA</v>
          </cell>
        </row>
        <row r="11">
          <cell r="A11">
            <v>91540</v>
          </cell>
          <cell r="B11" t="str">
            <v>PUERTO NARIÑO</v>
          </cell>
          <cell r="C11" t="str">
            <v>AMAZONAS</v>
          </cell>
          <cell r="D11" t="str">
            <v>BOGOTA</v>
          </cell>
          <cell r="E11" t="str">
            <v>LEJANA</v>
          </cell>
          <cell r="F11" t="str">
            <v>AEREO</v>
          </cell>
          <cell r="G11" t="str">
            <v>BOGOTA</v>
          </cell>
        </row>
        <row r="12">
          <cell r="A12">
            <v>91798</v>
          </cell>
          <cell r="B12" t="str">
            <v>TARAPACA</v>
          </cell>
          <cell r="C12" t="str">
            <v>AMAZONAS</v>
          </cell>
          <cell r="D12" t="str">
            <v>BOGOTA</v>
          </cell>
          <cell r="E12" t="str">
            <v>LEJANA</v>
          </cell>
          <cell r="F12" t="str">
            <v>AEREO</v>
          </cell>
          <cell r="G12" t="str">
            <v>BOGOTA</v>
          </cell>
        </row>
        <row r="13">
          <cell r="A13">
            <v>5055</v>
          </cell>
          <cell r="B13" t="str">
            <v>ARGELIA</v>
          </cell>
          <cell r="C13" t="str">
            <v>ANTIOQUIA</v>
          </cell>
          <cell r="D13" t="str">
            <v>MEDELLIN</v>
          </cell>
          <cell r="E13" t="str">
            <v>LEJANA</v>
          </cell>
          <cell r="F13" t="str">
            <v>TERRESTRE</v>
          </cell>
          <cell r="G13" t="str">
            <v>MEDELLIN</v>
          </cell>
        </row>
        <row r="14">
          <cell r="A14">
            <v>5059</v>
          </cell>
          <cell r="B14" t="str">
            <v>ARMENIA</v>
          </cell>
          <cell r="C14" t="str">
            <v>ANTIOQUIA</v>
          </cell>
          <cell r="D14" t="str">
            <v>MEDELLIN</v>
          </cell>
          <cell r="E14" t="str">
            <v>INTERMEDIA</v>
          </cell>
          <cell r="F14" t="str">
            <v>TERRESTRE</v>
          </cell>
          <cell r="G14" t="str">
            <v>MEDELLIN</v>
          </cell>
        </row>
        <row r="15">
          <cell r="A15">
            <v>5079</v>
          </cell>
          <cell r="B15" t="str">
            <v>BARBOSA</v>
          </cell>
          <cell r="C15" t="str">
            <v>ANTIOQUIA</v>
          </cell>
          <cell r="D15" t="str">
            <v>MEDELLIN</v>
          </cell>
          <cell r="E15" t="str">
            <v>INTERMEDIA</v>
          </cell>
          <cell r="F15" t="str">
            <v>TERRESTRE</v>
          </cell>
          <cell r="G15" t="str">
            <v>MEDELLIN</v>
          </cell>
        </row>
        <row r="16">
          <cell r="A16">
            <v>5093</v>
          </cell>
          <cell r="B16" t="str">
            <v>BETULIA</v>
          </cell>
          <cell r="C16" t="str">
            <v>ANTIOQUIA</v>
          </cell>
          <cell r="D16" t="str">
            <v>MEDELLIN</v>
          </cell>
          <cell r="E16" t="str">
            <v>LEJANA</v>
          </cell>
          <cell r="F16" t="str">
            <v>TERRESTRE</v>
          </cell>
          <cell r="G16" t="str">
            <v>MEDELLIN</v>
          </cell>
        </row>
        <row r="17">
          <cell r="A17">
            <v>5107</v>
          </cell>
          <cell r="B17" t="str">
            <v>BRICEÑO</v>
          </cell>
          <cell r="C17" t="str">
            <v>ANTIOQUIA</v>
          </cell>
          <cell r="D17" t="str">
            <v>MEDELLIN</v>
          </cell>
          <cell r="E17" t="str">
            <v>LEJANA</v>
          </cell>
          <cell r="F17" t="str">
            <v>TERRESTRE</v>
          </cell>
          <cell r="G17" t="str">
            <v>MEDELLIN</v>
          </cell>
        </row>
        <row r="18">
          <cell r="A18">
            <v>5129</v>
          </cell>
          <cell r="B18" t="str">
            <v>CALDAS</v>
          </cell>
          <cell r="C18" t="str">
            <v>ANTIOQUIA</v>
          </cell>
          <cell r="D18" t="str">
            <v>MEDELLIN</v>
          </cell>
          <cell r="E18" t="str">
            <v>PRINCIPAL</v>
          </cell>
          <cell r="F18" t="str">
            <v>TERRESTRE</v>
          </cell>
          <cell r="G18" t="str">
            <v>MEDELLIN</v>
          </cell>
        </row>
        <row r="19">
          <cell r="A19">
            <v>5206</v>
          </cell>
          <cell r="B19" t="str">
            <v>CONCEPCION</v>
          </cell>
          <cell r="C19" t="str">
            <v>ANTIOQUIA</v>
          </cell>
          <cell r="D19" t="str">
            <v>MEDELLIN</v>
          </cell>
          <cell r="E19" t="str">
            <v>INTERMEDIA</v>
          </cell>
          <cell r="F19" t="str">
            <v>TERRESTRE</v>
          </cell>
          <cell r="G19" t="str">
            <v>MEDELLIN</v>
          </cell>
        </row>
        <row r="20">
          <cell r="A20">
            <v>5209</v>
          </cell>
          <cell r="B20" t="str">
            <v>CONCORDIA</v>
          </cell>
          <cell r="C20" t="str">
            <v>ANTIOQUIA</v>
          </cell>
          <cell r="D20" t="str">
            <v>MEDELLIN</v>
          </cell>
          <cell r="E20" t="str">
            <v>LEJANA</v>
          </cell>
          <cell r="F20" t="str">
            <v>TERRESTRE</v>
          </cell>
          <cell r="G20" t="str">
            <v>MEDELLIN</v>
          </cell>
        </row>
        <row r="21">
          <cell r="A21">
            <v>5313</v>
          </cell>
          <cell r="B21" t="str">
            <v>GRANADA</v>
          </cell>
          <cell r="C21" t="str">
            <v>ANTIOQUIA</v>
          </cell>
          <cell r="D21" t="str">
            <v>MEDELLIN</v>
          </cell>
          <cell r="E21" t="str">
            <v>INTERMEDIA</v>
          </cell>
          <cell r="F21" t="str">
            <v>TERRESTRE</v>
          </cell>
          <cell r="G21" t="str">
            <v>MEDELLIN</v>
          </cell>
        </row>
        <row r="22">
          <cell r="A22">
            <v>5315</v>
          </cell>
          <cell r="B22" t="str">
            <v>GUADALUPE</v>
          </cell>
          <cell r="C22" t="str">
            <v>ANTIOQUIA</v>
          </cell>
          <cell r="D22" t="str">
            <v>MEDELLIN</v>
          </cell>
          <cell r="E22" t="str">
            <v>LEJANA</v>
          </cell>
          <cell r="F22" t="str">
            <v>TERRESTRE</v>
          </cell>
          <cell r="G22" t="str">
            <v>MEDELLIN</v>
          </cell>
        </row>
        <row r="23">
          <cell r="A23">
            <v>5368</v>
          </cell>
          <cell r="B23" t="str">
            <v>JERICO</v>
          </cell>
          <cell r="C23" t="str">
            <v>ANTIOQUIA</v>
          </cell>
          <cell r="D23" t="str">
            <v>MEDELLIN</v>
          </cell>
          <cell r="E23" t="str">
            <v>LEJANA</v>
          </cell>
          <cell r="F23" t="str">
            <v>TERRESTRE</v>
          </cell>
          <cell r="G23" t="str">
            <v>MEDELLIN</v>
          </cell>
        </row>
        <row r="24">
          <cell r="A24">
            <v>5400</v>
          </cell>
          <cell r="B24" t="str">
            <v>LA UNION</v>
          </cell>
          <cell r="C24" t="str">
            <v>ANTIOQUIA</v>
          </cell>
          <cell r="D24" t="str">
            <v>MEDELLIN</v>
          </cell>
          <cell r="E24" t="str">
            <v>INTERMEDIA</v>
          </cell>
          <cell r="F24" t="str">
            <v>TERRESTRE</v>
          </cell>
          <cell r="G24" t="str">
            <v>MEDELLIN</v>
          </cell>
        </row>
        <row r="25">
          <cell r="A25">
            <v>5483</v>
          </cell>
          <cell r="B25" t="str">
            <v>NARIÑO</v>
          </cell>
          <cell r="C25" t="str">
            <v>ANTIOQUIA</v>
          </cell>
          <cell r="D25" t="str">
            <v>MEDELLIN</v>
          </cell>
          <cell r="E25" t="str">
            <v>LEJANA</v>
          </cell>
          <cell r="F25" t="str">
            <v>TERRESTRE</v>
          </cell>
          <cell r="G25" t="str">
            <v>MEDELLIN</v>
          </cell>
        </row>
        <row r="26">
          <cell r="A26">
            <v>5615</v>
          </cell>
          <cell r="B26" t="str">
            <v>RIONEGRO</v>
          </cell>
          <cell r="C26" t="str">
            <v>ANTIOQUIA</v>
          </cell>
          <cell r="D26" t="str">
            <v>MEDELLIN</v>
          </cell>
          <cell r="E26" t="str">
            <v>INTERMEDIA</v>
          </cell>
          <cell r="F26" t="str">
            <v>TERRESTRE</v>
          </cell>
          <cell r="G26" t="str">
            <v>MEDELLIN</v>
          </cell>
        </row>
        <row r="27">
          <cell r="A27">
            <v>5628</v>
          </cell>
          <cell r="B27" t="str">
            <v>SABANALARGA</v>
          </cell>
          <cell r="C27" t="str">
            <v>ANTIOQUIA</v>
          </cell>
          <cell r="D27" t="str">
            <v>MEDELLIN</v>
          </cell>
          <cell r="E27" t="str">
            <v>LEJANA</v>
          </cell>
          <cell r="F27" t="str">
            <v>TERRESTRE</v>
          </cell>
          <cell r="G27" t="str">
            <v>MEDELLIN</v>
          </cell>
        </row>
        <row r="28">
          <cell r="A28">
            <v>5649</v>
          </cell>
          <cell r="B28" t="str">
            <v>SAN CARLOS</v>
          </cell>
          <cell r="C28" t="str">
            <v>ANTIOQUIA</v>
          </cell>
          <cell r="D28" t="str">
            <v>MEDELLIN</v>
          </cell>
          <cell r="E28" t="str">
            <v>LEJANA</v>
          </cell>
          <cell r="F28" t="str">
            <v>TERRESTRE</v>
          </cell>
          <cell r="G28" t="str">
            <v>MEDELLIN</v>
          </cell>
        </row>
        <row r="29">
          <cell r="A29">
            <v>5652</v>
          </cell>
          <cell r="B29" t="str">
            <v>SAN FRANCISCO</v>
          </cell>
          <cell r="C29" t="str">
            <v>ANTIOQUIA</v>
          </cell>
          <cell r="D29" t="str">
            <v>MEDELLIN</v>
          </cell>
          <cell r="E29" t="str">
            <v>LEJANA</v>
          </cell>
          <cell r="F29" t="str">
            <v>TERRESTRE</v>
          </cell>
          <cell r="G29" t="str">
            <v>MEDELLIN</v>
          </cell>
        </row>
        <row r="30">
          <cell r="A30">
            <v>5660</v>
          </cell>
          <cell r="B30" t="str">
            <v>SAN LUIS</v>
          </cell>
          <cell r="C30" t="str">
            <v>ANTIOQUIA</v>
          </cell>
          <cell r="D30" t="str">
            <v>MEDELLIN</v>
          </cell>
          <cell r="E30" t="str">
            <v>LEJANA</v>
          </cell>
          <cell r="F30" t="str">
            <v>TERRESTRE</v>
          </cell>
          <cell r="G30" t="str">
            <v>MEDELLIN</v>
          </cell>
        </row>
        <row r="31">
          <cell r="A31">
            <v>5664</v>
          </cell>
          <cell r="B31" t="str">
            <v>SAN PEDRO DE LOS MILAGROS</v>
          </cell>
          <cell r="C31" t="str">
            <v>ANTIOQUIA</v>
          </cell>
          <cell r="D31" t="str">
            <v>MEDELLIN</v>
          </cell>
          <cell r="E31" t="str">
            <v>INTERMEDIA</v>
          </cell>
          <cell r="F31" t="str">
            <v>TERRESTRE</v>
          </cell>
          <cell r="G31" t="str">
            <v>MEDELLIN</v>
          </cell>
        </row>
        <row r="32">
          <cell r="A32">
            <v>5679</v>
          </cell>
          <cell r="B32" t="str">
            <v>SANTA BARBARA</v>
          </cell>
          <cell r="C32" t="str">
            <v>ANTIOQUIA</v>
          </cell>
          <cell r="D32" t="str">
            <v>MEDELLIN</v>
          </cell>
          <cell r="E32" t="str">
            <v>INTERMEDIA</v>
          </cell>
          <cell r="F32" t="str">
            <v>TERRESTRE</v>
          </cell>
          <cell r="G32" t="str">
            <v>MEDELLIN</v>
          </cell>
        </row>
        <row r="33">
          <cell r="A33">
            <v>5819</v>
          </cell>
          <cell r="B33" t="str">
            <v>TOLEDO</v>
          </cell>
          <cell r="C33" t="str">
            <v>ANTIOQUIA</v>
          </cell>
          <cell r="D33" t="str">
            <v>MEDELLIN</v>
          </cell>
          <cell r="E33" t="str">
            <v>LEJANA</v>
          </cell>
          <cell r="F33" t="str">
            <v>TERRESTRE</v>
          </cell>
          <cell r="G33" t="str">
            <v>MEDELLIN</v>
          </cell>
        </row>
        <row r="34">
          <cell r="A34">
            <v>5856</v>
          </cell>
          <cell r="B34" t="str">
            <v>VALPARAISO</v>
          </cell>
          <cell r="C34" t="str">
            <v>ANTIOQUIA</v>
          </cell>
          <cell r="D34" t="str">
            <v>MEDELLIN</v>
          </cell>
          <cell r="E34" t="str">
            <v>LEJANA</v>
          </cell>
          <cell r="F34" t="str">
            <v>TERRESTRE</v>
          </cell>
          <cell r="G34" t="str">
            <v>MEDELLIN</v>
          </cell>
        </row>
        <row r="35">
          <cell r="A35">
            <v>5861</v>
          </cell>
          <cell r="B35" t="str">
            <v>VENECIA</v>
          </cell>
          <cell r="C35" t="str">
            <v>ANTIOQUIA</v>
          </cell>
          <cell r="D35" t="str">
            <v>MEDELLIN</v>
          </cell>
          <cell r="E35" t="str">
            <v>INTERMEDIA</v>
          </cell>
          <cell r="F35" t="str">
            <v>TERRESTRE</v>
          </cell>
          <cell r="G35" t="str">
            <v>MEDELLIN</v>
          </cell>
        </row>
        <row r="36">
          <cell r="A36">
            <v>5002</v>
          </cell>
          <cell r="B36" t="str">
            <v>ABEJORRAL</v>
          </cell>
          <cell r="C36" t="str">
            <v>ANTIOQUIA</v>
          </cell>
          <cell r="D36" t="str">
            <v>MEDELLIN</v>
          </cell>
          <cell r="E36" t="str">
            <v>LEJANA</v>
          </cell>
          <cell r="F36" t="str">
            <v>TERRESTRE</v>
          </cell>
          <cell r="G36" t="str">
            <v>MEDELLIN</v>
          </cell>
        </row>
        <row r="37">
          <cell r="A37">
            <v>5004</v>
          </cell>
          <cell r="B37" t="str">
            <v>ABRIAQUI</v>
          </cell>
          <cell r="C37" t="str">
            <v>ANTIOQUIA</v>
          </cell>
          <cell r="D37" t="str">
            <v>MEDELLIN</v>
          </cell>
          <cell r="E37" t="str">
            <v>LEJANA</v>
          </cell>
          <cell r="F37" t="str">
            <v>TERRESTRE</v>
          </cell>
          <cell r="G37" t="str">
            <v>MEDELLIN</v>
          </cell>
        </row>
        <row r="38">
          <cell r="A38">
            <v>5021</v>
          </cell>
          <cell r="B38" t="str">
            <v>ALEJANDRIA</v>
          </cell>
          <cell r="C38" t="str">
            <v>ANTIOQUIA</v>
          </cell>
          <cell r="D38" t="str">
            <v>MEDELLIN</v>
          </cell>
          <cell r="E38" t="str">
            <v>LEJANA</v>
          </cell>
          <cell r="F38" t="str">
            <v>TERRESTRE</v>
          </cell>
          <cell r="G38" t="str">
            <v>MEDELLIN</v>
          </cell>
        </row>
        <row r="39">
          <cell r="A39">
            <v>5030</v>
          </cell>
          <cell r="B39" t="str">
            <v>AMAGA</v>
          </cell>
          <cell r="C39" t="str">
            <v>ANTIOQUIA</v>
          </cell>
          <cell r="D39" t="str">
            <v>MEDELLIN</v>
          </cell>
          <cell r="E39" t="str">
            <v>INTERMEDIA</v>
          </cell>
          <cell r="F39" t="str">
            <v>TERRESTRE</v>
          </cell>
          <cell r="G39" t="str">
            <v>MEDELLIN</v>
          </cell>
        </row>
        <row r="40">
          <cell r="A40">
            <v>5031</v>
          </cell>
          <cell r="B40" t="str">
            <v>AMALFI</v>
          </cell>
          <cell r="C40" t="str">
            <v>ANTIOQUIA</v>
          </cell>
          <cell r="D40" t="str">
            <v>MEDELLIN</v>
          </cell>
          <cell r="E40" t="str">
            <v>LEJANA</v>
          </cell>
          <cell r="F40" t="str">
            <v>TERRESTRE</v>
          </cell>
          <cell r="G40" t="str">
            <v>MEDELLIN</v>
          </cell>
        </row>
        <row r="41">
          <cell r="A41">
            <v>5034</v>
          </cell>
          <cell r="B41" t="str">
            <v>ANDES</v>
          </cell>
          <cell r="C41" t="str">
            <v>ANTIOQUIA</v>
          </cell>
          <cell r="D41" t="str">
            <v>MEDELLIN</v>
          </cell>
          <cell r="E41" t="str">
            <v>LEJANA</v>
          </cell>
          <cell r="F41" t="str">
            <v>TERRESTRE</v>
          </cell>
          <cell r="G41" t="str">
            <v>MEDELLIN</v>
          </cell>
        </row>
        <row r="42">
          <cell r="A42">
            <v>5036</v>
          </cell>
          <cell r="B42" t="str">
            <v>ANGELOPOLIS</v>
          </cell>
          <cell r="C42" t="str">
            <v>ANTIOQUIA</v>
          </cell>
          <cell r="D42" t="str">
            <v>MEDELLIN</v>
          </cell>
          <cell r="E42" t="str">
            <v>INTERMEDIA</v>
          </cell>
          <cell r="F42" t="str">
            <v>TERRESTRE</v>
          </cell>
          <cell r="G42" t="str">
            <v>MEDELLIN</v>
          </cell>
        </row>
        <row r="43">
          <cell r="A43">
            <v>5038</v>
          </cell>
          <cell r="B43" t="str">
            <v>ANGOSTURA</v>
          </cell>
          <cell r="C43" t="str">
            <v>ANTIOQUIA</v>
          </cell>
          <cell r="D43" t="str">
            <v>MEDELLIN</v>
          </cell>
          <cell r="E43" t="str">
            <v>LEJANA</v>
          </cell>
          <cell r="F43" t="str">
            <v>TERRESTRE</v>
          </cell>
          <cell r="G43" t="str">
            <v>MEDELLIN</v>
          </cell>
        </row>
        <row r="44">
          <cell r="A44">
            <v>5040</v>
          </cell>
          <cell r="B44" t="str">
            <v>ANORI</v>
          </cell>
          <cell r="C44" t="str">
            <v>ANTIOQUIA</v>
          </cell>
          <cell r="D44" t="str">
            <v>MEDELLIN</v>
          </cell>
          <cell r="E44" t="str">
            <v>LEJANA</v>
          </cell>
          <cell r="F44" t="str">
            <v>TERRESTRE</v>
          </cell>
          <cell r="G44" t="str">
            <v>MEDELLIN</v>
          </cell>
        </row>
        <row r="45">
          <cell r="A45">
            <v>5044</v>
          </cell>
          <cell r="B45" t="str">
            <v>ANZA</v>
          </cell>
          <cell r="C45" t="str">
            <v>ANTIOQUIA</v>
          </cell>
          <cell r="D45" t="str">
            <v>MEDELLIN</v>
          </cell>
          <cell r="E45" t="str">
            <v>LEJANA</v>
          </cell>
          <cell r="F45" t="str">
            <v>TERRESTRE</v>
          </cell>
          <cell r="G45" t="str">
            <v>MEDELLIN</v>
          </cell>
        </row>
        <row r="46">
          <cell r="A46">
            <v>5045</v>
          </cell>
          <cell r="B46" t="str">
            <v>APARTADO</v>
          </cell>
          <cell r="C46" t="str">
            <v>ANTIOQUIA</v>
          </cell>
          <cell r="D46" t="str">
            <v>APARTADO</v>
          </cell>
          <cell r="E46" t="str">
            <v>PRINCIPAL</v>
          </cell>
          <cell r="F46" t="str">
            <v>TERRESTRE</v>
          </cell>
          <cell r="G46" t="str">
            <v>APARTADO</v>
          </cell>
        </row>
        <row r="47">
          <cell r="A47">
            <v>5051</v>
          </cell>
          <cell r="B47" t="str">
            <v>ARBOLETES</v>
          </cell>
          <cell r="C47" t="str">
            <v>ANTIOQUIA</v>
          </cell>
          <cell r="D47" t="str">
            <v>MONTERIA</v>
          </cell>
          <cell r="E47" t="str">
            <v>INTERMEDIA</v>
          </cell>
          <cell r="F47" t="str">
            <v>TERRESTRE</v>
          </cell>
          <cell r="G47" t="str">
            <v>MONTERIA</v>
          </cell>
        </row>
        <row r="48">
          <cell r="A48">
            <v>5088</v>
          </cell>
          <cell r="B48" t="str">
            <v>BELLO</v>
          </cell>
          <cell r="C48" t="str">
            <v>ANTIOQUIA</v>
          </cell>
          <cell r="D48" t="str">
            <v>MEDELLIN</v>
          </cell>
          <cell r="E48" t="str">
            <v>PRINCIPAL</v>
          </cell>
          <cell r="F48" t="str">
            <v>TERRESTRE</v>
          </cell>
          <cell r="G48" t="str">
            <v>MEDELLIN</v>
          </cell>
        </row>
        <row r="49">
          <cell r="A49">
            <v>5086</v>
          </cell>
          <cell r="B49" t="str">
            <v>BELMIRA</v>
          </cell>
          <cell r="C49" t="str">
            <v>ANTIOQUIA</v>
          </cell>
          <cell r="D49" t="str">
            <v>MEDELLIN</v>
          </cell>
          <cell r="E49" t="str">
            <v>INTERMEDIA</v>
          </cell>
          <cell r="F49" t="str">
            <v>TERRESTRE</v>
          </cell>
          <cell r="G49" t="str">
            <v>MEDELLIN</v>
          </cell>
        </row>
        <row r="50">
          <cell r="A50">
            <v>5091</v>
          </cell>
          <cell r="B50" t="str">
            <v>BETANIA</v>
          </cell>
          <cell r="C50" t="str">
            <v>ANTIOQUIA</v>
          </cell>
          <cell r="D50" t="str">
            <v>MEDELLIN</v>
          </cell>
          <cell r="E50" t="str">
            <v>LEJANA</v>
          </cell>
          <cell r="F50" t="str">
            <v>TERRESTRE</v>
          </cell>
          <cell r="G50" t="str">
            <v>MEDELLIN</v>
          </cell>
        </row>
        <row r="51">
          <cell r="A51">
            <v>5113</v>
          </cell>
          <cell r="B51" t="str">
            <v>BURITICA</v>
          </cell>
          <cell r="C51" t="str">
            <v>ANTIOQUIA</v>
          </cell>
          <cell r="D51" t="str">
            <v>MEDELLIN</v>
          </cell>
          <cell r="E51" t="str">
            <v>LEJANA</v>
          </cell>
          <cell r="F51" t="str">
            <v>TERRESTRE</v>
          </cell>
          <cell r="G51" t="str">
            <v>MEDELLIN</v>
          </cell>
        </row>
        <row r="52">
          <cell r="A52">
            <v>5120</v>
          </cell>
          <cell r="B52" t="str">
            <v>CACERES</v>
          </cell>
          <cell r="C52" t="str">
            <v>ANTIOQUIA</v>
          </cell>
          <cell r="D52" t="str">
            <v>MEDELLIN</v>
          </cell>
          <cell r="E52" t="str">
            <v>LEJANA</v>
          </cell>
          <cell r="F52" t="str">
            <v>TERRESTRE</v>
          </cell>
          <cell r="G52" t="str">
            <v>MEDELLIN</v>
          </cell>
        </row>
        <row r="53">
          <cell r="A53">
            <v>5125</v>
          </cell>
          <cell r="B53" t="str">
            <v>CAICEDO</v>
          </cell>
          <cell r="C53" t="str">
            <v>ANTIOQUIA</v>
          </cell>
          <cell r="D53" t="str">
            <v>MEDELLIN</v>
          </cell>
          <cell r="E53" t="str">
            <v>LEJANA</v>
          </cell>
          <cell r="F53" t="str">
            <v>TERRESTRE</v>
          </cell>
          <cell r="G53" t="str">
            <v>MEDELLIN</v>
          </cell>
        </row>
        <row r="54">
          <cell r="A54">
            <v>5134</v>
          </cell>
          <cell r="B54" t="str">
            <v>CAMPAMENTO</v>
          </cell>
          <cell r="C54" t="str">
            <v>ANTIOQUIA</v>
          </cell>
          <cell r="D54" t="str">
            <v>MEDELLIN</v>
          </cell>
          <cell r="E54" t="str">
            <v>LEJANA</v>
          </cell>
          <cell r="F54" t="str">
            <v>TERRESTRE</v>
          </cell>
          <cell r="G54" t="str">
            <v>MEDELLIN</v>
          </cell>
        </row>
        <row r="55">
          <cell r="A55">
            <v>5138</v>
          </cell>
          <cell r="B55" t="str">
            <v>CAÑASGORDAS</v>
          </cell>
          <cell r="C55" t="str">
            <v>ANTIOQUIA</v>
          </cell>
          <cell r="D55" t="str">
            <v>MEDELLIN</v>
          </cell>
          <cell r="E55" t="str">
            <v>LEJANA</v>
          </cell>
          <cell r="F55" t="str">
            <v>TERRESTRE</v>
          </cell>
          <cell r="G55" t="str">
            <v>MEDELLIN</v>
          </cell>
        </row>
        <row r="56">
          <cell r="A56">
            <v>5142</v>
          </cell>
          <cell r="B56" t="str">
            <v>CARACOLI</v>
          </cell>
          <cell r="C56" t="str">
            <v>ANTIOQUIA</v>
          </cell>
          <cell r="D56" t="str">
            <v>MEDELLIN</v>
          </cell>
          <cell r="E56" t="str">
            <v>LEJANA</v>
          </cell>
          <cell r="F56" t="str">
            <v>TERRESTRE</v>
          </cell>
          <cell r="G56" t="str">
            <v>MEDELLIN</v>
          </cell>
        </row>
        <row r="57">
          <cell r="A57">
            <v>5145</v>
          </cell>
          <cell r="B57" t="str">
            <v>CARAMANTA</v>
          </cell>
          <cell r="C57" t="str">
            <v>ANTIOQUIA</v>
          </cell>
          <cell r="D57" t="str">
            <v>MEDELLIN</v>
          </cell>
          <cell r="E57" t="str">
            <v>LEJANA</v>
          </cell>
          <cell r="F57" t="str">
            <v>TERRESTRE</v>
          </cell>
          <cell r="G57" t="str">
            <v>MEDELLIN</v>
          </cell>
        </row>
        <row r="58">
          <cell r="A58">
            <v>5147</v>
          </cell>
          <cell r="B58" t="str">
            <v>CAREPA</v>
          </cell>
          <cell r="C58" t="str">
            <v>ANTIOQUIA</v>
          </cell>
          <cell r="D58" t="str">
            <v>APARTADO</v>
          </cell>
          <cell r="E58" t="str">
            <v>PRINCIPAL</v>
          </cell>
          <cell r="F58" t="str">
            <v>TERRESTRE</v>
          </cell>
          <cell r="G58" t="str">
            <v>APARTADO</v>
          </cell>
        </row>
        <row r="59">
          <cell r="A59">
            <v>5150</v>
          </cell>
          <cell r="B59" t="str">
            <v>CAROLINA</v>
          </cell>
          <cell r="C59" t="str">
            <v>ANTIOQUIA</v>
          </cell>
          <cell r="D59" t="str">
            <v>MEDELLIN</v>
          </cell>
          <cell r="E59" t="str">
            <v>LEJANA</v>
          </cell>
          <cell r="F59" t="str">
            <v>TERRESTRE</v>
          </cell>
          <cell r="G59" t="str">
            <v>MEDELLIN</v>
          </cell>
        </row>
        <row r="60">
          <cell r="A60">
            <v>5154</v>
          </cell>
          <cell r="B60" t="str">
            <v>CAUCASIA</v>
          </cell>
          <cell r="C60" t="str">
            <v>ANTIOQUIA</v>
          </cell>
          <cell r="D60" t="str">
            <v>MONTERIA</v>
          </cell>
          <cell r="E60" t="str">
            <v>INTERMEDIA</v>
          </cell>
          <cell r="F60" t="str">
            <v>TERRESTRE</v>
          </cell>
          <cell r="G60" t="str">
            <v>MONTERIA</v>
          </cell>
        </row>
        <row r="61">
          <cell r="A61">
            <v>5172</v>
          </cell>
          <cell r="B61" t="str">
            <v>CHIGORODO</v>
          </cell>
          <cell r="C61" t="str">
            <v>ANTIOQUIA</v>
          </cell>
          <cell r="D61" t="str">
            <v>APARTADO</v>
          </cell>
          <cell r="E61" t="str">
            <v>INTERMEDIA</v>
          </cell>
          <cell r="F61" t="str">
            <v>TERRESTRE</v>
          </cell>
          <cell r="G61" t="str">
            <v>APARTADO</v>
          </cell>
        </row>
        <row r="62">
          <cell r="A62">
            <v>5190</v>
          </cell>
          <cell r="B62" t="str">
            <v>CISNEROS</v>
          </cell>
          <cell r="C62" t="str">
            <v>ANTIOQUIA</v>
          </cell>
          <cell r="D62" t="str">
            <v>MEDELLIN</v>
          </cell>
          <cell r="E62" t="str">
            <v>INTERMEDIA</v>
          </cell>
          <cell r="F62" t="str">
            <v>TERRESTRE</v>
          </cell>
          <cell r="G62" t="str">
            <v>MEDELLIN</v>
          </cell>
        </row>
        <row r="63">
          <cell r="A63">
            <v>5101</v>
          </cell>
          <cell r="B63" t="str">
            <v>CIUDAD BOLIVAR</v>
          </cell>
          <cell r="C63" t="str">
            <v>ANTIOQUIA</v>
          </cell>
          <cell r="D63" t="str">
            <v>MEDELLIN</v>
          </cell>
          <cell r="E63" t="str">
            <v>INTERMEDIA</v>
          </cell>
          <cell r="F63" t="str">
            <v>TERRESTRE</v>
          </cell>
          <cell r="G63" t="str">
            <v>MEDELLIN</v>
          </cell>
        </row>
        <row r="64">
          <cell r="A64">
            <v>5197</v>
          </cell>
          <cell r="B64" t="str">
            <v>COCORNA</v>
          </cell>
          <cell r="C64" t="str">
            <v>ANTIOQUIA</v>
          </cell>
          <cell r="D64" t="str">
            <v>MEDELLIN</v>
          </cell>
          <cell r="E64" t="str">
            <v>INTERMEDIA</v>
          </cell>
          <cell r="F64" t="str">
            <v>TERRESTRE</v>
          </cell>
          <cell r="G64" t="str">
            <v>MEDELLIN</v>
          </cell>
        </row>
        <row r="65">
          <cell r="A65">
            <v>5212</v>
          </cell>
          <cell r="B65" t="str">
            <v>COPACABANA</v>
          </cell>
          <cell r="C65" t="str">
            <v>ANTIOQUIA</v>
          </cell>
          <cell r="D65" t="str">
            <v>MEDELLIN</v>
          </cell>
          <cell r="E65" t="str">
            <v>PRINCIPAL</v>
          </cell>
          <cell r="F65" t="str">
            <v>TERRESTRE</v>
          </cell>
          <cell r="G65" t="str">
            <v>MEDELLIN</v>
          </cell>
        </row>
        <row r="66">
          <cell r="A66">
            <v>5234</v>
          </cell>
          <cell r="B66" t="str">
            <v>DABEIBA</v>
          </cell>
          <cell r="C66" t="str">
            <v>ANTIOQUIA</v>
          </cell>
          <cell r="D66" t="str">
            <v>MEDELLIN</v>
          </cell>
          <cell r="E66" t="str">
            <v>LEJANA</v>
          </cell>
          <cell r="F66" t="str">
            <v>TERRESTRE</v>
          </cell>
          <cell r="G66" t="str">
            <v>MEDELLIN</v>
          </cell>
        </row>
        <row r="67">
          <cell r="A67">
            <v>5237</v>
          </cell>
          <cell r="B67" t="str">
            <v>DON MATIAS</v>
          </cell>
          <cell r="C67" t="str">
            <v>ANTIOQUIA</v>
          </cell>
          <cell r="D67" t="str">
            <v>MEDELLIN</v>
          </cell>
          <cell r="E67" t="str">
            <v>INTERMEDIA</v>
          </cell>
          <cell r="F67" t="str">
            <v>TERRESTRE</v>
          </cell>
          <cell r="G67" t="str">
            <v>MEDELLIN</v>
          </cell>
        </row>
        <row r="68">
          <cell r="A68">
            <v>5240</v>
          </cell>
          <cell r="B68" t="str">
            <v>EBEJICO</v>
          </cell>
          <cell r="C68" t="str">
            <v>ANTIOQUIA</v>
          </cell>
          <cell r="D68" t="str">
            <v>MEDELLIN</v>
          </cell>
          <cell r="E68" t="str">
            <v>INTERMEDIA</v>
          </cell>
          <cell r="F68" t="str">
            <v>TERRESTRE</v>
          </cell>
          <cell r="G68" t="str">
            <v>MEDELLIN</v>
          </cell>
        </row>
        <row r="69">
          <cell r="A69">
            <v>5250</v>
          </cell>
          <cell r="B69" t="str">
            <v>EL BAGRE</v>
          </cell>
          <cell r="C69" t="str">
            <v>ANTIOQUIA</v>
          </cell>
          <cell r="D69" t="str">
            <v>MONTERIA</v>
          </cell>
          <cell r="E69" t="str">
            <v>LEJANA</v>
          </cell>
          <cell r="F69" t="str">
            <v>TERRESTRE</v>
          </cell>
          <cell r="G69" t="str">
            <v>MONTERIA</v>
          </cell>
        </row>
        <row r="70">
          <cell r="A70">
            <v>5148</v>
          </cell>
          <cell r="B70" t="str">
            <v>EL CARMEN DE VIBORAL</v>
          </cell>
          <cell r="C70" t="str">
            <v>ANTIOQUIA</v>
          </cell>
          <cell r="D70" t="str">
            <v>MEDELLIN</v>
          </cell>
          <cell r="E70" t="str">
            <v>INTERMEDIA</v>
          </cell>
          <cell r="F70" t="str">
            <v>TERRESTRE</v>
          </cell>
          <cell r="G70" t="str">
            <v>MEDELLIN</v>
          </cell>
        </row>
        <row r="71">
          <cell r="A71">
            <v>5697</v>
          </cell>
          <cell r="B71" t="str">
            <v>EL SANTUARIO</v>
          </cell>
          <cell r="C71" t="str">
            <v>ANTIOQUIA</v>
          </cell>
          <cell r="D71" t="str">
            <v>MEDELLIN</v>
          </cell>
          <cell r="E71" t="str">
            <v>INTERMEDIA</v>
          </cell>
          <cell r="F71" t="str">
            <v>TERRESTRE</v>
          </cell>
          <cell r="G71" t="str">
            <v>MEDELLIN</v>
          </cell>
        </row>
        <row r="72">
          <cell r="A72">
            <v>5264</v>
          </cell>
          <cell r="B72" t="str">
            <v>ENTRERRIOS</v>
          </cell>
          <cell r="C72" t="str">
            <v>ANTIOQUIA</v>
          </cell>
          <cell r="D72" t="str">
            <v>MEDELLIN</v>
          </cell>
          <cell r="E72" t="str">
            <v>INTERMEDIA</v>
          </cell>
          <cell r="F72" t="str">
            <v>TERRESTRE</v>
          </cell>
          <cell r="G72" t="str">
            <v>MEDELLIN</v>
          </cell>
        </row>
        <row r="73">
          <cell r="A73">
            <v>5266</v>
          </cell>
          <cell r="B73" t="str">
            <v>ENVIGADO</v>
          </cell>
          <cell r="C73" t="str">
            <v>ANTIOQUIA</v>
          </cell>
          <cell r="D73" t="str">
            <v>MEDELLIN</v>
          </cell>
          <cell r="E73" t="str">
            <v>PRINCIPAL</v>
          </cell>
          <cell r="F73" t="str">
            <v>TERRESTRE</v>
          </cell>
          <cell r="G73" t="str">
            <v>MEDELLIN</v>
          </cell>
        </row>
        <row r="74">
          <cell r="A74">
            <v>5282</v>
          </cell>
          <cell r="B74" t="str">
            <v>FREDONIA</v>
          </cell>
          <cell r="C74" t="str">
            <v>ANTIOQUIA</v>
          </cell>
          <cell r="D74" t="str">
            <v>MEDELLIN</v>
          </cell>
          <cell r="E74" t="str">
            <v>INTERMEDIA</v>
          </cell>
          <cell r="F74" t="str">
            <v>TERRESTRE</v>
          </cell>
          <cell r="G74" t="str">
            <v>MEDELLIN</v>
          </cell>
        </row>
        <row r="75">
          <cell r="A75">
            <v>5284</v>
          </cell>
          <cell r="B75" t="str">
            <v>FRONTINO</v>
          </cell>
          <cell r="C75" t="str">
            <v>ANTIOQUIA</v>
          </cell>
          <cell r="D75" t="str">
            <v>MEDELLIN</v>
          </cell>
          <cell r="E75" t="str">
            <v>LEJANA</v>
          </cell>
          <cell r="F75" t="str">
            <v>TERRESTRE</v>
          </cell>
          <cell r="G75" t="str">
            <v>MEDELLIN</v>
          </cell>
        </row>
        <row r="76">
          <cell r="A76">
            <v>5306</v>
          </cell>
          <cell r="B76" t="str">
            <v>GIRALDO</v>
          </cell>
          <cell r="C76" t="str">
            <v>ANTIOQUIA</v>
          </cell>
          <cell r="D76" t="str">
            <v>MEDELLIN</v>
          </cell>
          <cell r="E76" t="str">
            <v>LEJANA</v>
          </cell>
          <cell r="F76" t="str">
            <v>TERRESTRE</v>
          </cell>
          <cell r="G76" t="str">
            <v>MEDELLIN</v>
          </cell>
        </row>
        <row r="77">
          <cell r="A77">
            <v>5308</v>
          </cell>
          <cell r="B77" t="str">
            <v>GIRARDOTA</v>
          </cell>
          <cell r="C77" t="str">
            <v>ANTIOQUIA</v>
          </cell>
          <cell r="D77" t="str">
            <v>MEDELLIN</v>
          </cell>
          <cell r="E77" t="str">
            <v>PRINCIPAL</v>
          </cell>
          <cell r="F77" t="str">
            <v>TERRESTRE</v>
          </cell>
          <cell r="G77" t="str">
            <v>MEDELLIN</v>
          </cell>
        </row>
        <row r="78">
          <cell r="A78">
            <v>5310</v>
          </cell>
          <cell r="B78" t="str">
            <v>GOMEZ PLATA</v>
          </cell>
          <cell r="C78" t="str">
            <v>ANTIOQUIA</v>
          </cell>
          <cell r="D78" t="str">
            <v>MEDELLIN</v>
          </cell>
          <cell r="E78" t="str">
            <v>INTERMEDIA</v>
          </cell>
          <cell r="F78" t="str">
            <v>TERRESTRE</v>
          </cell>
          <cell r="G78" t="str">
            <v>MEDELLIN</v>
          </cell>
        </row>
        <row r="79">
          <cell r="A79">
            <v>5318</v>
          </cell>
          <cell r="B79" t="str">
            <v>GUARNE</v>
          </cell>
          <cell r="C79" t="str">
            <v>ANTIOQUIA</v>
          </cell>
          <cell r="D79" t="str">
            <v>MEDELLIN</v>
          </cell>
          <cell r="E79" t="str">
            <v>INTERMEDIA</v>
          </cell>
          <cell r="F79" t="str">
            <v>TERRESTRE</v>
          </cell>
          <cell r="G79" t="str">
            <v>MEDELLIN</v>
          </cell>
        </row>
        <row r="80">
          <cell r="A80">
            <v>5321</v>
          </cell>
          <cell r="B80" t="str">
            <v>GUATAPE</v>
          </cell>
          <cell r="C80" t="str">
            <v>ANTIOQUIA</v>
          </cell>
          <cell r="D80" t="str">
            <v>MEDELLIN</v>
          </cell>
          <cell r="E80" t="str">
            <v>INTERMEDIA</v>
          </cell>
          <cell r="F80" t="str">
            <v>TERRESTRE</v>
          </cell>
          <cell r="G80" t="str">
            <v>MEDELLIN</v>
          </cell>
        </row>
        <row r="81">
          <cell r="A81">
            <v>5347</v>
          </cell>
          <cell r="B81" t="str">
            <v>HELICONIA</v>
          </cell>
          <cell r="C81" t="str">
            <v>ANTIOQUIA</v>
          </cell>
          <cell r="D81" t="str">
            <v>MEDELLIN</v>
          </cell>
          <cell r="E81" t="str">
            <v>INTERMEDIA</v>
          </cell>
          <cell r="F81" t="str">
            <v>TERRESTRE</v>
          </cell>
          <cell r="G81" t="str">
            <v>MEDELLIN</v>
          </cell>
        </row>
        <row r="82">
          <cell r="A82">
            <v>5353</v>
          </cell>
          <cell r="B82" t="str">
            <v>HISPANIA</v>
          </cell>
          <cell r="C82" t="str">
            <v>ANTIOQUIA</v>
          </cell>
          <cell r="D82" t="str">
            <v>MEDELLIN</v>
          </cell>
          <cell r="E82" t="str">
            <v>LEJANA</v>
          </cell>
          <cell r="F82" t="str">
            <v>TERRESTRE</v>
          </cell>
          <cell r="G82" t="str">
            <v>MEDELLIN</v>
          </cell>
        </row>
        <row r="83">
          <cell r="A83">
            <v>5360</v>
          </cell>
          <cell r="B83" t="str">
            <v>ITAGUI</v>
          </cell>
          <cell r="C83" t="str">
            <v>ANTIOQUIA</v>
          </cell>
          <cell r="D83" t="str">
            <v>MEDELLIN</v>
          </cell>
          <cell r="E83" t="str">
            <v>PRINCIPAL</v>
          </cell>
          <cell r="F83" t="str">
            <v>TERRESTRE</v>
          </cell>
          <cell r="G83" t="str">
            <v>MEDELLIN</v>
          </cell>
        </row>
        <row r="84">
          <cell r="A84">
            <v>5361</v>
          </cell>
          <cell r="B84" t="str">
            <v>ITUANGO</v>
          </cell>
          <cell r="C84" t="str">
            <v>ANTIOQUIA</v>
          </cell>
          <cell r="D84" t="str">
            <v>MEDELLIN</v>
          </cell>
          <cell r="E84" t="str">
            <v>LEJANA</v>
          </cell>
          <cell r="F84" t="str">
            <v>TERRESTRE</v>
          </cell>
          <cell r="G84" t="str">
            <v>MEDELLIN</v>
          </cell>
        </row>
        <row r="85">
          <cell r="A85">
            <v>5364</v>
          </cell>
          <cell r="B85" t="str">
            <v>JARDIN</v>
          </cell>
          <cell r="C85" t="str">
            <v>ANTIOQUIA</v>
          </cell>
          <cell r="D85" t="str">
            <v>MEDELLIN</v>
          </cell>
          <cell r="E85" t="str">
            <v>LEJANA</v>
          </cell>
          <cell r="F85" t="str">
            <v>TERRESTRE</v>
          </cell>
          <cell r="G85" t="str">
            <v>MEDELLIN</v>
          </cell>
        </row>
        <row r="86">
          <cell r="A86">
            <v>5376</v>
          </cell>
          <cell r="B86" t="str">
            <v>LA CEJA</v>
          </cell>
          <cell r="C86" t="str">
            <v>ANTIOQUIA</v>
          </cell>
          <cell r="D86" t="str">
            <v>MEDELLIN</v>
          </cell>
          <cell r="E86" t="str">
            <v>INTERMEDIA</v>
          </cell>
          <cell r="F86" t="str">
            <v>TERRESTRE</v>
          </cell>
          <cell r="G86" t="str">
            <v>MEDELLIN</v>
          </cell>
        </row>
        <row r="87">
          <cell r="A87">
            <v>5380</v>
          </cell>
          <cell r="B87" t="str">
            <v>LA ESTRELLA</v>
          </cell>
          <cell r="C87" t="str">
            <v>ANTIOQUIA</v>
          </cell>
          <cell r="D87" t="str">
            <v>MEDELLIN</v>
          </cell>
          <cell r="E87" t="str">
            <v>PRINCIPAL</v>
          </cell>
          <cell r="F87" t="str">
            <v>TERRESTRE</v>
          </cell>
          <cell r="G87" t="str">
            <v>MEDELLIN</v>
          </cell>
        </row>
        <row r="88">
          <cell r="A88">
            <v>5390</v>
          </cell>
          <cell r="B88" t="str">
            <v>LA PINTADA</v>
          </cell>
          <cell r="C88" t="str">
            <v>ANTIOQUIA</v>
          </cell>
          <cell r="D88" t="str">
            <v>MEDELLIN</v>
          </cell>
          <cell r="E88" t="str">
            <v>INTERMEDIA</v>
          </cell>
          <cell r="F88" t="str">
            <v>TERRESTRE</v>
          </cell>
          <cell r="G88" t="str">
            <v>MEDELLIN</v>
          </cell>
        </row>
        <row r="89">
          <cell r="A89">
            <v>5411</v>
          </cell>
          <cell r="B89" t="str">
            <v>LIBORINA</v>
          </cell>
          <cell r="C89" t="str">
            <v>ANTIOQUIA</v>
          </cell>
          <cell r="D89" t="str">
            <v>MEDELLIN</v>
          </cell>
          <cell r="E89" t="str">
            <v>LEJANA</v>
          </cell>
          <cell r="F89" t="str">
            <v>TERRESTRE</v>
          </cell>
          <cell r="G89" t="str">
            <v>MEDELLIN</v>
          </cell>
        </row>
        <row r="90">
          <cell r="A90">
            <v>5425</v>
          </cell>
          <cell r="B90" t="str">
            <v>MACEO</v>
          </cell>
          <cell r="C90" t="str">
            <v>ANTIOQUIA</v>
          </cell>
          <cell r="D90" t="str">
            <v>MEDELLIN</v>
          </cell>
          <cell r="E90" t="str">
            <v>LEJANA</v>
          </cell>
          <cell r="F90" t="str">
            <v>TERRESTRE</v>
          </cell>
          <cell r="G90" t="str">
            <v>MEDELLIN</v>
          </cell>
        </row>
        <row r="91">
          <cell r="A91">
            <v>5440</v>
          </cell>
          <cell r="B91" t="str">
            <v>MARINILLA</v>
          </cell>
          <cell r="C91" t="str">
            <v>ANTIOQUIA</v>
          </cell>
          <cell r="D91" t="str">
            <v>MEDELLIN</v>
          </cell>
          <cell r="E91" t="str">
            <v>INTERMEDIA</v>
          </cell>
          <cell r="F91" t="str">
            <v>TERRESTRE</v>
          </cell>
          <cell r="G91" t="str">
            <v>MEDELLIN</v>
          </cell>
        </row>
        <row r="92">
          <cell r="A92">
            <v>5001</v>
          </cell>
          <cell r="B92" t="str">
            <v>MEDELLIN</v>
          </cell>
          <cell r="C92" t="str">
            <v>ANTIOQUIA</v>
          </cell>
          <cell r="D92" t="str">
            <v>MEDELLIN</v>
          </cell>
          <cell r="E92" t="str">
            <v>PRINCIPAL</v>
          </cell>
          <cell r="F92" t="str">
            <v>TERRESTRE</v>
          </cell>
          <cell r="G92" t="str">
            <v>MEDELLIN</v>
          </cell>
        </row>
        <row r="93">
          <cell r="A93">
            <v>5467</v>
          </cell>
          <cell r="B93" t="str">
            <v>MONTEBELLO</v>
          </cell>
          <cell r="C93" t="str">
            <v>ANTIOQUIA</v>
          </cell>
          <cell r="D93" t="str">
            <v>MEDELLIN</v>
          </cell>
          <cell r="E93" t="str">
            <v>INTERMEDIA</v>
          </cell>
          <cell r="F93" t="str">
            <v>TERRESTRE</v>
          </cell>
          <cell r="G93" t="str">
            <v>MEDELLIN</v>
          </cell>
        </row>
        <row r="94">
          <cell r="A94">
            <v>5475</v>
          </cell>
          <cell r="B94" t="str">
            <v>MURINDO</v>
          </cell>
          <cell r="C94" t="str">
            <v>ANTIOQUIA</v>
          </cell>
          <cell r="D94" t="str">
            <v>APARTADO</v>
          </cell>
          <cell r="E94" t="str">
            <v>LEJANA</v>
          </cell>
          <cell r="F94" t="str">
            <v>FLUVIAL</v>
          </cell>
          <cell r="G94" t="str">
            <v>APARTADO</v>
          </cell>
        </row>
        <row r="95">
          <cell r="A95">
            <v>5480</v>
          </cell>
          <cell r="B95" t="str">
            <v>MUTATA</v>
          </cell>
          <cell r="C95" t="str">
            <v>ANTIOQUIA</v>
          </cell>
          <cell r="D95" t="str">
            <v>APARTADO</v>
          </cell>
          <cell r="E95" t="str">
            <v>INTERMEDIA</v>
          </cell>
          <cell r="F95" t="str">
            <v>TERRESTRE</v>
          </cell>
          <cell r="G95" t="str">
            <v>APARTADO</v>
          </cell>
        </row>
        <row r="96">
          <cell r="A96">
            <v>5495</v>
          </cell>
          <cell r="B96" t="str">
            <v>NECHI</v>
          </cell>
          <cell r="C96" t="str">
            <v>ANTIOQUIA</v>
          </cell>
          <cell r="D96" t="str">
            <v>MONTERIA</v>
          </cell>
          <cell r="E96" t="str">
            <v>LEJANA</v>
          </cell>
          <cell r="F96" t="str">
            <v>TERRESTRE</v>
          </cell>
          <cell r="G96" t="str">
            <v>MONTERIA</v>
          </cell>
        </row>
        <row r="97">
          <cell r="A97">
            <v>5490</v>
          </cell>
          <cell r="B97" t="str">
            <v>NECOCLI</v>
          </cell>
          <cell r="C97" t="str">
            <v>ANTIOQUIA</v>
          </cell>
          <cell r="D97" t="str">
            <v>APARTADO</v>
          </cell>
          <cell r="E97" t="str">
            <v>INTERMEDIA</v>
          </cell>
          <cell r="F97" t="str">
            <v>TERRESTRE</v>
          </cell>
          <cell r="G97" t="str">
            <v>APARTADO</v>
          </cell>
        </row>
        <row r="98">
          <cell r="A98">
            <v>5501</v>
          </cell>
          <cell r="B98" t="str">
            <v>OLAYA</v>
          </cell>
          <cell r="C98" t="str">
            <v>ANTIOQUIA</v>
          </cell>
          <cell r="D98" t="str">
            <v>MEDELLIN</v>
          </cell>
          <cell r="E98" t="str">
            <v>INTERMEDIA</v>
          </cell>
          <cell r="F98" t="str">
            <v>TERRESTRE</v>
          </cell>
          <cell r="G98" t="str">
            <v>MEDELLIN</v>
          </cell>
        </row>
        <row r="99">
          <cell r="A99">
            <v>5541</v>
          </cell>
          <cell r="B99" t="str">
            <v>PEÑOL</v>
          </cell>
          <cell r="C99" t="str">
            <v>ANTIOQUIA</v>
          </cell>
          <cell r="D99" t="str">
            <v>MEDELLIN</v>
          </cell>
          <cell r="E99" t="str">
            <v>INTERMEDIA</v>
          </cell>
          <cell r="F99" t="str">
            <v>TERRESTRE</v>
          </cell>
          <cell r="G99" t="str">
            <v>MEDELLIN</v>
          </cell>
        </row>
        <row r="100">
          <cell r="A100">
            <v>5543</v>
          </cell>
          <cell r="B100" t="str">
            <v>PEQUE</v>
          </cell>
          <cell r="C100" t="str">
            <v>ANTIOQUIA</v>
          </cell>
          <cell r="D100" t="str">
            <v>MEDELLIN</v>
          </cell>
          <cell r="E100" t="str">
            <v>LEJANA</v>
          </cell>
          <cell r="F100" t="str">
            <v>TERRESTRE</v>
          </cell>
          <cell r="G100" t="str">
            <v>MEDELLIN</v>
          </cell>
        </row>
        <row r="101">
          <cell r="A101">
            <v>5576</v>
          </cell>
          <cell r="B101" t="str">
            <v>PUEBLORRICO</v>
          </cell>
          <cell r="C101" t="str">
            <v>ANTIOQUIA</v>
          </cell>
          <cell r="D101" t="str">
            <v>MEDELLIN</v>
          </cell>
          <cell r="E101" t="str">
            <v>LEJANA</v>
          </cell>
          <cell r="F101" t="str">
            <v>TERRESTRE</v>
          </cell>
          <cell r="G101" t="str">
            <v>MEDELLIN</v>
          </cell>
        </row>
        <row r="102">
          <cell r="A102">
            <v>5579</v>
          </cell>
          <cell r="B102" t="str">
            <v>PUERTO BERRIO</v>
          </cell>
          <cell r="C102" t="str">
            <v>ANTIOQUIA</v>
          </cell>
          <cell r="D102" t="str">
            <v>MEDELLIN</v>
          </cell>
          <cell r="E102" t="str">
            <v>LEJANA</v>
          </cell>
          <cell r="F102" t="str">
            <v>TERRESTRE</v>
          </cell>
          <cell r="G102" t="str">
            <v>MEDELLIN</v>
          </cell>
        </row>
        <row r="103">
          <cell r="A103">
            <v>5585</v>
          </cell>
          <cell r="B103" t="str">
            <v>PUERTO NARE</v>
          </cell>
          <cell r="C103" t="str">
            <v>ANTIOQUIA</v>
          </cell>
          <cell r="D103" t="str">
            <v>MEDELLIN</v>
          </cell>
          <cell r="E103" t="str">
            <v>LEJANA</v>
          </cell>
          <cell r="F103" t="str">
            <v>TERRESTRE</v>
          </cell>
          <cell r="G103" t="str">
            <v>MEDELLIN</v>
          </cell>
        </row>
        <row r="104">
          <cell r="A104">
            <v>5591</v>
          </cell>
          <cell r="B104" t="str">
            <v>PUERTO TRIUNFO</v>
          </cell>
          <cell r="C104" t="str">
            <v>ANTIOQUIA</v>
          </cell>
          <cell r="D104" t="str">
            <v>MEDELLIN</v>
          </cell>
          <cell r="E104" t="str">
            <v>LEJANA</v>
          </cell>
          <cell r="F104" t="str">
            <v>TERRESTRE</v>
          </cell>
          <cell r="G104" t="str">
            <v>MEDELLIN</v>
          </cell>
        </row>
        <row r="105">
          <cell r="A105">
            <v>5604</v>
          </cell>
          <cell r="B105" t="str">
            <v>REMEDIOS</v>
          </cell>
          <cell r="C105" t="str">
            <v>ANTIOQUIA</v>
          </cell>
          <cell r="D105" t="str">
            <v>MEDELLIN</v>
          </cell>
          <cell r="E105" t="str">
            <v>LEJANA</v>
          </cell>
          <cell r="F105" t="str">
            <v>TERRESTRE</v>
          </cell>
          <cell r="G105" t="str">
            <v>MEDELLIN</v>
          </cell>
        </row>
        <row r="106">
          <cell r="A106">
            <v>5607</v>
          </cell>
          <cell r="B106" t="str">
            <v>RETIRO</v>
          </cell>
          <cell r="C106" t="str">
            <v>ANTIOQUIA</v>
          </cell>
          <cell r="D106" t="str">
            <v>MEDELLIN</v>
          </cell>
          <cell r="E106" t="str">
            <v>INTERMEDIA</v>
          </cell>
          <cell r="F106" t="str">
            <v>TERRESTRE</v>
          </cell>
          <cell r="G106" t="str">
            <v>MEDELLIN</v>
          </cell>
        </row>
        <row r="107">
          <cell r="A107">
            <v>5631</v>
          </cell>
          <cell r="B107" t="str">
            <v>SABANETA</v>
          </cell>
          <cell r="C107" t="str">
            <v>ANTIOQUIA</v>
          </cell>
          <cell r="D107" t="str">
            <v>MEDELLIN</v>
          </cell>
          <cell r="E107" t="str">
            <v>PRINCIPAL</v>
          </cell>
          <cell r="F107" t="str">
            <v>TERRESTRE</v>
          </cell>
          <cell r="G107" t="str">
            <v>MEDELLIN</v>
          </cell>
        </row>
        <row r="108">
          <cell r="A108">
            <v>5642</v>
          </cell>
          <cell r="B108" t="str">
            <v>SALGAR</v>
          </cell>
          <cell r="C108" t="str">
            <v>ANTIOQUIA</v>
          </cell>
          <cell r="D108" t="str">
            <v>MEDELLIN</v>
          </cell>
          <cell r="E108" t="str">
            <v>INTERMEDIA</v>
          </cell>
          <cell r="F108" t="str">
            <v>TERRESTRE</v>
          </cell>
          <cell r="G108" t="str">
            <v>MEDELLIN</v>
          </cell>
        </row>
        <row r="109">
          <cell r="A109">
            <v>5647</v>
          </cell>
          <cell r="B109" t="str">
            <v>SAN ANDRES DE CUERQUIA</v>
          </cell>
          <cell r="C109" t="str">
            <v>ANTIOQUIA</v>
          </cell>
          <cell r="D109" t="str">
            <v>MEDELLIN</v>
          </cell>
          <cell r="E109" t="str">
            <v>LEJANA</v>
          </cell>
          <cell r="F109" t="str">
            <v>TERRESTRE</v>
          </cell>
          <cell r="G109" t="str">
            <v>MEDELLIN</v>
          </cell>
        </row>
        <row r="110">
          <cell r="A110">
            <v>5656</v>
          </cell>
          <cell r="B110" t="str">
            <v>SAN JERONIMO</v>
          </cell>
          <cell r="C110" t="str">
            <v>ANTIOQUIA</v>
          </cell>
          <cell r="D110" t="str">
            <v>MEDELLIN</v>
          </cell>
          <cell r="E110" t="str">
            <v>INTERMEDIA</v>
          </cell>
          <cell r="F110" t="str">
            <v>TERRESTRE</v>
          </cell>
          <cell r="G110" t="str">
            <v>MEDELLIN</v>
          </cell>
        </row>
        <row r="111">
          <cell r="A111">
            <v>5658</v>
          </cell>
          <cell r="B111" t="str">
            <v>SAN JOSE DE LA MONTAÑA</v>
          </cell>
          <cell r="C111" t="str">
            <v>ANTIOQUIA</v>
          </cell>
          <cell r="D111" t="str">
            <v>MEDELLIN</v>
          </cell>
          <cell r="E111" t="str">
            <v>LEJANA</v>
          </cell>
          <cell r="F111" t="str">
            <v>TERRESTRE</v>
          </cell>
          <cell r="G111" t="str">
            <v>MEDELLIN</v>
          </cell>
        </row>
        <row r="112">
          <cell r="A112">
            <v>5659</v>
          </cell>
          <cell r="B112" t="str">
            <v>SAN JUAN DE URABA</v>
          </cell>
          <cell r="C112" t="str">
            <v>ANTIOQUIA</v>
          </cell>
          <cell r="D112" t="str">
            <v>MONTERIA</v>
          </cell>
          <cell r="E112" t="str">
            <v>INTERMEDIA</v>
          </cell>
          <cell r="F112" t="str">
            <v>TERRESTRE</v>
          </cell>
          <cell r="G112" t="str">
            <v>MONTERIA</v>
          </cell>
        </row>
        <row r="113">
          <cell r="A113">
            <v>5665</v>
          </cell>
          <cell r="B113" t="str">
            <v>SAN PEDRO DE URABA</v>
          </cell>
          <cell r="C113" t="str">
            <v>ANTIOQUIA</v>
          </cell>
          <cell r="D113" t="str">
            <v>APARTADO</v>
          </cell>
          <cell r="E113" t="str">
            <v>LEJANA</v>
          </cell>
          <cell r="F113" t="str">
            <v>TERRESTRE</v>
          </cell>
          <cell r="G113" t="str">
            <v>APARTADO</v>
          </cell>
        </row>
        <row r="114">
          <cell r="A114">
            <v>5667</v>
          </cell>
          <cell r="B114" t="str">
            <v>SAN RAFAEL</v>
          </cell>
          <cell r="C114" t="str">
            <v>ANTIOQUIA</v>
          </cell>
          <cell r="D114" t="str">
            <v>MEDELLIN</v>
          </cell>
          <cell r="E114" t="str">
            <v>LEJANA</v>
          </cell>
          <cell r="F114" t="str">
            <v>TERRESTRE</v>
          </cell>
          <cell r="G114" t="str">
            <v>MEDELLIN</v>
          </cell>
        </row>
        <row r="115">
          <cell r="A115">
            <v>5670</v>
          </cell>
          <cell r="B115" t="str">
            <v>SAN ROQUE</v>
          </cell>
          <cell r="C115" t="str">
            <v>ANTIOQUIA</v>
          </cell>
          <cell r="D115" t="str">
            <v>MEDELLIN</v>
          </cell>
          <cell r="E115" t="str">
            <v>LEJANA</v>
          </cell>
          <cell r="F115" t="str">
            <v>TERRESTRE</v>
          </cell>
          <cell r="G115" t="str">
            <v>MEDELLIN</v>
          </cell>
        </row>
        <row r="116">
          <cell r="A116">
            <v>5674</v>
          </cell>
          <cell r="B116" t="str">
            <v>SAN VICENTE</v>
          </cell>
          <cell r="C116" t="str">
            <v>ANTIOQUIA</v>
          </cell>
          <cell r="D116" t="str">
            <v>MEDELLIN</v>
          </cell>
          <cell r="E116" t="str">
            <v>INTERMEDIA</v>
          </cell>
          <cell r="F116" t="str">
            <v>TERRESTRE</v>
          </cell>
          <cell r="G116" t="str">
            <v>MEDELLIN</v>
          </cell>
        </row>
        <row r="117">
          <cell r="A117">
            <v>5042</v>
          </cell>
          <cell r="B117" t="str">
            <v>SANTA FE DE ANTIOQUIA</v>
          </cell>
          <cell r="C117" t="str">
            <v>ANTIOQUIA</v>
          </cell>
          <cell r="D117" t="str">
            <v>MEDELLIN</v>
          </cell>
          <cell r="E117" t="str">
            <v>INTERMEDIA</v>
          </cell>
          <cell r="F117" t="str">
            <v>TERRESTRE</v>
          </cell>
          <cell r="G117" t="str">
            <v>MEDELLIN</v>
          </cell>
        </row>
        <row r="118">
          <cell r="A118">
            <v>5686</v>
          </cell>
          <cell r="B118" t="str">
            <v>SANTA ROSA DE OSOS</v>
          </cell>
          <cell r="C118" t="str">
            <v>ANTIOQUIA</v>
          </cell>
          <cell r="D118" t="str">
            <v>MEDELLIN</v>
          </cell>
          <cell r="E118" t="str">
            <v>INTERMEDIA</v>
          </cell>
          <cell r="F118" t="str">
            <v>TERRESTRE</v>
          </cell>
          <cell r="G118" t="str">
            <v>MEDELLIN</v>
          </cell>
        </row>
        <row r="119">
          <cell r="A119">
            <v>5690</v>
          </cell>
          <cell r="B119" t="str">
            <v>SANTO DOMINGO</v>
          </cell>
          <cell r="C119" t="str">
            <v>ANTIOQUIA</v>
          </cell>
          <cell r="D119" t="str">
            <v>MEDELLIN</v>
          </cell>
          <cell r="E119" t="str">
            <v>INTERMEDIA</v>
          </cell>
          <cell r="F119" t="str">
            <v>TERRESTRE</v>
          </cell>
          <cell r="G119" t="str">
            <v>MEDELLIN</v>
          </cell>
        </row>
        <row r="120">
          <cell r="A120">
            <v>5736</v>
          </cell>
          <cell r="B120" t="str">
            <v>SEGOVIA</v>
          </cell>
          <cell r="C120" t="str">
            <v>ANTIOQUIA</v>
          </cell>
          <cell r="D120" t="str">
            <v>MEDELLIN</v>
          </cell>
          <cell r="E120" t="str">
            <v>LEJANA</v>
          </cell>
          <cell r="F120" t="str">
            <v>TERRESTRE</v>
          </cell>
          <cell r="G120" t="str">
            <v>MEDELLIN</v>
          </cell>
        </row>
        <row r="121">
          <cell r="A121">
            <v>5756</v>
          </cell>
          <cell r="B121" t="str">
            <v>SONSON</v>
          </cell>
          <cell r="C121" t="str">
            <v>ANTIOQUIA</v>
          </cell>
          <cell r="D121" t="str">
            <v>MEDELLIN</v>
          </cell>
          <cell r="E121" t="str">
            <v>LEJANA</v>
          </cell>
          <cell r="F121" t="str">
            <v>TERRESTRE</v>
          </cell>
          <cell r="G121" t="str">
            <v>MEDELLIN</v>
          </cell>
        </row>
        <row r="122">
          <cell r="A122">
            <v>5761</v>
          </cell>
          <cell r="B122" t="str">
            <v>SOPETRAN</v>
          </cell>
          <cell r="C122" t="str">
            <v>ANTIOQUIA</v>
          </cell>
          <cell r="D122" t="str">
            <v>MEDELLIN</v>
          </cell>
          <cell r="E122" t="str">
            <v>INTERMEDIA</v>
          </cell>
          <cell r="F122" t="str">
            <v>TERRESTRE</v>
          </cell>
          <cell r="G122" t="str">
            <v>MEDELLIN</v>
          </cell>
        </row>
        <row r="123">
          <cell r="A123">
            <v>5789</v>
          </cell>
          <cell r="B123" t="str">
            <v>TAMESIS</v>
          </cell>
          <cell r="C123" t="str">
            <v>ANTIOQUIA</v>
          </cell>
          <cell r="D123" t="str">
            <v>MEDELLIN</v>
          </cell>
          <cell r="E123" t="str">
            <v>LEJANA</v>
          </cell>
          <cell r="F123" t="str">
            <v>TERRESTRE</v>
          </cell>
          <cell r="G123" t="str">
            <v>MEDELLIN</v>
          </cell>
        </row>
        <row r="124">
          <cell r="A124">
            <v>5790</v>
          </cell>
          <cell r="B124" t="str">
            <v>TARAZA</v>
          </cell>
          <cell r="C124" t="str">
            <v>ANTIOQUIA</v>
          </cell>
          <cell r="D124" t="str">
            <v>MEDELLIN</v>
          </cell>
          <cell r="E124" t="str">
            <v>LEJANA</v>
          </cell>
          <cell r="F124" t="str">
            <v>TERRESTRE</v>
          </cell>
          <cell r="G124" t="str">
            <v>MEDELLIN</v>
          </cell>
        </row>
        <row r="125">
          <cell r="A125">
            <v>5792</v>
          </cell>
          <cell r="B125" t="str">
            <v>TARSO</v>
          </cell>
          <cell r="C125" t="str">
            <v>ANTIOQUIA</v>
          </cell>
          <cell r="D125" t="str">
            <v>MEDELLIN</v>
          </cell>
          <cell r="E125" t="str">
            <v>LEJANA</v>
          </cell>
          <cell r="F125" t="str">
            <v>TERRESTRE</v>
          </cell>
          <cell r="G125" t="str">
            <v>MEDELLIN</v>
          </cell>
        </row>
        <row r="126">
          <cell r="A126">
            <v>5809</v>
          </cell>
          <cell r="B126" t="str">
            <v>TITIRIBI</v>
          </cell>
          <cell r="C126" t="str">
            <v>ANTIOQUIA</v>
          </cell>
          <cell r="D126" t="str">
            <v>MEDELLIN</v>
          </cell>
          <cell r="E126" t="str">
            <v>INTERMEDIA</v>
          </cell>
          <cell r="F126" t="str">
            <v>TERRESTRE</v>
          </cell>
          <cell r="G126" t="str">
            <v>MEDELLIN</v>
          </cell>
        </row>
        <row r="127">
          <cell r="A127">
            <v>5837</v>
          </cell>
          <cell r="B127" t="str">
            <v>TURBO</v>
          </cell>
          <cell r="C127" t="str">
            <v>ANTIOQUIA</v>
          </cell>
          <cell r="D127" t="str">
            <v>APARTADO</v>
          </cell>
          <cell r="E127" t="str">
            <v>INTERMEDIA</v>
          </cell>
          <cell r="F127" t="str">
            <v>TERRESTRE</v>
          </cell>
          <cell r="G127" t="str">
            <v>APARTADO</v>
          </cell>
        </row>
        <row r="128">
          <cell r="A128">
            <v>5842</v>
          </cell>
          <cell r="B128" t="str">
            <v>URAMITA</v>
          </cell>
          <cell r="C128" t="str">
            <v>ANTIOQUIA</v>
          </cell>
          <cell r="D128" t="str">
            <v>MEDELLIN</v>
          </cell>
          <cell r="E128" t="str">
            <v>LEJANA</v>
          </cell>
          <cell r="F128" t="str">
            <v>TERRESTRE</v>
          </cell>
          <cell r="G128" t="str">
            <v>MEDELLIN</v>
          </cell>
        </row>
        <row r="129">
          <cell r="A129">
            <v>5847</v>
          </cell>
          <cell r="B129" t="str">
            <v>URRAO</v>
          </cell>
          <cell r="C129" t="str">
            <v>ANTIOQUIA</v>
          </cell>
          <cell r="D129" t="str">
            <v>MEDELLIN</v>
          </cell>
          <cell r="E129" t="str">
            <v>LEJANA</v>
          </cell>
          <cell r="F129" t="str">
            <v>TERRESTRE</v>
          </cell>
          <cell r="G129" t="str">
            <v>MEDELLIN</v>
          </cell>
        </row>
        <row r="130">
          <cell r="A130">
            <v>5854</v>
          </cell>
          <cell r="B130" t="str">
            <v>VALDIVIA</v>
          </cell>
          <cell r="C130" t="str">
            <v>ANTIOQUIA</v>
          </cell>
          <cell r="D130" t="str">
            <v>MEDELLIN</v>
          </cell>
          <cell r="E130" t="str">
            <v>LEJANA</v>
          </cell>
          <cell r="F130" t="str">
            <v>TERRESTRE</v>
          </cell>
          <cell r="G130" t="str">
            <v>MEDELLIN</v>
          </cell>
        </row>
        <row r="131">
          <cell r="A131">
            <v>5858</v>
          </cell>
          <cell r="B131" t="str">
            <v>VEGACHI</v>
          </cell>
          <cell r="C131" t="str">
            <v>ANTIOQUIA</v>
          </cell>
          <cell r="D131" t="str">
            <v>MEDELLIN</v>
          </cell>
          <cell r="E131" t="str">
            <v>LEJANA</v>
          </cell>
          <cell r="F131" t="str">
            <v>TERRESTRE</v>
          </cell>
          <cell r="G131" t="str">
            <v>MEDELLIN</v>
          </cell>
        </row>
        <row r="132">
          <cell r="A132">
            <v>5873</v>
          </cell>
          <cell r="B132" t="str">
            <v>VIGIA DEL FUERTE</v>
          </cell>
          <cell r="C132" t="str">
            <v>ANTIOQUIA</v>
          </cell>
          <cell r="D132" t="str">
            <v>APARTADO</v>
          </cell>
          <cell r="E132" t="str">
            <v>LEJANA</v>
          </cell>
          <cell r="F132" t="str">
            <v>AEREO</v>
          </cell>
          <cell r="G132" t="str">
            <v>APARTADO</v>
          </cell>
        </row>
        <row r="133">
          <cell r="A133">
            <v>5885</v>
          </cell>
          <cell r="B133" t="str">
            <v>YALI</v>
          </cell>
          <cell r="C133" t="str">
            <v>ANTIOQUIA</v>
          </cell>
          <cell r="D133" t="str">
            <v>MEDELLIN</v>
          </cell>
          <cell r="E133" t="str">
            <v>INTERMEDIA</v>
          </cell>
          <cell r="F133" t="str">
            <v>TERRESTRE</v>
          </cell>
          <cell r="G133" t="str">
            <v>MEDELLIN</v>
          </cell>
        </row>
        <row r="134">
          <cell r="A134">
            <v>5887</v>
          </cell>
          <cell r="B134" t="str">
            <v>YARUMAL</v>
          </cell>
          <cell r="C134" t="str">
            <v>ANTIOQUIA</v>
          </cell>
          <cell r="D134" t="str">
            <v>MEDELLIN</v>
          </cell>
          <cell r="E134" t="str">
            <v>LEJANA</v>
          </cell>
          <cell r="F134" t="str">
            <v>TERRESTRE</v>
          </cell>
          <cell r="G134" t="str">
            <v>MEDELLIN</v>
          </cell>
        </row>
        <row r="135">
          <cell r="A135">
            <v>5890</v>
          </cell>
          <cell r="B135" t="str">
            <v>YOLOMBO</v>
          </cell>
          <cell r="C135" t="str">
            <v>ANTIOQUIA</v>
          </cell>
          <cell r="D135" t="str">
            <v>MEDELLIN</v>
          </cell>
          <cell r="E135" t="str">
            <v>INTERMEDIA</v>
          </cell>
          <cell r="F135" t="str">
            <v>TERRESTRE</v>
          </cell>
          <cell r="G135" t="str">
            <v>MEDELLIN</v>
          </cell>
        </row>
        <row r="136">
          <cell r="A136">
            <v>5893</v>
          </cell>
          <cell r="B136" t="str">
            <v>YONDO</v>
          </cell>
          <cell r="C136" t="str">
            <v>ANTIOQUIA</v>
          </cell>
          <cell r="D136" t="str">
            <v>BUCARAMANGA</v>
          </cell>
          <cell r="E136" t="str">
            <v>LEJANA</v>
          </cell>
          <cell r="F136" t="str">
            <v>TERRESTRE</v>
          </cell>
          <cell r="G136" t="str">
            <v>BUCARAMANGA</v>
          </cell>
        </row>
        <row r="137">
          <cell r="A137">
            <v>5895</v>
          </cell>
          <cell r="B137" t="str">
            <v>ZARAGOZA</v>
          </cell>
          <cell r="C137" t="str">
            <v>ANTIOQUIA</v>
          </cell>
          <cell r="D137" t="str">
            <v>MONTERIA</v>
          </cell>
          <cell r="E137" t="str">
            <v>LEJANA</v>
          </cell>
          <cell r="F137" t="str">
            <v>TERRESTRE</v>
          </cell>
          <cell r="G137" t="str">
            <v>MONTERIA</v>
          </cell>
        </row>
        <row r="138">
          <cell r="A138">
            <v>81001</v>
          </cell>
          <cell r="B138" t="str">
            <v>ARAUCA</v>
          </cell>
          <cell r="C138" t="str">
            <v>ARAUCA</v>
          </cell>
          <cell r="D138" t="str">
            <v>BUCARAMANGA</v>
          </cell>
          <cell r="E138" t="str">
            <v>LEJANA</v>
          </cell>
          <cell r="F138" t="str">
            <v>AEREO</v>
          </cell>
          <cell r="G138" t="str">
            <v>BUCARAMANGA</v>
          </cell>
        </row>
        <row r="139">
          <cell r="A139">
            <v>81065</v>
          </cell>
          <cell r="B139" t="str">
            <v>ARAUQUITA</v>
          </cell>
          <cell r="C139" t="str">
            <v>ARAUCA</v>
          </cell>
          <cell r="D139" t="str">
            <v>BUCARAMANGA</v>
          </cell>
          <cell r="E139" t="str">
            <v>LEJANA</v>
          </cell>
          <cell r="F139" t="str">
            <v>AEREO</v>
          </cell>
          <cell r="G139" t="str">
            <v>BUCARAMANGA</v>
          </cell>
        </row>
        <row r="140">
          <cell r="A140">
            <v>81220</v>
          </cell>
          <cell r="B140" t="str">
            <v>CRAVO NORTE</v>
          </cell>
          <cell r="C140" t="str">
            <v>ARAUCA</v>
          </cell>
          <cell r="D140" t="str">
            <v>BUCARAMANGA</v>
          </cell>
          <cell r="E140" t="str">
            <v>LEJANA</v>
          </cell>
          <cell r="F140" t="str">
            <v>AEREO</v>
          </cell>
          <cell r="G140" t="str">
            <v>BUCARAMANGA</v>
          </cell>
        </row>
        <row r="141">
          <cell r="A141">
            <v>81300</v>
          </cell>
          <cell r="B141" t="str">
            <v>FORTUL</v>
          </cell>
          <cell r="C141" t="str">
            <v>ARAUCA</v>
          </cell>
          <cell r="D141" t="str">
            <v>BUCARAMANGA</v>
          </cell>
          <cell r="E141" t="str">
            <v>LEJANA</v>
          </cell>
          <cell r="F141" t="str">
            <v>AEREO</v>
          </cell>
          <cell r="G141" t="str">
            <v>BUCARAMANGA</v>
          </cell>
        </row>
        <row r="142">
          <cell r="A142">
            <v>81591</v>
          </cell>
          <cell r="B142" t="str">
            <v>PUERTO RONDON</v>
          </cell>
          <cell r="C142" t="str">
            <v>ARAUCA</v>
          </cell>
          <cell r="D142" t="str">
            <v>BUCARAMANGA</v>
          </cell>
          <cell r="E142" t="str">
            <v>LEJANA</v>
          </cell>
          <cell r="F142" t="str">
            <v>AEREO</v>
          </cell>
          <cell r="G142" t="str">
            <v>BUCARAMANGA</v>
          </cell>
        </row>
        <row r="143">
          <cell r="A143">
            <v>81736</v>
          </cell>
          <cell r="B143" t="str">
            <v>SARAVENA</v>
          </cell>
          <cell r="C143" t="str">
            <v>ARAUCA</v>
          </cell>
          <cell r="D143" t="str">
            <v>BUCARAMANGA</v>
          </cell>
          <cell r="E143" t="str">
            <v>LEJANA</v>
          </cell>
          <cell r="F143" t="str">
            <v>AEREO</v>
          </cell>
          <cell r="G143" t="str">
            <v>BUCARAMANGA</v>
          </cell>
        </row>
        <row r="144">
          <cell r="A144">
            <v>81794</v>
          </cell>
          <cell r="B144" t="str">
            <v>TAME</v>
          </cell>
          <cell r="C144" t="str">
            <v>ARAUCA</v>
          </cell>
          <cell r="D144" t="str">
            <v>BUCARAMANGA</v>
          </cell>
          <cell r="E144" t="str">
            <v>LEJANA</v>
          </cell>
          <cell r="F144" t="str">
            <v>AEREO</v>
          </cell>
          <cell r="G144" t="str">
            <v>BUCARAMANGA</v>
          </cell>
        </row>
        <row r="145">
          <cell r="A145">
            <v>8141</v>
          </cell>
          <cell r="B145" t="str">
            <v>CANDELARIA</v>
          </cell>
          <cell r="C145" t="str">
            <v>ATLANTICO</v>
          </cell>
          <cell r="D145" t="str">
            <v>BARRANQUILLA</v>
          </cell>
          <cell r="E145" t="str">
            <v>INTERMEDIA</v>
          </cell>
          <cell r="F145" t="str">
            <v>TERRESTRE</v>
          </cell>
          <cell r="G145" t="str">
            <v>BARRANQUILLA</v>
          </cell>
        </row>
        <row r="146">
          <cell r="A146">
            <v>8573</v>
          </cell>
          <cell r="B146" t="str">
            <v>PUERTO COLOMBIA</v>
          </cell>
          <cell r="C146" t="str">
            <v>ATLANTICO</v>
          </cell>
          <cell r="D146" t="str">
            <v>BARRANQUILLA</v>
          </cell>
          <cell r="E146" t="str">
            <v>INTERMEDIA</v>
          </cell>
          <cell r="F146" t="str">
            <v>TERRESTRE</v>
          </cell>
          <cell r="G146" t="str">
            <v>BARRANQUILLA</v>
          </cell>
        </row>
        <row r="147">
          <cell r="A147">
            <v>8638</v>
          </cell>
          <cell r="B147" t="str">
            <v>SABANALARGA</v>
          </cell>
          <cell r="C147" t="str">
            <v>ATLANTICO</v>
          </cell>
          <cell r="D147" t="str">
            <v>BARRANQUILLA</v>
          </cell>
          <cell r="E147" t="str">
            <v>INTERMEDIA</v>
          </cell>
          <cell r="F147" t="str">
            <v>TERRESTRE</v>
          </cell>
          <cell r="G147" t="str">
            <v>BARRANQUILLA</v>
          </cell>
        </row>
        <row r="148">
          <cell r="A148">
            <v>8078</v>
          </cell>
          <cell r="B148" t="str">
            <v>BARANOA</v>
          </cell>
          <cell r="C148" t="str">
            <v>ATLANTICO</v>
          </cell>
          <cell r="D148" t="str">
            <v>BARRANQUILLA</v>
          </cell>
          <cell r="E148" t="str">
            <v>INTERMEDIA</v>
          </cell>
          <cell r="F148" t="str">
            <v>TERRESTRE</v>
          </cell>
          <cell r="G148" t="str">
            <v>BARRANQUILLA</v>
          </cell>
        </row>
        <row r="149">
          <cell r="A149">
            <v>8001</v>
          </cell>
          <cell r="B149" t="str">
            <v>BARRANQUILLA</v>
          </cell>
          <cell r="C149" t="str">
            <v>ATLANTICO</v>
          </cell>
          <cell r="D149" t="str">
            <v>BARRANQUILLA</v>
          </cell>
          <cell r="E149" t="str">
            <v>PRINCIPAL</v>
          </cell>
          <cell r="F149" t="str">
            <v>TERRESTRE</v>
          </cell>
          <cell r="G149" t="str">
            <v>BARRANQUILLA</v>
          </cell>
        </row>
        <row r="150">
          <cell r="A150">
            <v>8137</v>
          </cell>
          <cell r="B150" t="str">
            <v>CAMPO DE LA CRUZ</v>
          </cell>
          <cell r="C150" t="str">
            <v>ATLANTICO</v>
          </cell>
          <cell r="D150" t="str">
            <v>BARRANQUILLA</v>
          </cell>
          <cell r="E150" t="str">
            <v>INTERMEDIA</v>
          </cell>
          <cell r="F150" t="str">
            <v>TERRESTRE</v>
          </cell>
          <cell r="G150" t="str">
            <v>BARRANQUILLA</v>
          </cell>
        </row>
        <row r="151">
          <cell r="A151">
            <v>8296</v>
          </cell>
          <cell r="B151" t="str">
            <v>GALAPA</v>
          </cell>
          <cell r="C151" t="str">
            <v>ATLANTICO</v>
          </cell>
          <cell r="D151" t="str">
            <v>BARRANQUILLA</v>
          </cell>
          <cell r="E151" t="str">
            <v>PRINCIPAL</v>
          </cell>
          <cell r="F151" t="str">
            <v>TERRESTRE</v>
          </cell>
          <cell r="G151" t="str">
            <v>BARRANQUILLA</v>
          </cell>
        </row>
        <row r="152">
          <cell r="A152">
            <v>8372</v>
          </cell>
          <cell r="B152" t="str">
            <v>JUAN DE ACOSTA</v>
          </cell>
          <cell r="C152" t="str">
            <v>ATLANTICO</v>
          </cell>
          <cell r="D152" t="str">
            <v>BARRANQUILLA</v>
          </cell>
          <cell r="E152" t="str">
            <v>INTERMEDIA</v>
          </cell>
          <cell r="F152" t="str">
            <v>TERRESTRE</v>
          </cell>
          <cell r="G152" t="str">
            <v>BARRANQUILLA</v>
          </cell>
        </row>
        <row r="153">
          <cell r="A153">
            <v>8421</v>
          </cell>
          <cell r="B153" t="str">
            <v>LURUACO</v>
          </cell>
          <cell r="C153" t="str">
            <v>ATLANTICO</v>
          </cell>
          <cell r="D153" t="str">
            <v>BARRANQUILLA</v>
          </cell>
          <cell r="E153" t="str">
            <v>INTERMEDIA</v>
          </cell>
          <cell r="F153" t="str">
            <v>TERRESTRE</v>
          </cell>
          <cell r="G153" t="str">
            <v>BARRANQUILLA</v>
          </cell>
        </row>
        <row r="154">
          <cell r="A154">
            <v>8433</v>
          </cell>
          <cell r="B154" t="str">
            <v>MALAMBO</v>
          </cell>
          <cell r="C154" t="str">
            <v>ATLANTICO</v>
          </cell>
          <cell r="D154" t="str">
            <v>BARRANQUILLA</v>
          </cell>
          <cell r="E154" t="str">
            <v>INTERMEDIA</v>
          </cell>
          <cell r="F154" t="str">
            <v>TERRESTRE</v>
          </cell>
          <cell r="G154" t="str">
            <v>BARRANQUILLA</v>
          </cell>
        </row>
        <row r="155">
          <cell r="A155">
            <v>8436</v>
          </cell>
          <cell r="B155" t="str">
            <v>MANATI</v>
          </cell>
          <cell r="C155" t="str">
            <v>ATLANTICO</v>
          </cell>
          <cell r="D155" t="str">
            <v>BARRANQUILLA</v>
          </cell>
          <cell r="E155" t="str">
            <v>INTERMEDIA</v>
          </cell>
          <cell r="F155" t="str">
            <v>TERRESTRE</v>
          </cell>
          <cell r="G155" t="str">
            <v>BARRANQUILLA</v>
          </cell>
        </row>
        <row r="156">
          <cell r="A156">
            <v>8520</v>
          </cell>
          <cell r="B156" t="str">
            <v>PALMAR DE VARELA</v>
          </cell>
          <cell r="C156" t="str">
            <v>ATLANTICO</v>
          </cell>
          <cell r="D156" t="str">
            <v>BARRANQUILLA</v>
          </cell>
          <cell r="E156" t="str">
            <v>INTERMEDIA</v>
          </cell>
          <cell r="F156" t="str">
            <v>TERRESTRE</v>
          </cell>
          <cell r="G156" t="str">
            <v>BARRANQUILLA</v>
          </cell>
        </row>
        <row r="157">
          <cell r="A157">
            <v>8549</v>
          </cell>
          <cell r="B157" t="str">
            <v>PIOJO</v>
          </cell>
          <cell r="C157" t="str">
            <v>ATLANTICO</v>
          </cell>
          <cell r="D157" t="str">
            <v>BARRANQUILLA</v>
          </cell>
          <cell r="E157" t="str">
            <v>INTERMEDIA</v>
          </cell>
          <cell r="F157" t="str">
            <v>TERRESTRE</v>
          </cell>
          <cell r="G157" t="str">
            <v>BARRANQUILLA</v>
          </cell>
        </row>
        <row r="158">
          <cell r="A158">
            <v>8558</v>
          </cell>
          <cell r="B158" t="str">
            <v>POLONUEVO</v>
          </cell>
          <cell r="C158" t="str">
            <v>ATLANTICO</v>
          </cell>
          <cell r="D158" t="str">
            <v>BARRANQUILLA</v>
          </cell>
          <cell r="E158" t="str">
            <v>INTERMEDIA</v>
          </cell>
          <cell r="F158" t="str">
            <v>TERRESTRE</v>
          </cell>
          <cell r="G158" t="str">
            <v>BARRANQUILLA</v>
          </cell>
        </row>
        <row r="159">
          <cell r="A159">
            <v>8560</v>
          </cell>
          <cell r="B159" t="str">
            <v>PONEDERA</v>
          </cell>
          <cell r="C159" t="str">
            <v>ATLANTICO</v>
          </cell>
          <cell r="D159" t="str">
            <v>BARRANQUILLA</v>
          </cell>
          <cell r="E159" t="str">
            <v>INTERMEDIA</v>
          </cell>
          <cell r="F159" t="str">
            <v>TERRESTRE</v>
          </cell>
          <cell r="G159" t="str">
            <v>BARRANQUILLA</v>
          </cell>
        </row>
        <row r="160">
          <cell r="A160">
            <v>8606</v>
          </cell>
          <cell r="B160" t="str">
            <v>REPELON</v>
          </cell>
          <cell r="C160" t="str">
            <v>ATLANTICO</v>
          </cell>
          <cell r="D160" t="str">
            <v>BARRANQUILLA</v>
          </cell>
          <cell r="E160" t="str">
            <v>INTERMEDIA</v>
          </cell>
          <cell r="F160" t="str">
            <v>TERRESTRE</v>
          </cell>
          <cell r="G160" t="str">
            <v>BARRANQUILLA</v>
          </cell>
        </row>
        <row r="161">
          <cell r="A161">
            <v>8634</v>
          </cell>
          <cell r="B161" t="str">
            <v>SABANAGRANDE</v>
          </cell>
          <cell r="C161" t="str">
            <v>ATLANTICO</v>
          </cell>
          <cell r="D161" t="str">
            <v>BARRANQUILLA</v>
          </cell>
          <cell r="E161" t="str">
            <v>INTERMEDIA</v>
          </cell>
          <cell r="F161" t="str">
            <v>TERRESTRE</v>
          </cell>
          <cell r="G161" t="str">
            <v>BARRANQUILLA</v>
          </cell>
        </row>
        <row r="162">
          <cell r="A162">
            <v>8675</v>
          </cell>
          <cell r="B162" t="str">
            <v>SANTA LUCIA</v>
          </cell>
          <cell r="C162" t="str">
            <v>ATLANTICO</v>
          </cell>
          <cell r="D162" t="str">
            <v>BARRANQUILLA</v>
          </cell>
          <cell r="E162" t="str">
            <v>INTERMEDIA</v>
          </cell>
          <cell r="F162" t="str">
            <v>TERRESTRE</v>
          </cell>
          <cell r="G162" t="str">
            <v>BARRANQUILLA</v>
          </cell>
        </row>
        <row r="163">
          <cell r="A163">
            <v>8685</v>
          </cell>
          <cell r="B163" t="str">
            <v>SANTO TOMAS</v>
          </cell>
          <cell r="C163" t="str">
            <v>ATLANTICO</v>
          </cell>
          <cell r="D163" t="str">
            <v>BARRANQUILLA</v>
          </cell>
          <cell r="E163" t="str">
            <v>INTERMEDIA</v>
          </cell>
          <cell r="F163" t="str">
            <v>TERRESTRE</v>
          </cell>
          <cell r="G163" t="str">
            <v>BARRANQUILLA</v>
          </cell>
        </row>
        <row r="164">
          <cell r="A164">
            <v>8758</v>
          </cell>
          <cell r="B164" t="str">
            <v>SOLEDAD</v>
          </cell>
          <cell r="C164" t="str">
            <v>ATLANTICO</v>
          </cell>
          <cell r="D164" t="str">
            <v>BARRANQUILLA</v>
          </cell>
          <cell r="E164" t="str">
            <v>PRINCIPAL</v>
          </cell>
          <cell r="F164" t="str">
            <v>TERRESTRE</v>
          </cell>
          <cell r="G164" t="str">
            <v>BARRANQUILLA</v>
          </cell>
        </row>
        <row r="165">
          <cell r="A165">
            <v>8770</v>
          </cell>
          <cell r="B165" t="str">
            <v>SUAN</v>
          </cell>
          <cell r="C165" t="str">
            <v>ATLANTICO</v>
          </cell>
          <cell r="D165" t="str">
            <v>BARRANQUILLA</v>
          </cell>
          <cell r="E165" t="str">
            <v>INTERMEDIA</v>
          </cell>
          <cell r="F165" t="str">
            <v>TERRESTRE</v>
          </cell>
          <cell r="G165" t="str">
            <v>BARRANQUILLA</v>
          </cell>
        </row>
        <row r="166">
          <cell r="A166">
            <v>8832</v>
          </cell>
          <cell r="B166" t="str">
            <v>TUBARA</v>
          </cell>
          <cell r="C166" t="str">
            <v>ATLANTICO</v>
          </cell>
          <cell r="D166" t="str">
            <v>BARRANQUILLA</v>
          </cell>
          <cell r="E166" t="str">
            <v>INTERMEDIA</v>
          </cell>
          <cell r="F166" t="str">
            <v>TERRESTRE</v>
          </cell>
          <cell r="G166" t="str">
            <v>BARRANQUILLA</v>
          </cell>
        </row>
        <row r="167">
          <cell r="A167">
            <v>8849</v>
          </cell>
          <cell r="B167" t="str">
            <v>USIACURI</v>
          </cell>
          <cell r="C167" t="str">
            <v>ATLANTICO</v>
          </cell>
          <cell r="D167" t="str">
            <v>BARRANQUILLA</v>
          </cell>
          <cell r="E167" t="str">
            <v>INTERMEDIA</v>
          </cell>
          <cell r="F167" t="str">
            <v>TERRESTRE</v>
          </cell>
          <cell r="G167" t="str">
            <v>BARRANQUILLA</v>
          </cell>
        </row>
        <row r="168">
          <cell r="A168">
            <v>13140</v>
          </cell>
          <cell r="B168" t="str">
            <v>CALAMAR</v>
          </cell>
          <cell r="C168" t="str">
            <v>BOLIVAR</v>
          </cell>
          <cell r="D168" t="str">
            <v>CARTAGENA</v>
          </cell>
          <cell r="E168" t="str">
            <v>INTERMEDIA</v>
          </cell>
          <cell r="F168" t="str">
            <v>TERRESTRE</v>
          </cell>
          <cell r="G168" t="str">
            <v>CARTAGENA</v>
          </cell>
        </row>
        <row r="169">
          <cell r="A169">
            <v>13212</v>
          </cell>
          <cell r="B169" t="str">
            <v>CORDOBA</v>
          </cell>
          <cell r="C169" t="str">
            <v>BOLIVAR</v>
          </cell>
          <cell r="D169" t="str">
            <v>CARTAGENA</v>
          </cell>
          <cell r="E169" t="str">
            <v>LEJANA</v>
          </cell>
          <cell r="F169" t="str">
            <v>TERRESTRE</v>
          </cell>
          <cell r="G169" t="str">
            <v>CARTAGENA</v>
          </cell>
        </row>
        <row r="170">
          <cell r="A170">
            <v>13268</v>
          </cell>
          <cell r="B170" t="str">
            <v>EL PEÑON</v>
          </cell>
          <cell r="C170" t="str">
            <v>BOLIVAR</v>
          </cell>
          <cell r="D170" t="str">
            <v>VALLEDUPAR</v>
          </cell>
          <cell r="E170" t="str">
            <v>LEJANA</v>
          </cell>
          <cell r="F170" t="str">
            <v>TERRESTRE</v>
          </cell>
          <cell r="G170" t="str">
            <v>VALLEDUPAR</v>
          </cell>
        </row>
        <row r="171">
          <cell r="A171">
            <v>13473</v>
          </cell>
          <cell r="B171" t="str">
            <v>MORALES</v>
          </cell>
          <cell r="C171" t="str">
            <v>BOLIVAR</v>
          </cell>
          <cell r="D171" t="str">
            <v>VALLEDUPAR</v>
          </cell>
          <cell r="E171" t="str">
            <v>LEJANA</v>
          </cell>
          <cell r="F171" t="str">
            <v>TERRESTRE</v>
          </cell>
          <cell r="G171" t="str">
            <v>VALLEDUPAR</v>
          </cell>
        </row>
        <row r="172">
          <cell r="A172">
            <v>13670</v>
          </cell>
          <cell r="B172" t="str">
            <v>SAN PABLO</v>
          </cell>
          <cell r="C172" t="str">
            <v>BOLIVAR</v>
          </cell>
          <cell r="D172" t="str">
            <v>BUCARAMANGA</v>
          </cell>
          <cell r="E172" t="str">
            <v>LEJANA</v>
          </cell>
          <cell r="F172" t="str">
            <v>TERRESTRE/FLUVIAL</v>
          </cell>
          <cell r="G172" t="str">
            <v>BUCARAMANGA</v>
          </cell>
        </row>
        <row r="173">
          <cell r="A173">
            <v>13683</v>
          </cell>
          <cell r="B173" t="str">
            <v>SANTA ROSA</v>
          </cell>
          <cell r="C173" t="str">
            <v>BOLIVAR</v>
          </cell>
          <cell r="D173" t="str">
            <v>CARTAGENA</v>
          </cell>
          <cell r="E173" t="str">
            <v>INTERMEDIA</v>
          </cell>
          <cell r="F173" t="str">
            <v>TERRESTRE</v>
          </cell>
          <cell r="G173" t="str">
            <v>CARTAGENA</v>
          </cell>
        </row>
        <row r="174">
          <cell r="A174">
            <v>13873</v>
          </cell>
          <cell r="B174" t="str">
            <v>VILLANUEVA</v>
          </cell>
          <cell r="C174" t="str">
            <v>BOLIVAR</v>
          </cell>
          <cell r="D174" t="str">
            <v>CARTAGENA</v>
          </cell>
          <cell r="E174" t="str">
            <v>INTERMEDIA</v>
          </cell>
          <cell r="F174" t="str">
            <v>TERRESTRE</v>
          </cell>
          <cell r="G174" t="str">
            <v>CARTAGENA</v>
          </cell>
        </row>
        <row r="175">
          <cell r="A175">
            <v>13006</v>
          </cell>
          <cell r="B175" t="str">
            <v>ACHI</v>
          </cell>
          <cell r="C175" t="str">
            <v>BOLIVAR</v>
          </cell>
          <cell r="D175" t="str">
            <v>CARTAGENA</v>
          </cell>
          <cell r="E175" t="str">
            <v>LEJANA</v>
          </cell>
          <cell r="F175" t="str">
            <v>TERRESTRE</v>
          </cell>
          <cell r="G175" t="str">
            <v>CARTAGENA</v>
          </cell>
        </row>
        <row r="176">
          <cell r="A176">
            <v>13030</v>
          </cell>
          <cell r="B176" t="str">
            <v>ALTOS DEL ROSARIO</v>
          </cell>
          <cell r="C176" t="str">
            <v>BOLIVAR</v>
          </cell>
          <cell r="D176" t="str">
            <v>CARTAGENA</v>
          </cell>
          <cell r="E176" t="str">
            <v>LEJANA</v>
          </cell>
          <cell r="F176" t="str">
            <v>TERRESTRE</v>
          </cell>
          <cell r="G176" t="str">
            <v>CARTAGENA</v>
          </cell>
        </row>
        <row r="177">
          <cell r="A177">
            <v>13042</v>
          </cell>
          <cell r="B177" t="str">
            <v>ARENAL</v>
          </cell>
          <cell r="C177" t="str">
            <v>BOLIVAR</v>
          </cell>
          <cell r="D177" t="str">
            <v>VALLEDUPAR</v>
          </cell>
          <cell r="E177" t="str">
            <v>LEJANA</v>
          </cell>
          <cell r="F177" t="str">
            <v>TERRESTRE</v>
          </cell>
          <cell r="G177" t="str">
            <v>VALLEDUPAR</v>
          </cell>
        </row>
        <row r="178">
          <cell r="A178">
            <v>13052</v>
          </cell>
          <cell r="B178" t="str">
            <v>ARJONA</v>
          </cell>
          <cell r="C178" t="str">
            <v>BOLIVAR</v>
          </cell>
          <cell r="D178" t="str">
            <v>CARTAGENA</v>
          </cell>
          <cell r="E178" t="str">
            <v>INTERMEDIA</v>
          </cell>
          <cell r="F178" t="str">
            <v>TERRESTRE</v>
          </cell>
          <cell r="G178" t="str">
            <v>CARTAGENA</v>
          </cell>
        </row>
        <row r="179">
          <cell r="A179">
            <v>13062</v>
          </cell>
          <cell r="B179" t="str">
            <v>ARROYOHONDO</v>
          </cell>
          <cell r="C179" t="str">
            <v>BOLIVAR</v>
          </cell>
          <cell r="D179" t="str">
            <v>CARTAGENA</v>
          </cell>
          <cell r="E179" t="str">
            <v>INTERMEDIA</v>
          </cell>
          <cell r="F179" t="str">
            <v>TERRESTRE</v>
          </cell>
          <cell r="G179" t="str">
            <v>CARTAGENA</v>
          </cell>
        </row>
        <row r="180">
          <cell r="A180">
            <v>13074</v>
          </cell>
          <cell r="B180" t="str">
            <v>BARRANCO DE LOBA</v>
          </cell>
          <cell r="C180" t="str">
            <v>BOLIVAR</v>
          </cell>
          <cell r="D180" t="str">
            <v>VALLEDUPAR</v>
          </cell>
          <cell r="E180" t="str">
            <v>LEJANA</v>
          </cell>
          <cell r="F180" t="str">
            <v>TERRESTRE</v>
          </cell>
          <cell r="G180" t="str">
            <v>VALLEDUPAR</v>
          </cell>
        </row>
        <row r="181">
          <cell r="A181">
            <v>13160</v>
          </cell>
          <cell r="B181" t="str">
            <v>CANTAGALLO</v>
          </cell>
          <cell r="C181" t="str">
            <v>BOLIVAR</v>
          </cell>
          <cell r="D181" t="str">
            <v>BUCARAMANGA</v>
          </cell>
          <cell r="E181" t="str">
            <v>LEJANA</v>
          </cell>
          <cell r="F181" t="str">
            <v>TERRESTRE/FLUVIAL</v>
          </cell>
          <cell r="G181" t="str">
            <v>BUCARAMANGA</v>
          </cell>
        </row>
        <row r="182">
          <cell r="A182">
            <v>13001</v>
          </cell>
          <cell r="B182" t="str">
            <v>CARTAGENA</v>
          </cell>
          <cell r="C182" t="str">
            <v>BOLIVAR</v>
          </cell>
          <cell r="D182" t="str">
            <v>CARTAGENA</v>
          </cell>
          <cell r="E182" t="str">
            <v>PRINCIPAL</v>
          </cell>
          <cell r="F182" t="str">
            <v>TERRESTRE</v>
          </cell>
          <cell r="G182" t="str">
            <v>CARTAGENA</v>
          </cell>
        </row>
        <row r="183">
          <cell r="A183">
            <v>13188</v>
          </cell>
          <cell r="B183" t="str">
            <v>CICUCO</v>
          </cell>
          <cell r="C183" t="str">
            <v>BOLIVAR</v>
          </cell>
          <cell r="D183" t="str">
            <v>CARTAGENA</v>
          </cell>
          <cell r="E183" t="str">
            <v>LEJANA</v>
          </cell>
          <cell r="F183" t="str">
            <v>TERRESTRE</v>
          </cell>
          <cell r="G183" t="str">
            <v>CARTAGENA</v>
          </cell>
        </row>
        <row r="184">
          <cell r="A184">
            <v>13222</v>
          </cell>
          <cell r="B184" t="str">
            <v>CLEMENCIA</v>
          </cell>
          <cell r="C184" t="str">
            <v>BOLIVAR</v>
          </cell>
          <cell r="D184" t="str">
            <v>CARTAGENA</v>
          </cell>
          <cell r="E184" t="str">
            <v>INTERMEDIA</v>
          </cell>
          <cell r="F184" t="str">
            <v>TERRESTRE</v>
          </cell>
          <cell r="G184" t="str">
            <v>CARTAGENA</v>
          </cell>
        </row>
        <row r="185">
          <cell r="A185">
            <v>13244</v>
          </cell>
          <cell r="B185" t="str">
            <v>EL CARMEN DE BOLIVAR</v>
          </cell>
          <cell r="C185" t="str">
            <v>BOLIVAR</v>
          </cell>
          <cell r="D185" t="str">
            <v>CARTAGENA</v>
          </cell>
          <cell r="E185" t="str">
            <v>LEJANA</v>
          </cell>
          <cell r="F185" t="str">
            <v>TERRESTRE</v>
          </cell>
          <cell r="G185" t="str">
            <v>CARTAGENA</v>
          </cell>
        </row>
        <row r="186">
          <cell r="A186">
            <v>13248</v>
          </cell>
          <cell r="B186" t="str">
            <v>EL GUAMO</v>
          </cell>
          <cell r="C186" t="str">
            <v>BOLIVAR</v>
          </cell>
          <cell r="D186" t="str">
            <v>CARTAGENA</v>
          </cell>
          <cell r="E186" t="str">
            <v>LEJANA</v>
          </cell>
          <cell r="F186" t="str">
            <v>TERRESTRE</v>
          </cell>
          <cell r="G186" t="str">
            <v>CARTAGENA</v>
          </cell>
        </row>
        <row r="187">
          <cell r="A187">
            <v>13300</v>
          </cell>
          <cell r="B187" t="str">
            <v>HATILLO DE LOBA</v>
          </cell>
          <cell r="C187" t="str">
            <v>BOLIVAR</v>
          </cell>
          <cell r="D187" t="str">
            <v>VALLEDUPAR</v>
          </cell>
          <cell r="E187" t="str">
            <v>LEJANA</v>
          </cell>
          <cell r="F187" t="str">
            <v>TERRESTRE</v>
          </cell>
          <cell r="G187" t="str">
            <v>VALLEDUPAR</v>
          </cell>
        </row>
        <row r="188">
          <cell r="A188">
            <v>13430</v>
          </cell>
          <cell r="B188" t="str">
            <v>MAGANGUE</v>
          </cell>
          <cell r="C188" t="str">
            <v>BOLIVAR</v>
          </cell>
          <cell r="D188" t="str">
            <v>CARTAGENA</v>
          </cell>
          <cell r="E188" t="str">
            <v>LEJANA</v>
          </cell>
          <cell r="F188" t="str">
            <v>TERRESTRE</v>
          </cell>
          <cell r="G188" t="str">
            <v>CARTAGENA</v>
          </cell>
        </row>
        <row r="189">
          <cell r="A189">
            <v>13433</v>
          </cell>
          <cell r="B189" t="str">
            <v>MAHATES</v>
          </cell>
          <cell r="C189" t="str">
            <v>BOLIVAR</v>
          </cell>
          <cell r="D189" t="str">
            <v>CARTAGENA</v>
          </cell>
          <cell r="E189" t="str">
            <v>INTERMEDIA</v>
          </cell>
          <cell r="F189" t="str">
            <v>TERRESTRE</v>
          </cell>
          <cell r="G189" t="str">
            <v>CARTAGENA</v>
          </cell>
        </row>
        <row r="190">
          <cell r="A190">
            <v>13440</v>
          </cell>
          <cell r="B190" t="str">
            <v>MARGARITA</v>
          </cell>
          <cell r="C190" t="str">
            <v>BOLIVAR</v>
          </cell>
          <cell r="D190" t="str">
            <v>CARTAGENA</v>
          </cell>
          <cell r="E190" t="str">
            <v>LEJANA</v>
          </cell>
          <cell r="F190" t="str">
            <v>TERRESTRE</v>
          </cell>
          <cell r="G190" t="str">
            <v>CARTAGENA</v>
          </cell>
        </row>
        <row r="191">
          <cell r="A191">
            <v>13442</v>
          </cell>
          <cell r="B191" t="str">
            <v>MARIA LA BAJA</v>
          </cell>
          <cell r="C191" t="str">
            <v>BOLIVAR</v>
          </cell>
          <cell r="D191" t="str">
            <v>CARTAGENA</v>
          </cell>
          <cell r="E191" t="str">
            <v>INTERMEDIA</v>
          </cell>
          <cell r="F191" t="str">
            <v>TERRESTRE</v>
          </cell>
          <cell r="G191" t="str">
            <v>CARTAGENA</v>
          </cell>
        </row>
        <row r="192">
          <cell r="A192">
            <v>13468</v>
          </cell>
          <cell r="B192" t="str">
            <v>MOMPOS</v>
          </cell>
          <cell r="C192" t="str">
            <v>BOLIVAR</v>
          </cell>
          <cell r="D192" t="str">
            <v>CARTAGENA</v>
          </cell>
          <cell r="E192" t="str">
            <v>LEJANA</v>
          </cell>
          <cell r="F192" t="str">
            <v>TERRESTRE</v>
          </cell>
          <cell r="G192" t="str">
            <v>CARTAGENA</v>
          </cell>
        </row>
        <row r="193">
          <cell r="A193">
            <v>13458</v>
          </cell>
          <cell r="B193" t="str">
            <v>MONTECRISTO</v>
          </cell>
          <cell r="C193" t="str">
            <v>BOLIVAR</v>
          </cell>
          <cell r="D193" t="str">
            <v>CARTAGENA</v>
          </cell>
          <cell r="E193" t="str">
            <v>LEJANA</v>
          </cell>
          <cell r="F193" t="str">
            <v>TERRESTRE/FLUVIAL</v>
          </cell>
          <cell r="G193" t="str">
            <v>CARTAGENA</v>
          </cell>
        </row>
        <row r="194">
          <cell r="A194">
            <v>13490</v>
          </cell>
          <cell r="B194" t="str">
            <v>NOROSI</v>
          </cell>
          <cell r="C194" t="str">
            <v>BOLIVAR</v>
          </cell>
          <cell r="D194" t="str">
            <v>CARTAGENA</v>
          </cell>
          <cell r="E194" t="str">
            <v>LEJANA</v>
          </cell>
          <cell r="F194" t="str">
            <v>TERRESTRE</v>
          </cell>
          <cell r="G194" t="str">
            <v>CARTAGENA</v>
          </cell>
        </row>
        <row r="195">
          <cell r="A195">
            <v>13549</v>
          </cell>
          <cell r="B195" t="str">
            <v>PINILLOS</v>
          </cell>
          <cell r="C195" t="str">
            <v>BOLIVAR</v>
          </cell>
          <cell r="D195" t="str">
            <v>CARTAGENA</v>
          </cell>
          <cell r="E195" t="str">
            <v>LEJANA</v>
          </cell>
          <cell r="F195" t="str">
            <v>TERRESTRE</v>
          </cell>
          <cell r="G195" t="str">
            <v>CARTAGENA</v>
          </cell>
        </row>
        <row r="196">
          <cell r="A196">
            <v>13580</v>
          </cell>
          <cell r="B196" t="str">
            <v>REGIDOR</v>
          </cell>
          <cell r="C196" t="str">
            <v>BOLIVAR</v>
          </cell>
          <cell r="D196" t="str">
            <v>CARTAGENA</v>
          </cell>
          <cell r="E196" t="str">
            <v>LEJANA</v>
          </cell>
          <cell r="F196" t="str">
            <v>TERRESTRE</v>
          </cell>
          <cell r="G196" t="str">
            <v>CARTAGENA</v>
          </cell>
        </row>
        <row r="197">
          <cell r="A197">
            <v>13600</v>
          </cell>
          <cell r="B197" t="str">
            <v>RIO VIEJO</v>
          </cell>
          <cell r="C197" t="str">
            <v>BOLIVAR</v>
          </cell>
          <cell r="D197" t="str">
            <v>VALLEDUPAR</v>
          </cell>
          <cell r="E197" t="str">
            <v>LEJANA</v>
          </cell>
          <cell r="F197" t="str">
            <v>TERRESTRE</v>
          </cell>
          <cell r="G197" t="str">
            <v>VALLEDUPAR</v>
          </cell>
        </row>
        <row r="198">
          <cell r="A198">
            <v>13620</v>
          </cell>
          <cell r="B198" t="str">
            <v>SAN CRISTOBAL</v>
          </cell>
          <cell r="C198" t="str">
            <v>BOLIVAR</v>
          </cell>
          <cell r="D198" t="str">
            <v>CARTAGENA</v>
          </cell>
          <cell r="E198" t="str">
            <v>LEJANA</v>
          </cell>
          <cell r="F198" t="str">
            <v>TERRESTRE</v>
          </cell>
          <cell r="G198" t="str">
            <v>CARTAGENA</v>
          </cell>
        </row>
        <row r="199">
          <cell r="A199">
            <v>13647</v>
          </cell>
          <cell r="B199" t="str">
            <v>SAN ESTANISLAO</v>
          </cell>
          <cell r="C199" t="str">
            <v>BOLIVAR</v>
          </cell>
          <cell r="D199" t="str">
            <v>CARTAGENA</v>
          </cell>
          <cell r="E199" t="str">
            <v>INTERMEDIA</v>
          </cell>
          <cell r="F199" t="str">
            <v>TERRESTRE</v>
          </cell>
          <cell r="G199" t="str">
            <v>CARTAGENA</v>
          </cell>
        </row>
        <row r="200">
          <cell r="A200">
            <v>13650</v>
          </cell>
          <cell r="B200" t="str">
            <v>SAN FERNANDO</v>
          </cell>
          <cell r="C200" t="str">
            <v>BOLIVAR</v>
          </cell>
          <cell r="D200" t="str">
            <v>CARTAGENA</v>
          </cell>
          <cell r="E200" t="str">
            <v>LEJANA</v>
          </cell>
          <cell r="F200" t="str">
            <v>TERRESTRE</v>
          </cell>
          <cell r="G200" t="str">
            <v>CARTAGENA</v>
          </cell>
        </row>
        <row r="201">
          <cell r="A201">
            <v>13654</v>
          </cell>
          <cell r="B201" t="str">
            <v>SAN JACINTO</v>
          </cell>
          <cell r="C201" t="str">
            <v>BOLIVAR</v>
          </cell>
          <cell r="D201" t="str">
            <v>CARTAGENA</v>
          </cell>
          <cell r="E201" t="str">
            <v>LEJANA</v>
          </cell>
          <cell r="F201" t="str">
            <v>TERRESTRE</v>
          </cell>
          <cell r="G201" t="str">
            <v>CARTAGENA</v>
          </cell>
        </row>
        <row r="202">
          <cell r="A202">
            <v>13655</v>
          </cell>
          <cell r="B202" t="str">
            <v>SAN JACINTO DEL CAUCA</v>
          </cell>
          <cell r="C202" t="str">
            <v>BOLIVAR</v>
          </cell>
          <cell r="D202" t="str">
            <v>CARTAGENA</v>
          </cell>
          <cell r="E202" t="str">
            <v>LEJANA</v>
          </cell>
          <cell r="F202" t="str">
            <v>TERRESTRE</v>
          </cell>
          <cell r="G202" t="str">
            <v>CARTAGENA</v>
          </cell>
        </row>
        <row r="203">
          <cell r="A203">
            <v>13657</v>
          </cell>
          <cell r="B203" t="str">
            <v>SAN JUAN NEPOMUCENO</v>
          </cell>
          <cell r="C203" t="str">
            <v>BOLIVAR</v>
          </cell>
          <cell r="D203" t="str">
            <v>CARTAGENA</v>
          </cell>
          <cell r="E203" t="str">
            <v>INTERMEDIA</v>
          </cell>
          <cell r="F203" t="str">
            <v>TERRESTRE</v>
          </cell>
          <cell r="G203" t="str">
            <v>CARTAGENA</v>
          </cell>
        </row>
        <row r="204">
          <cell r="A204">
            <v>13667</v>
          </cell>
          <cell r="B204" t="str">
            <v>SAN MARTIN DE LOBA</v>
          </cell>
          <cell r="C204" t="str">
            <v>BOLIVAR</v>
          </cell>
          <cell r="D204" t="str">
            <v>CARTAGENA</v>
          </cell>
          <cell r="E204" t="str">
            <v>LEJANA</v>
          </cell>
          <cell r="F204" t="str">
            <v>TERRESTRE</v>
          </cell>
          <cell r="G204" t="str">
            <v>CARTAGENA</v>
          </cell>
        </row>
        <row r="205">
          <cell r="A205">
            <v>13673</v>
          </cell>
          <cell r="B205" t="str">
            <v>SANTA CATALINA</v>
          </cell>
          <cell r="C205" t="str">
            <v>BOLIVAR</v>
          </cell>
          <cell r="D205" t="str">
            <v>CARTAGENA</v>
          </cell>
          <cell r="E205" t="str">
            <v>INTERMEDIA</v>
          </cell>
          <cell r="F205" t="str">
            <v>TERRESTRE</v>
          </cell>
          <cell r="G205" t="str">
            <v>CARTAGENA</v>
          </cell>
        </row>
        <row r="206">
          <cell r="A206">
            <v>13688</v>
          </cell>
          <cell r="B206" t="str">
            <v>SANTA ROSA DEL SUR</v>
          </cell>
          <cell r="C206" t="str">
            <v>BOLIVAR</v>
          </cell>
          <cell r="D206" t="str">
            <v>BUCARAMANGA</v>
          </cell>
          <cell r="E206" t="str">
            <v>LEJANA</v>
          </cell>
          <cell r="F206" t="str">
            <v>TERRESTRE/FLUVIAL</v>
          </cell>
          <cell r="G206" t="str">
            <v>BUCARAMANGA</v>
          </cell>
        </row>
        <row r="207">
          <cell r="A207">
            <v>13744</v>
          </cell>
          <cell r="B207" t="str">
            <v>SIMITI</v>
          </cell>
          <cell r="C207" t="str">
            <v>BOLIVAR</v>
          </cell>
          <cell r="D207" t="str">
            <v>BUCARAMANGA</v>
          </cell>
          <cell r="E207" t="str">
            <v>LEJANA</v>
          </cell>
          <cell r="F207" t="str">
            <v>TERRESTRE/FLUVIAL</v>
          </cell>
          <cell r="G207" t="str">
            <v>BUCARAMANGA</v>
          </cell>
        </row>
        <row r="208">
          <cell r="A208">
            <v>13760</v>
          </cell>
          <cell r="B208" t="str">
            <v>SOPLAVIENTO</v>
          </cell>
          <cell r="C208" t="str">
            <v>BOLIVAR</v>
          </cell>
          <cell r="D208" t="str">
            <v>CARTAGENA</v>
          </cell>
          <cell r="E208" t="str">
            <v>LEJANA</v>
          </cell>
          <cell r="F208" t="str">
            <v>TERRESTRE</v>
          </cell>
          <cell r="G208" t="str">
            <v>CARTAGENA</v>
          </cell>
        </row>
        <row r="209">
          <cell r="A209">
            <v>13780</v>
          </cell>
          <cell r="B209" t="str">
            <v>TALAIGUA NUEVO</v>
          </cell>
          <cell r="C209" t="str">
            <v>BOLIVAR</v>
          </cell>
          <cell r="D209" t="str">
            <v>CARTAGENA</v>
          </cell>
          <cell r="E209" t="str">
            <v>LEJANA</v>
          </cell>
          <cell r="F209" t="str">
            <v>TERRESTRE</v>
          </cell>
          <cell r="G209" t="str">
            <v>CARTAGENA</v>
          </cell>
        </row>
        <row r="210">
          <cell r="A210">
            <v>13810</v>
          </cell>
          <cell r="B210" t="str">
            <v>TIQUISIO</v>
          </cell>
          <cell r="C210" t="str">
            <v>BOLIVAR</v>
          </cell>
          <cell r="D210" t="str">
            <v>CARTAGENA</v>
          </cell>
          <cell r="E210" t="str">
            <v>LEJANA</v>
          </cell>
          <cell r="F210" t="str">
            <v>TERRESTRE</v>
          </cell>
          <cell r="G210" t="str">
            <v>CARTAGENA</v>
          </cell>
        </row>
        <row r="211">
          <cell r="A211">
            <v>13836</v>
          </cell>
          <cell r="B211" t="str">
            <v>TURBACO</v>
          </cell>
          <cell r="C211" t="str">
            <v>BOLIVAR</v>
          </cell>
          <cell r="D211" t="str">
            <v>CARTAGENA</v>
          </cell>
          <cell r="E211" t="str">
            <v>INTERMEDIA</v>
          </cell>
          <cell r="F211" t="str">
            <v>TERRESTRE</v>
          </cell>
          <cell r="G211" t="str">
            <v>CARTAGENA</v>
          </cell>
        </row>
        <row r="212">
          <cell r="A212">
            <v>13838</v>
          </cell>
          <cell r="B212" t="str">
            <v>TURBANA</v>
          </cell>
          <cell r="C212" t="str">
            <v>BOLIVAR</v>
          </cell>
          <cell r="D212" t="str">
            <v>CARTAGENA</v>
          </cell>
          <cell r="E212" t="str">
            <v>INTERMEDIA</v>
          </cell>
          <cell r="F212" t="str">
            <v>TERRESTRE</v>
          </cell>
          <cell r="G212" t="str">
            <v>CARTAGENA</v>
          </cell>
        </row>
        <row r="213">
          <cell r="A213">
            <v>13894</v>
          </cell>
          <cell r="B213" t="str">
            <v>ZAMBRANO</v>
          </cell>
          <cell r="C213" t="str">
            <v>BOLIVAR</v>
          </cell>
          <cell r="D213" t="str">
            <v>CARTAGENA</v>
          </cell>
          <cell r="E213" t="str">
            <v>LEJANA</v>
          </cell>
          <cell r="F213" t="str">
            <v>TERRESTRE</v>
          </cell>
          <cell r="G213" t="str">
            <v>CARTAGENA</v>
          </cell>
        </row>
        <row r="214">
          <cell r="A214">
            <v>15087</v>
          </cell>
          <cell r="B214" t="str">
            <v>BELEN</v>
          </cell>
          <cell r="C214" t="str">
            <v>BOYACA</v>
          </cell>
          <cell r="D214" t="str">
            <v>TUNJA</v>
          </cell>
          <cell r="E214" t="str">
            <v>INTERMEDIA</v>
          </cell>
          <cell r="F214" t="str">
            <v>TERRESTRE</v>
          </cell>
          <cell r="G214" t="str">
            <v>TUNJA</v>
          </cell>
        </row>
        <row r="215">
          <cell r="A215">
            <v>15106</v>
          </cell>
          <cell r="B215" t="str">
            <v>BRICEÑO</v>
          </cell>
          <cell r="C215" t="str">
            <v>BOYACA</v>
          </cell>
          <cell r="D215" t="str">
            <v>TUNJA</v>
          </cell>
          <cell r="E215" t="str">
            <v>LEJANA</v>
          </cell>
          <cell r="F215" t="str">
            <v>TERRESTRE</v>
          </cell>
          <cell r="G215" t="str">
            <v>TUNJA</v>
          </cell>
        </row>
        <row r="216">
          <cell r="A216">
            <v>15109</v>
          </cell>
          <cell r="B216" t="str">
            <v>BUENAVISTA</v>
          </cell>
          <cell r="C216" t="str">
            <v>BOYACA</v>
          </cell>
          <cell r="D216" t="str">
            <v>TUNJA</v>
          </cell>
          <cell r="E216" t="str">
            <v>LEJANA</v>
          </cell>
          <cell r="F216" t="str">
            <v>TERRESTRE</v>
          </cell>
          <cell r="G216" t="str">
            <v>TUNJA</v>
          </cell>
        </row>
        <row r="217">
          <cell r="A217">
            <v>15131</v>
          </cell>
          <cell r="B217" t="str">
            <v>CALDAS</v>
          </cell>
          <cell r="C217" t="str">
            <v>BOYACA</v>
          </cell>
          <cell r="D217" t="str">
            <v>TUNJA</v>
          </cell>
          <cell r="E217" t="str">
            <v>INTERMEDIA</v>
          </cell>
          <cell r="F217" t="str">
            <v>TERRESTRE</v>
          </cell>
          <cell r="G217" t="str">
            <v>BUCARAMANGA</v>
          </cell>
        </row>
        <row r="218">
          <cell r="A218">
            <v>15189</v>
          </cell>
          <cell r="B218" t="str">
            <v>CIENAGA</v>
          </cell>
          <cell r="C218" t="str">
            <v>BOYACA</v>
          </cell>
          <cell r="D218" t="str">
            <v>TUNJA</v>
          </cell>
          <cell r="E218" t="str">
            <v>INTERMEDIA</v>
          </cell>
          <cell r="F218" t="str">
            <v>TERRESTRE</v>
          </cell>
          <cell r="G218" t="str">
            <v>TUNJA</v>
          </cell>
        </row>
        <row r="219">
          <cell r="A219">
            <v>15368</v>
          </cell>
          <cell r="B219" t="str">
            <v>JERICO</v>
          </cell>
          <cell r="C219" t="str">
            <v>BOYACA</v>
          </cell>
          <cell r="D219" t="str">
            <v>TUNJA</v>
          </cell>
          <cell r="E219" t="str">
            <v>LEJANA</v>
          </cell>
          <cell r="F219" t="str">
            <v>TERRESTRE</v>
          </cell>
          <cell r="G219" t="str">
            <v>TUNJA</v>
          </cell>
        </row>
        <row r="220">
          <cell r="A220">
            <v>15401</v>
          </cell>
          <cell r="B220" t="str">
            <v>LA VICTORIA</v>
          </cell>
          <cell r="C220" t="str">
            <v>BOYACA</v>
          </cell>
          <cell r="D220" t="str">
            <v>TUNJA</v>
          </cell>
          <cell r="E220" t="str">
            <v>LEJANA</v>
          </cell>
          <cell r="F220" t="str">
            <v>TERRESTRE</v>
          </cell>
          <cell r="G220" t="str">
            <v>TUNJA</v>
          </cell>
        </row>
        <row r="221">
          <cell r="A221">
            <v>15455</v>
          </cell>
          <cell r="B221" t="str">
            <v>MIRAFLORES</v>
          </cell>
          <cell r="C221" t="str">
            <v>BOYACA</v>
          </cell>
          <cell r="D221" t="str">
            <v>TUNJA</v>
          </cell>
          <cell r="E221" t="str">
            <v>LEJANA</v>
          </cell>
          <cell r="F221" t="str">
            <v>TERRESTRE</v>
          </cell>
          <cell r="G221" t="str">
            <v>TUNJA</v>
          </cell>
        </row>
        <row r="222">
          <cell r="A222">
            <v>15514</v>
          </cell>
          <cell r="B222" t="str">
            <v>PAEZ</v>
          </cell>
          <cell r="C222" t="str">
            <v>BOYACA</v>
          </cell>
          <cell r="D222" t="str">
            <v>TUNJA</v>
          </cell>
          <cell r="E222" t="str">
            <v>LEJANA</v>
          </cell>
          <cell r="F222" t="str">
            <v>TERRESTRE</v>
          </cell>
          <cell r="G222" t="str">
            <v>TUNJA</v>
          </cell>
        </row>
        <row r="223">
          <cell r="A223">
            <v>15690</v>
          </cell>
          <cell r="B223" t="str">
            <v>SANTA MARIA</v>
          </cell>
          <cell r="C223" t="str">
            <v>BOYACA</v>
          </cell>
          <cell r="D223" t="str">
            <v>TUNJA</v>
          </cell>
          <cell r="E223" t="str">
            <v>LEJANA</v>
          </cell>
          <cell r="F223" t="str">
            <v>TERRESTRE</v>
          </cell>
          <cell r="G223" t="str">
            <v>TUNJA</v>
          </cell>
        </row>
        <row r="224">
          <cell r="A224">
            <v>15022</v>
          </cell>
          <cell r="B224" t="str">
            <v>ALMEIDA</v>
          </cell>
          <cell r="C224" t="str">
            <v>BOYACA</v>
          </cell>
          <cell r="D224" t="str">
            <v>TUNJA</v>
          </cell>
          <cell r="E224" t="str">
            <v>LEJANA</v>
          </cell>
          <cell r="F224" t="str">
            <v>TERRESTRE</v>
          </cell>
          <cell r="G224" t="str">
            <v>TUNJA</v>
          </cell>
        </row>
        <row r="225">
          <cell r="A225">
            <v>15047</v>
          </cell>
          <cell r="B225" t="str">
            <v>AQUITANIA</v>
          </cell>
          <cell r="C225" t="str">
            <v>BOYACA</v>
          </cell>
          <cell r="D225" t="str">
            <v>TUNJA</v>
          </cell>
          <cell r="E225" t="str">
            <v>LEJANA</v>
          </cell>
          <cell r="F225" t="str">
            <v>TERRESTRE</v>
          </cell>
          <cell r="G225" t="str">
            <v>TUNJA</v>
          </cell>
        </row>
        <row r="226">
          <cell r="A226">
            <v>15051</v>
          </cell>
          <cell r="B226" t="str">
            <v>ARCABUCO</v>
          </cell>
          <cell r="C226" t="str">
            <v>BOYACA</v>
          </cell>
          <cell r="D226" t="str">
            <v>TUNJA</v>
          </cell>
          <cell r="E226" t="str">
            <v>INTERMEDIA</v>
          </cell>
          <cell r="F226" t="str">
            <v>TERRESTRE</v>
          </cell>
          <cell r="G226" t="str">
            <v>TUNJA</v>
          </cell>
        </row>
        <row r="227">
          <cell r="A227">
            <v>15090</v>
          </cell>
          <cell r="B227" t="str">
            <v>BERBEO</v>
          </cell>
          <cell r="C227" t="str">
            <v>BOYACA</v>
          </cell>
          <cell r="D227" t="str">
            <v>TUNJA</v>
          </cell>
          <cell r="E227" t="str">
            <v>LEJANA</v>
          </cell>
          <cell r="F227" t="str">
            <v>TERRESTRE</v>
          </cell>
          <cell r="G227" t="str">
            <v>TUNJA</v>
          </cell>
        </row>
        <row r="228">
          <cell r="A228">
            <v>15092</v>
          </cell>
          <cell r="B228" t="str">
            <v>BETEITIVA</v>
          </cell>
          <cell r="C228" t="str">
            <v>BOYACA</v>
          </cell>
          <cell r="D228" t="str">
            <v>TUNJA</v>
          </cell>
          <cell r="E228" t="str">
            <v>LEJANA</v>
          </cell>
          <cell r="F228" t="str">
            <v>TERRESTRE</v>
          </cell>
          <cell r="G228" t="str">
            <v>TUNJA</v>
          </cell>
        </row>
        <row r="229">
          <cell r="A229">
            <v>15097</v>
          </cell>
          <cell r="B229" t="str">
            <v>BOAVITA</v>
          </cell>
          <cell r="C229" t="str">
            <v>BOYACA</v>
          </cell>
          <cell r="D229" t="str">
            <v>TUNJA</v>
          </cell>
          <cell r="E229" t="str">
            <v>LEJANA</v>
          </cell>
          <cell r="F229" t="str">
            <v>TERRESTRE</v>
          </cell>
          <cell r="G229" t="str">
            <v>TUNJA</v>
          </cell>
        </row>
        <row r="230">
          <cell r="A230">
            <v>15104</v>
          </cell>
          <cell r="B230" t="str">
            <v>BOYACA</v>
          </cell>
          <cell r="C230" t="str">
            <v>BOYACA</v>
          </cell>
          <cell r="D230" t="str">
            <v>TUNJA</v>
          </cell>
          <cell r="E230" t="str">
            <v>INTERMEDIA</v>
          </cell>
          <cell r="F230" t="str">
            <v>TERRESTRE</v>
          </cell>
          <cell r="G230" t="str">
            <v>TUNJA</v>
          </cell>
        </row>
        <row r="231">
          <cell r="A231">
            <v>15114</v>
          </cell>
          <cell r="B231" t="str">
            <v>BUSBANZA</v>
          </cell>
          <cell r="C231" t="str">
            <v>BOYACA</v>
          </cell>
          <cell r="D231" t="str">
            <v>TUNJA</v>
          </cell>
          <cell r="E231" t="str">
            <v>INTERMEDIA</v>
          </cell>
          <cell r="F231" t="str">
            <v>TERRESTRE</v>
          </cell>
          <cell r="G231" t="str">
            <v>TUNJA</v>
          </cell>
        </row>
        <row r="232">
          <cell r="A232">
            <v>15135</v>
          </cell>
          <cell r="B232" t="str">
            <v>CAMPOHERMOSO</v>
          </cell>
          <cell r="C232" t="str">
            <v>BOYACA</v>
          </cell>
          <cell r="D232" t="str">
            <v>TUNJA</v>
          </cell>
          <cell r="E232" t="str">
            <v>LEJANA</v>
          </cell>
          <cell r="F232" t="str">
            <v>TERRESTRE</v>
          </cell>
          <cell r="G232" t="str">
            <v>TUNJA</v>
          </cell>
        </row>
        <row r="233">
          <cell r="A233">
            <v>15162</v>
          </cell>
          <cell r="B233" t="str">
            <v>CERINZA</v>
          </cell>
          <cell r="C233" t="str">
            <v>BOYACA</v>
          </cell>
          <cell r="D233" t="str">
            <v>TUNJA</v>
          </cell>
          <cell r="E233" t="str">
            <v>INTERMEDIA</v>
          </cell>
          <cell r="F233" t="str">
            <v>TERRESTRE</v>
          </cell>
          <cell r="G233" t="str">
            <v>TUNJA</v>
          </cell>
        </row>
        <row r="234">
          <cell r="A234">
            <v>15172</v>
          </cell>
          <cell r="B234" t="str">
            <v>CHINAVITA</v>
          </cell>
          <cell r="C234" t="str">
            <v>BOYACA</v>
          </cell>
          <cell r="D234" t="str">
            <v>TUNJA</v>
          </cell>
          <cell r="E234" t="str">
            <v>LEJANA</v>
          </cell>
          <cell r="F234" t="str">
            <v>TERRESTRE</v>
          </cell>
          <cell r="G234" t="str">
            <v>TUNJA</v>
          </cell>
        </row>
        <row r="235">
          <cell r="A235">
            <v>15176</v>
          </cell>
          <cell r="B235" t="str">
            <v>CHIQUINQUIRA</v>
          </cell>
          <cell r="C235" t="str">
            <v>BOYACA</v>
          </cell>
          <cell r="D235" t="str">
            <v>TUNJA</v>
          </cell>
          <cell r="E235" t="str">
            <v>LEJANA</v>
          </cell>
          <cell r="F235" t="str">
            <v>TERRESTRE</v>
          </cell>
          <cell r="G235" t="str">
            <v>TUNJA</v>
          </cell>
        </row>
        <row r="236">
          <cell r="A236">
            <v>15232</v>
          </cell>
          <cell r="B236" t="str">
            <v>CHIQUIZA</v>
          </cell>
          <cell r="C236" t="str">
            <v>BOYACA</v>
          </cell>
          <cell r="D236" t="str">
            <v>TUNJA</v>
          </cell>
          <cell r="E236" t="str">
            <v>INTERMEDIA</v>
          </cell>
          <cell r="F236" t="str">
            <v>TERRESTRE</v>
          </cell>
          <cell r="G236" t="str">
            <v>TUNJA</v>
          </cell>
        </row>
        <row r="237">
          <cell r="A237">
            <v>15180</v>
          </cell>
          <cell r="B237" t="str">
            <v>CHISCAS</v>
          </cell>
          <cell r="C237" t="str">
            <v>BOYACA</v>
          </cell>
          <cell r="D237" t="str">
            <v>TUNJA</v>
          </cell>
          <cell r="E237" t="str">
            <v>LEJANA</v>
          </cell>
          <cell r="F237" t="str">
            <v>TERRESTRE</v>
          </cell>
          <cell r="G237" t="str">
            <v>TUNJA</v>
          </cell>
        </row>
        <row r="238">
          <cell r="A238">
            <v>15183</v>
          </cell>
          <cell r="B238" t="str">
            <v>CHITA</v>
          </cell>
          <cell r="C238" t="str">
            <v>BOYACA</v>
          </cell>
          <cell r="D238" t="str">
            <v>TUNJA</v>
          </cell>
          <cell r="E238" t="str">
            <v>LEJANA</v>
          </cell>
          <cell r="F238" t="str">
            <v>TERRESTRE</v>
          </cell>
          <cell r="G238" t="str">
            <v>TUNJA</v>
          </cell>
        </row>
        <row r="239">
          <cell r="A239">
            <v>15185</v>
          </cell>
          <cell r="B239" t="str">
            <v>CHITARAQUE</v>
          </cell>
          <cell r="C239" t="str">
            <v>BOYACA</v>
          </cell>
          <cell r="D239" t="str">
            <v>TUNJA</v>
          </cell>
          <cell r="E239" t="str">
            <v>INTERMEDIA</v>
          </cell>
          <cell r="F239" t="str">
            <v>TERRESTRE</v>
          </cell>
          <cell r="G239" t="str">
            <v>TUNJA</v>
          </cell>
        </row>
        <row r="240">
          <cell r="A240">
            <v>15187</v>
          </cell>
          <cell r="B240" t="str">
            <v>CHIVATA</v>
          </cell>
          <cell r="C240" t="str">
            <v>BOYACA</v>
          </cell>
          <cell r="D240" t="str">
            <v>TUNJA</v>
          </cell>
          <cell r="E240" t="str">
            <v>INTERMEDIA</v>
          </cell>
          <cell r="F240" t="str">
            <v>TERRESTRE</v>
          </cell>
          <cell r="G240" t="str">
            <v>TUNJA</v>
          </cell>
        </row>
        <row r="241">
          <cell r="A241">
            <v>15236</v>
          </cell>
          <cell r="B241" t="str">
            <v>CHIVOR</v>
          </cell>
          <cell r="C241" t="str">
            <v>BOYACA</v>
          </cell>
          <cell r="D241" t="str">
            <v>TUNJA</v>
          </cell>
          <cell r="E241" t="str">
            <v>LEJANA</v>
          </cell>
          <cell r="F241" t="str">
            <v>TERRESTRE</v>
          </cell>
          <cell r="G241" t="str">
            <v>TUNJA</v>
          </cell>
        </row>
        <row r="242">
          <cell r="A242">
            <v>15204</v>
          </cell>
          <cell r="B242" t="str">
            <v>COMBITA</v>
          </cell>
          <cell r="C242" t="str">
            <v>BOYACA</v>
          </cell>
          <cell r="D242" t="str">
            <v>TUNJA</v>
          </cell>
          <cell r="E242" t="str">
            <v>INTERMEDIA</v>
          </cell>
          <cell r="F242" t="str">
            <v>TERRESTRE</v>
          </cell>
          <cell r="G242" t="str">
            <v>TUNJA</v>
          </cell>
        </row>
        <row r="243">
          <cell r="A243">
            <v>15212</v>
          </cell>
          <cell r="B243" t="str">
            <v>COPER</v>
          </cell>
          <cell r="C243" t="str">
            <v>BOYACA</v>
          </cell>
          <cell r="D243" t="str">
            <v>TUNJA</v>
          </cell>
          <cell r="E243" t="str">
            <v>LEJANA</v>
          </cell>
          <cell r="F243" t="str">
            <v>TERRESTRE</v>
          </cell>
          <cell r="G243" t="str">
            <v>TUNJA</v>
          </cell>
        </row>
        <row r="244">
          <cell r="A244">
            <v>15215</v>
          </cell>
          <cell r="B244" t="str">
            <v>CORRALES</v>
          </cell>
          <cell r="C244" t="str">
            <v>BOYACA</v>
          </cell>
          <cell r="D244" t="str">
            <v>TUNJA</v>
          </cell>
          <cell r="E244" t="str">
            <v>INTERMEDIA</v>
          </cell>
          <cell r="F244" t="str">
            <v>TERRESTRE</v>
          </cell>
          <cell r="G244" t="str">
            <v>TUNJA</v>
          </cell>
        </row>
        <row r="245">
          <cell r="A245">
            <v>15218</v>
          </cell>
          <cell r="B245" t="str">
            <v>COVARACHIA</v>
          </cell>
          <cell r="C245" t="str">
            <v>BOYACA</v>
          </cell>
          <cell r="D245" t="str">
            <v>TUNJA</v>
          </cell>
          <cell r="E245" t="str">
            <v>LEJANA</v>
          </cell>
          <cell r="F245" t="str">
            <v>TERRESTRE</v>
          </cell>
          <cell r="G245" t="str">
            <v>TUNJA</v>
          </cell>
        </row>
        <row r="246">
          <cell r="A246">
            <v>15223</v>
          </cell>
          <cell r="B246" t="str">
            <v>CUBARA</v>
          </cell>
          <cell r="C246" t="str">
            <v>BOYACA</v>
          </cell>
          <cell r="D246" t="str">
            <v>BUCARAMANGA</v>
          </cell>
          <cell r="E246" t="str">
            <v>LEJANA</v>
          </cell>
          <cell r="F246" t="str">
            <v>AEREO</v>
          </cell>
          <cell r="G246" t="str">
            <v>BUCARAMANGA</v>
          </cell>
        </row>
        <row r="247">
          <cell r="A247">
            <v>15224</v>
          </cell>
          <cell r="B247" t="str">
            <v>CUCAITA</v>
          </cell>
          <cell r="C247" t="str">
            <v>BOYACA</v>
          </cell>
          <cell r="D247" t="str">
            <v>TUNJA</v>
          </cell>
          <cell r="E247" t="str">
            <v>INTERMEDIA</v>
          </cell>
          <cell r="F247" t="str">
            <v>TERRESTRE</v>
          </cell>
          <cell r="G247" t="str">
            <v>TUNJA</v>
          </cell>
        </row>
        <row r="248">
          <cell r="A248">
            <v>15226</v>
          </cell>
          <cell r="B248" t="str">
            <v>CUITIVA</v>
          </cell>
          <cell r="C248" t="str">
            <v>BOYACA</v>
          </cell>
          <cell r="D248" t="str">
            <v>TUNJA</v>
          </cell>
          <cell r="E248" t="str">
            <v>INTERMEDIA</v>
          </cell>
          <cell r="F248" t="str">
            <v>TERRESTRE</v>
          </cell>
          <cell r="G248" t="str">
            <v>TUNJA</v>
          </cell>
        </row>
        <row r="249">
          <cell r="A249">
            <v>15238</v>
          </cell>
          <cell r="B249" t="str">
            <v>DUITAMA</v>
          </cell>
          <cell r="C249" t="str">
            <v>BOYACA</v>
          </cell>
          <cell r="D249" t="str">
            <v>TUNJA</v>
          </cell>
          <cell r="E249" t="str">
            <v>INTERMEDIA</v>
          </cell>
          <cell r="F249" t="str">
            <v>TERRESTRE</v>
          </cell>
          <cell r="G249" t="str">
            <v>TUNJA</v>
          </cell>
        </row>
        <row r="250">
          <cell r="A250">
            <v>15244</v>
          </cell>
          <cell r="B250" t="str">
            <v>EL COCUY</v>
          </cell>
          <cell r="C250" t="str">
            <v>BOYACA</v>
          </cell>
          <cell r="D250" t="str">
            <v>TUNJA</v>
          </cell>
          <cell r="E250" t="str">
            <v>LEJANA</v>
          </cell>
          <cell r="F250" t="str">
            <v>TERRESTRE</v>
          </cell>
          <cell r="G250" t="str">
            <v>TUNJA</v>
          </cell>
        </row>
        <row r="251">
          <cell r="A251">
            <v>15248</v>
          </cell>
          <cell r="B251" t="str">
            <v>EL ESPINO</v>
          </cell>
          <cell r="C251" t="str">
            <v>BOYACA</v>
          </cell>
          <cell r="D251" t="str">
            <v>TUNJA</v>
          </cell>
          <cell r="E251" t="str">
            <v>LEJANA</v>
          </cell>
          <cell r="F251" t="str">
            <v>TERRESTRE</v>
          </cell>
          <cell r="G251" t="str">
            <v>TUNJA</v>
          </cell>
        </row>
        <row r="252">
          <cell r="A252">
            <v>15272</v>
          </cell>
          <cell r="B252" t="str">
            <v>FIRAVITOBA</v>
          </cell>
          <cell r="C252" t="str">
            <v>BOYACA</v>
          </cell>
          <cell r="D252" t="str">
            <v>TUNJA</v>
          </cell>
          <cell r="E252" t="str">
            <v>INTERMEDIA</v>
          </cell>
          <cell r="F252" t="str">
            <v>TERRESTRE</v>
          </cell>
          <cell r="G252" t="str">
            <v>TUNJA</v>
          </cell>
        </row>
        <row r="253">
          <cell r="A253">
            <v>15276</v>
          </cell>
          <cell r="B253" t="str">
            <v>FLORESTA</v>
          </cell>
          <cell r="C253" t="str">
            <v>BOYACA</v>
          </cell>
          <cell r="D253" t="str">
            <v>TUNJA</v>
          </cell>
          <cell r="E253" t="str">
            <v>INTERMEDIA</v>
          </cell>
          <cell r="F253" t="str">
            <v>TERRESTRE</v>
          </cell>
          <cell r="G253" t="str">
            <v>TUNJA</v>
          </cell>
        </row>
        <row r="254">
          <cell r="A254">
            <v>15293</v>
          </cell>
          <cell r="B254" t="str">
            <v>GACHANTIVA</v>
          </cell>
          <cell r="C254" t="str">
            <v>BOYACA</v>
          </cell>
          <cell r="D254" t="str">
            <v>TUNJA</v>
          </cell>
          <cell r="E254" t="str">
            <v>INTERMEDIA</v>
          </cell>
          <cell r="F254" t="str">
            <v>TERRESTRE</v>
          </cell>
          <cell r="G254" t="str">
            <v>TUNJA</v>
          </cell>
        </row>
        <row r="255">
          <cell r="A255">
            <v>15296</v>
          </cell>
          <cell r="B255" t="str">
            <v>GAMEZA</v>
          </cell>
          <cell r="C255" t="str">
            <v>BOYACA</v>
          </cell>
          <cell r="D255" t="str">
            <v>TUNJA</v>
          </cell>
          <cell r="E255" t="str">
            <v>LEJANA</v>
          </cell>
          <cell r="F255" t="str">
            <v>TERRESTRE</v>
          </cell>
          <cell r="G255" t="str">
            <v>TUNJA</v>
          </cell>
        </row>
        <row r="256">
          <cell r="A256">
            <v>15299</v>
          </cell>
          <cell r="B256" t="str">
            <v>GARAGOA</v>
          </cell>
          <cell r="C256" t="str">
            <v>BOYACA</v>
          </cell>
          <cell r="D256" t="str">
            <v>TUNJA</v>
          </cell>
          <cell r="E256" t="str">
            <v>LEJANA</v>
          </cell>
          <cell r="F256" t="str">
            <v>TERRESTRE</v>
          </cell>
          <cell r="G256" t="str">
            <v>TUNJA</v>
          </cell>
        </row>
        <row r="257">
          <cell r="A257">
            <v>15317</v>
          </cell>
          <cell r="B257" t="str">
            <v>GUACAMAYAS</v>
          </cell>
          <cell r="C257" t="str">
            <v>BOYACA</v>
          </cell>
          <cell r="D257" t="str">
            <v>TUNJA</v>
          </cell>
          <cell r="E257" t="str">
            <v>LEJANA</v>
          </cell>
          <cell r="F257" t="str">
            <v>TERRESTRE</v>
          </cell>
          <cell r="G257" t="str">
            <v>TUNJA</v>
          </cell>
        </row>
        <row r="258">
          <cell r="A258">
            <v>15322</v>
          </cell>
          <cell r="B258" t="str">
            <v>GUATEQUE</v>
          </cell>
          <cell r="C258" t="str">
            <v>BOYACA</v>
          </cell>
          <cell r="D258" t="str">
            <v>TUNJA</v>
          </cell>
          <cell r="E258" t="str">
            <v>INTERMEDIA</v>
          </cell>
          <cell r="F258" t="str">
            <v>TERRESTRE</v>
          </cell>
          <cell r="G258" t="str">
            <v>TUNJA</v>
          </cell>
        </row>
        <row r="259">
          <cell r="A259">
            <v>15325</v>
          </cell>
          <cell r="B259" t="str">
            <v>GUAYATA</v>
          </cell>
          <cell r="C259" t="str">
            <v>BOYACA</v>
          </cell>
          <cell r="D259" t="str">
            <v>TUNJA</v>
          </cell>
          <cell r="E259" t="str">
            <v>LEJANA</v>
          </cell>
          <cell r="F259" t="str">
            <v>TERRESTRE</v>
          </cell>
          <cell r="G259" t="str">
            <v>TUNJA</v>
          </cell>
        </row>
        <row r="260">
          <cell r="A260">
            <v>15332</v>
          </cell>
          <cell r="B260" t="str">
            <v>GUICAN</v>
          </cell>
          <cell r="C260" t="str">
            <v>BOYACA</v>
          </cell>
          <cell r="D260" t="str">
            <v>TUNJA</v>
          </cell>
          <cell r="E260" t="str">
            <v>LEJANA</v>
          </cell>
          <cell r="F260" t="str">
            <v>TERRESTRE</v>
          </cell>
          <cell r="G260" t="str">
            <v>TUNJA</v>
          </cell>
        </row>
        <row r="261">
          <cell r="A261">
            <v>15362</v>
          </cell>
          <cell r="B261" t="str">
            <v>IZA</v>
          </cell>
          <cell r="C261" t="str">
            <v>BOYACA</v>
          </cell>
          <cell r="D261" t="str">
            <v>TUNJA</v>
          </cell>
          <cell r="E261" t="str">
            <v>INTERMEDIA</v>
          </cell>
          <cell r="F261" t="str">
            <v>TERRESTRE</v>
          </cell>
          <cell r="G261" t="str">
            <v>TUNJA</v>
          </cell>
        </row>
        <row r="262">
          <cell r="A262">
            <v>15367</v>
          </cell>
          <cell r="B262" t="str">
            <v>JENESANO</v>
          </cell>
          <cell r="C262" t="str">
            <v>BOYACA</v>
          </cell>
          <cell r="D262" t="str">
            <v>TUNJA</v>
          </cell>
          <cell r="E262" t="str">
            <v>INTERMEDIA</v>
          </cell>
          <cell r="F262" t="str">
            <v>TERRESTRE</v>
          </cell>
          <cell r="G262" t="str">
            <v>TUNJA</v>
          </cell>
        </row>
        <row r="263">
          <cell r="A263">
            <v>15380</v>
          </cell>
          <cell r="B263" t="str">
            <v>LA CAPILLA</v>
          </cell>
          <cell r="C263" t="str">
            <v>BOYACA</v>
          </cell>
          <cell r="D263" t="str">
            <v>TUNJA</v>
          </cell>
          <cell r="E263" t="str">
            <v>LEJANA</v>
          </cell>
          <cell r="F263" t="str">
            <v>TERRESTRE</v>
          </cell>
          <cell r="G263" t="str">
            <v>TUNJA</v>
          </cell>
        </row>
        <row r="264">
          <cell r="A264">
            <v>15403</v>
          </cell>
          <cell r="B264" t="str">
            <v>LA UVITA</v>
          </cell>
          <cell r="C264" t="str">
            <v>BOYACA</v>
          </cell>
          <cell r="D264" t="str">
            <v>TUNJA</v>
          </cell>
          <cell r="E264" t="str">
            <v>LEJANA</v>
          </cell>
          <cell r="F264" t="str">
            <v>TERRESTRE</v>
          </cell>
          <cell r="G264" t="str">
            <v>TUNJA</v>
          </cell>
        </row>
        <row r="265">
          <cell r="A265">
            <v>15377</v>
          </cell>
          <cell r="B265" t="str">
            <v>LABRANZAGRANDE</v>
          </cell>
          <cell r="C265" t="str">
            <v>BOYACA</v>
          </cell>
          <cell r="D265" t="str">
            <v>TUNJA</v>
          </cell>
          <cell r="E265" t="str">
            <v>LEJANA</v>
          </cell>
          <cell r="F265" t="str">
            <v>TERRESTRE</v>
          </cell>
          <cell r="G265" t="str">
            <v>TUNJA</v>
          </cell>
        </row>
        <row r="266">
          <cell r="A266">
            <v>15425</v>
          </cell>
          <cell r="B266" t="str">
            <v>MACANAL</v>
          </cell>
          <cell r="C266" t="str">
            <v>BOYACA</v>
          </cell>
          <cell r="D266" t="str">
            <v>TUNJA</v>
          </cell>
          <cell r="E266" t="str">
            <v>LEJANA</v>
          </cell>
          <cell r="F266" t="str">
            <v>TERRESTRE</v>
          </cell>
          <cell r="G266" t="str">
            <v>TUNJA</v>
          </cell>
        </row>
        <row r="267">
          <cell r="A267">
            <v>15442</v>
          </cell>
          <cell r="B267" t="str">
            <v>MARIPI</v>
          </cell>
          <cell r="C267" t="str">
            <v>BOYACA</v>
          </cell>
          <cell r="D267" t="str">
            <v>TUNJA</v>
          </cell>
          <cell r="E267" t="str">
            <v>LEJANA</v>
          </cell>
          <cell r="F267" t="str">
            <v>TERRESTRE</v>
          </cell>
          <cell r="G267" t="str">
            <v>TUNJA</v>
          </cell>
        </row>
        <row r="268">
          <cell r="A268">
            <v>15464</v>
          </cell>
          <cell r="B268" t="str">
            <v>MONGUA</v>
          </cell>
          <cell r="C268" t="str">
            <v>BOYACA</v>
          </cell>
          <cell r="D268" t="str">
            <v>TUNJA</v>
          </cell>
          <cell r="E268" t="str">
            <v>INTERMEDIA</v>
          </cell>
          <cell r="F268" t="str">
            <v>TERRESTRE</v>
          </cell>
          <cell r="G268" t="str">
            <v>TUNJA</v>
          </cell>
        </row>
        <row r="269">
          <cell r="A269">
            <v>15466</v>
          </cell>
          <cell r="B269" t="str">
            <v>MONGUI</v>
          </cell>
          <cell r="C269" t="str">
            <v>BOYACA</v>
          </cell>
          <cell r="D269" t="str">
            <v>TUNJA</v>
          </cell>
          <cell r="E269" t="str">
            <v>LEJANA</v>
          </cell>
          <cell r="F269" t="str">
            <v>TERRESTRE</v>
          </cell>
          <cell r="G269" t="str">
            <v>TUNJA</v>
          </cell>
        </row>
        <row r="270">
          <cell r="A270">
            <v>15469</v>
          </cell>
          <cell r="B270" t="str">
            <v>MONIQUIRA</v>
          </cell>
          <cell r="C270" t="str">
            <v>BOYACA</v>
          </cell>
          <cell r="D270" t="str">
            <v>TUNJA</v>
          </cell>
          <cell r="E270" t="str">
            <v>INTERMEDIA</v>
          </cell>
          <cell r="F270" t="str">
            <v>TERRESTRE</v>
          </cell>
          <cell r="G270" t="str">
            <v>TUNJA</v>
          </cell>
        </row>
        <row r="271">
          <cell r="A271">
            <v>15476</v>
          </cell>
          <cell r="B271" t="str">
            <v>MOTAVITA</v>
          </cell>
          <cell r="C271" t="str">
            <v>BOYACA</v>
          </cell>
          <cell r="D271" t="str">
            <v>TUNJA</v>
          </cell>
          <cell r="E271" t="str">
            <v>PRINCIPAL</v>
          </cell>
          <cell r="F271" t="str">
            <v>TERRESTRE</v>
          </cell>
          <cell r="G271" t="str">
            <v>TUNJA</v>
          </cell>
        </row>
        <row r="272">
          <cell r="A272">
            <v>15480</v>
          </cell>
          <cell r="B272" t="str">
            <v>MUZO</v>
          </cell>
          <cell r="C272" t="str">
            <v>BOYACA</v>
          </cell>
          <cell r="D272" t="str">
            <v>TUNJA</v>
          </cell>
          <cell r="E272" t="str">
            <v>LEJANA</v>
          </cell>
          <cell r="F272" t="str">
            <v>TERRESTRE</v>
          </cell>
          <cell r="G272" t="str">
            <v>TUNJA</v>
          </cell>
        </row>
        <row r="273">
          <cell r="A273">
            <v>15491</v>
          </cell>
          <cell r="B273" t="str">
            <v>NOBSA</v>
          </cell>
          <cell r="C273" t="str">
            <v>BOYACA</v>
          </cell>
          <cell r="D273" t="str">
            <v>TUNJA</v>
          </cell>
          <cell r="E273" t="str">
            <v>INTERMEDIA</v>
          </cell>
          <cell r="F273" t="str">
            <v>TERRESTRE</v>
          </cell>
          <cell r="G273" t="str">
            <v>TUNJA</v>
          </cell>
        </row>
        <row r="274">
          <cell r="A274">
            <v>15494</v>
          </cell>
          <cell r="B274" t="str">
            <v>NUEVO COLON</v>
          </cell>
          <cell r="C274" t="str">
            <v>BOYACA</v>
          </cell>
          <cell r="D274" t="str">
            <v>TUNJA</v>
          </cell>
          <cell r="E274" t="str">
            <v>INTERMEDIA</v>
          </cell>
          <cell r="F274" t="str">
            <v>TERRESTRE</v>
          </cell>
          <cell r="G274" t="str">
            <v>TUNJA</v>
          </cell>
        </row>
        <row r="275">
          <cell r="A275">
            <v>15500</v>
          </cell>
          <cell r="B275" t="str">
            <v>OICATA</v>
          </cell>
          <cell r="C275" t="str">
            <v>BOYACA</v>
          </cell>
          <cell r="D275" t="str">
            <v>TUNJA</v>
          </cell>
          <cell r="E275" t="str">
            <v>INTERMEDIA</v>
          </cell>
          <cell r="F275" t="str">
            <v>TERRESTRE</v>
          </cell>
          <cell r="G275" t="str">
            <v>TUNJA</v>
          </cell>
        </row>
        <row r="276">
          <cell r="A276">
            <v>15507</v>
          </cell>
          <cell r="B276" t="str">
            <v>OTANCHE</v>
          </cell>
          <cell r="C276" t="str">
            <v>BOYACA</v>
          </cell>
          <cell r="D276" t="str">
            <v>TUNJA</v>
          </cell>
          <cell r="E276" t="str">
            <v>LEJANA</v>
          </cell>
          <cell r="F276" t="str">
            <v>TERRESTRE</v>
          </cell>
          <cell r="G276" t="str">
            <v>TUNJA</v>
          </cell>
        </row>
        <row r="277">
          <cell r="A277">
            <v>15511</v>
          </cell>
          <cell r="B277" t="str">
            <v>PACHAVITA</v>
          </cell>
          <cell r="C277" t="str">
            <v>BOYACA</v>
          </cell>
          <cell r="D277" t="str">
            <v>TUNJA</v>
          </cell>
          <cell r="E277" t="str">
            <v>LEJANA</v>
          </cell>
          <cell r="F277" t="str">
            <v>TERRESTRE</v>
          </cell>
          <cell r="G277" t="str">
            <v>TUNJA</v>
          </cell>
        </row>
        <row r="278">
          <cell r="A278">
            <v>15516</v>
          </cell>
          <cell r="B278" t="str">
            <v>PAIPA</v>
          </cell>
          <cell r="C278" t="str">
            <v>BOYACA</v>
          </cell>
          <cell r="D278" t="str">
            <v>TUNJA</v>
          </cell>
          <cell r="E278" t="str">
            <v>INTERMEDIA</v>
          </cell>
          <cell r="F278" t="str">
            <v>TERRESTRE</v>
          </cell>
          <cell r="G278" t="str">
            <v>TUNJA</v>
          </cell>
        </row>
        <row r="279">
          <cell r="A279">
            <v>15518</v>
          </cell>
          <cell r="B279" t="str">
            <v>PAJARITO</v>
          </cell>
          <cell r="C279" t="str">
            <v>BOYACA</v>
          </cell>
          <cell r="D279" t="str">
            <v>YOPAL</v>
          </cell>
          <cell r="E279" t="str">
            <v>LEJANA</v>
          </cell>
          <cell r="F279" t="str">
            <v>TERRESTRE</v>
          </cell>
          <cell r="G279" t="str">
            <v>YOPAL</v>
          </cell>
        </row>
        <row r="280">
          <cell r="A280">
            <v>15522</v>
          </cell>
          <cell r="B280" t="str">
            <v>PANQUEBA</v>
          </cell>
          <cell r="C280" t="str">
            <v>BOYACA</v>
          </cell>
          <cell r="D280" t="str">
            <v>TUNJA</v>
          </cell>
          <cell r="E280" t="str">
            <v>LEJANA</v>
          </cell>
          <cell r="F280" t="str">
            <v>TERRESTRE</v>
          </cell>
          <cell r="G280" t="str">
            <v>TUNJA</v>
          </cell>
        </row>
        <row r="281">
          <cell r="A281">
            <v>15531</v>
          </cell>
          <cell r="B281" t="str">
            <v>PAUNA</v>
          </cell>
          <cell r="C281" t="str">
            <v>BOYACA</v>
          </cell>
          <cell r="D281" t="str">
            <v>TUNJA</v>
          </cell>
          <cell r="E281" t="str">
            <v>LEJANA</v>
          </cell>
          <cell r="F281" t="str">
            <v>TERRESTRE</v>
          </cell>
          <cell r="G281" t="str">
            <v>TUNJA</v>
          </cell>
        </row>
        <row r="282">
          <cell r="A282">
            <v>15533</v>
          </cell>
          <cell r="B282" t="str">
            <v>PAYA</v>
          </cell>
          <cell r="C282" t="str">
            <v>BOYACA</v>
          </cell>
          <cell r="D282" t="str">
            <v>TUNJA</v>
          </cell>
          <cell r="E282" t="str">
            <v>LEJANA</v>
          </cell>
          <cell r="F282" t="str">
            <v>TERRESTRE</v>
          </cell>
          <cell r="G282" t="str">
            <v>TUNJA</v>
          </cell>
        </row>
        <row r="283">
          <cell r="A283">
            <v>15537</v>
          </cell>
          <cell r="B283" t="str">
            <v>PAZ DE RIO</v>
          </cell>
          <cell r="C283" t="str">
            <v>BOYACA</v>
          </cell>
          <cell r="D283" t="str">
            <v>TUNJA</v>
          </cell>
          <cell r="E283" t="str">
            <v>INTERMEDIA</v>
          </cell>
          <cell r="F283" t="str">
            <v>TERRESTRE</v>
          </cell>
          <cell r="G283" t="str">
            <v>TUNJA</v>
          </cell>
        </row>
        <row r="284">
          <cell r="A284">
            <v>15542</v>
          </cell>
          <cell r="B284" t="str">
            <v>PESCA</v>
          </cell>
          <cell r="C284" t="str">
            <v>BOYACA</v>
          </cell>
          <cell r="D284" t="str">
            <v>TUNJA</v>
          </cell>
          <cell r="E284" t="str">
            <v>LEJANA</v>
          </cell>
          <cell r="F284" t="str">
            <v>TERRESTRE</v>
          </cell>
          <cell r="G284" t="str">
            <v>TUNJA</v>
          </cell>
        </row>
        <row r="285">
          <cell r="A285">
            <v>15550</v>
          </cell>
          <cell r="B285" t="str">
            <v>PISBA</v>
          </cell>
          <cell r="C285" t="str">
            <v>BOYACA</v>
          </cell>
          <cell r="D285" t="str">
            <v>TUNJA</v>
          </cell>
          <cell r="E285" t="str">
            <v>LEJANA</v>
          </cell>
          <cell r="F285" t="str">
            <v>TERRESTRE</v>
          </cell>
          <cell r="G285" t="str">
            <v>TUNJA</v>
          </cell>
        </row>
        <row r="286">
          <cell r="A286">
            <v>15572</v>
          </cell>
          <cell r="B286" t="str">
            <v>PUERTO BOYACA</v>
          </cell>
          <cell r="C286" t="str">
            <v>BOYACA</v>
          </cell>
          <cell r="D286" t="str">
            <v>MEDELLIN</v>
          </cell>
          <cell r="E286" t="str">
            <v>LEJANA</v>
          </cell>
          <cell r="F286" t="str">
            <v>TERRESTRE</v>
          </cell>
          <cell r="G286" t="str">
            <v>MEDELLIN</v>
          </cell>
        </row>
        <row r="287">
          <cell r="A287">
            <v>15580</v>
          </cell>
          <cell r="B287" t="str">
            <v>QUIPAMA</v>
          </cell>
          <cell r="C287" t="str">
            <v>BOYACA</v>
          </cell>
          <cell r="D287" t="str">
            <v>TUNJA</v>
          </cell>
          <cell r="E287" t="str">
            <v>LEJANA</v>
          </cell>
          <cell r="F287" t="str">
            <v>TERRESTRE</v>
          </cell>
          <cell r="G287" t="str">
            <v>TUNJA</v>
          </cell>
        </row>
        <row r="288">
          <cell r="A288">
            <v>15599</v>
          </cell>
          <cell r="B288" t="str">
            <v>RAMIRIQUI</v>
          </cell>
          <cell r="C288" t="str">
            <v>BOYACA</v>
          </cell>
          <cell r="D288" t="str">
            <v>TUNJA</v>
          </cell>
          <cell r="E288" t="str">
            <v>INTERMEDIA</v>
          </cell>
          <cell r="F288" t="str">
            <v>TERRESTRE</v>
          </cell>
          <cell r="G288" t="str">
            <v>TUNJA</v>
          </cell>
        </row>
        <row r="289">
          <cell r="A289">
            <v>15600</v>
          </cell>
          <cell r="B289" t="str">
            <v>RAQUIRA</v>
          </cell>
          <cell r="C289" t="str">
            <v>BOYACA</v>
          </cell>
          <cell r="D289" t="str">
            <v>TUNJA</v>
          </cell>
          <cell r="E289" t="str">
            <v>INTERMEDIA</v>
          </cell>
          <cell r="F289" t="str">
            <v>TERRESTRE</v>
          </cell>
          <cell r="G289" t="str">
            <v>TUNJA</v>
          </cell>
        </row>
        <row r="290">
          <cell r="A290">
            <v>15621</v>
          </cell>
          <cell r="B290" t="str">
            <v>RONDON</v>
          </cell>
          <cell r="C290" t="str">
            <v>BOYACA</v>
          </cell>
          <cell r="D290" t="str">
            <v>TUNJA</v>
          </cell>
          <cell r="E290" t="str">
            <v>LEJANA</v>
          </cell>
          <cell r="F290" t="str">
            <v>TERRESTRE</v>
          </cell>
          <cell r="G290" t="str">
            <v>TUNJA</v>
          </cell>
        </row>
        <row r="291">
          <cell r="A291">
            <v>15632</v>
          </cell>
          <cell r="B291" t="str">
            <v>SABOYA</v>
          </cell>
          <cell r="C291" t="str">
            <v>BOYACA</v>
          </cell>
          <cell r="D291" t="str">
            <v>TUNJA</v>
          </cell>
          <cell r="E291" t="str">
            <v>INTERMEDIA</v>
          </cell>
          <cell r="F291" t="str">
            <v>TERRESTRE</v>
          </cell>
          <cell r="G291" t="str">
            <v>TUNJA</v>
          </cell>
        </row>
        <row r="292">
          <cell r="A292">
            <v>15638</v>
          </cell>
          <cell r="B292" t="str">
            <v>SACHICA</v>
          </cell>
          <cell r="C292" t="str">
            <v>BOYACA</v>
          </cell>
          <cell r="D292" t="str">
            <v>TUNJA</v>
          </cell>
          <cell r="E292" t="str">
            <v>INTERMEDIA</v>
          </cell>
          <cell r="F292" t="str">
            <v>TERRESTRE</v>
          </cell>
          <cell r="G292" t="str">
            <v>TUNJA</v>
          </cell>
        </row>
        <row r="293">
          <cell r="A293">
            <v>15646</v>
          </cell>
          <cell r="B293" t="str">
            <v>SAMACA</v>
          </cell>
          <cell r="C293" t="str">
            <v>BOYACA</v>
          </cell>
          <cell r="D293" t="str">
            <v>TUNJA</v>
          </cell>
          <cell r="E293" t="str">
            <v>INTERMEDIA</v>
          </cell>
          <cell r="F293" t="str">
            <v>TERRESTRE</v>
          </cell>
          <cell r="G293" t="str">
            <v>TUNJA</v>
          </cell>
        </row>
        <row r="294">
          <cell r="A294">
            <v>15660</v>
          </cell>
          <cell r="B294" t="str">
            <v>SAN EDUARDO</v>
          </cell>
          <cell r="C294" t="str">
            <v>BOYACA</v>
          </cell>
          <cell r="D294" t="str">
            <v>TUNJA</v>
          </cell>
          <cell r="E294" t="str">
            <v>LEJANA</v>
          </cell>
          <cell r="F294" t="str">
            <v>TERRESTRE</v>
          </cell>
          <cell r="G294" t="str">
            <v>TUNJA</v>
          </cell>
        </row>
        <row r="295">
          <cell r="A295">
            <v>15664</v>
          </cell>
          <cell r="B295" t="str">
            <v>SAN JOSE DE PARE</v>
          </cell>
          <cell r="C295" t="str">
            <v>BOYACA</v>
          </cell>
          <cell r="D295" t="str">
            <v>TUNJA</v>
          </cell>
          <cell r="E295" t="str">
            <v>INTERMEDIA</v>
          </cell>
          <cell r="F295" t="str">
            <v>TERRESTRE</v>
          </cell>
          <cell r="G295" t="str">
            <v>TUNJA</v>
          </cell>
        </row>
        <row r="296">
          <cell r="A296">
            <v>15667</v>
          </cell>
          <cell r="B296" t="str">
            <v>SAN LUIS DE GACENO</v>
          </cell>
          <cell r="C296" t="str">
            <v>BOYACA</v>
          </cell>
          <cell r="D296" t="str">
            <v>TUNJA</v>
          </cell>
          <cell r="E296" t="str">
            <v>LEJANA</v>
          </cell>
          <cell r="F296" t="str">
            <v>TERRESTRE</v>
          </cell>
          <cell r="G296" t="str">
            <v>TUNJA</v>
          </cell>
        </row>
        <row r="297">
          <cell r="A297">
            <v>15673</v>
          </cell>
          <cell r="B297" t="str">
            <v>SAN MATEO</v>
          </cell>
          <cell r="C297" t="str">
            <v>BOYACA</v>
          </cell>
          <cell r="D297" t="str">
            <v>TUNJA</v>
          </cell>
          <cell r="E297" t="str">
            <v>LEJANA</v>
          </cell>
          <cell r="F297" t="str">
            <v>TERRESTRE</v>
          </cell>
          <cell r="G297" t="str">
            <v>TUNJA</v>
          </cell>
        </row>
        <row r="298">
          <cell r="A298">
            <v>15676</v>
          </cell>
          <cell r="B298" t="str">
            <v>SAN MIGUEL DE SEMA</v>
          </cell>
          <cell r="C298" t="str">
            <v>BOYACA</v>
          </cell>
          <cell r="D298" t="str">
            <v>TUNJA</v>
          </cell>
          <cell r="E298" t="str">
            <v>LEJANA</v>
          </cell>
          <cell r="F298" t="str">
            <v>TERRESTRE</v>
          </cell>
          <cell r="G298" t="str">
            <v>TUNJA</v>
          </cell>
        </row>
        <row r="299">
          <cell r="A299">
            <v>15681</v>
          </cell>
          <cell r="B299" t="str">
            <v>SAN PABLO DE BORBUR</v>
          </cell>
          <cell r="C299" t="str">
            <v>BOYACA</v>
          </cell>
          <cell r="D299" t="str">
            <v>TUNJA</v>
          </cell>
          <cell r="E299" t="str">
            <v>LEJANA</v>
          </cell>
          <cell r="F299" t="str">
            <v>TERRESTRE</v>
          </cell>
          <cell r="G299" t="str">
            <v>TUNJA</v>
          </cell>
        </row>
        <row r="300">
          <cell r="A300">
            <v>15693</v>
          </cell>
          <cell r="B300" t="str">
            <v>SANTA ROSA DE VITERBO</v>
          </cell>
          <cell r="C300" t="str">
            <v>BOYACA</v>
          </cell>
          <cell r="D300" t="str">
            <v>TUNJA</v>
          </cell>
          <cell r="E300" t="str">
            <v>INTERMEDIA</v>
          </cell>
          <cell r="F300" t="str">
            <v>TERRESTRE</v>
          </cell>
          <cell r="G300" t="str">
            <v>TUNJA</v>
          </cell>
        </row>
        <row r="301">
          <cell r="A301">
            <v>15696</v>
          </cell>
          <cell r="B301" t="str">
            <v>SANTA SOFIA</v>
          </cell>
          <cell r="C301" t="str">
            <v>BOYACA</v>
          </cell>
          <cell r="D301" t="str">
            <v>TUNJA</v>
          </cell>
          <cell r="E301" t="str">
            <v>INTERMEDIA</v>
          </cell>
          <cell r="F301" t="str">
            <v>TERRESTRE</v>
          </cell>
          <cell r="G301" t="str">
            <v>TUNJA</v>
          </cell>
        </row>
        <row r="302">
          <cell r="A302">
            <v>15686</v>
          </cell>
          <cell r="B302" t="str">
            <v>SANTANA</v>
          </cell>
          <cell r="C302" t="str">
            <v>BOYACA</v>
          </cell>
          <cell r="D302" t="str">
            <v>TUNJA</v>
          </cell>
          <cell r="E302" t="str">
            <v>LEJANA</v>
          </cell>
          <cell r="F302" t="str">
            <v>TERRESTRE</v>
          </cell>
          <cell r="G302" t="str">
            <v>TUNJA</v>
          </cell>
        </row>
        <row r="303">
          <cell r="A303">
            <v>15720</v>
          </cell>
          <cell r="B303" t="str">
            <v>SATIVANORTE</v>
          </cell>
          <cell r="C303" t="str">
            <v>BOYACA</v>
          </cell>
          <cell r="D303" t="str">
            <v>TUNJA</v>
          </cell>
          <cell r="E303" t="str">
            <v>LEJANA</v>
          </cell>
          <cell r="F303" t="str">
            <v>TERRESTRE</v>
          </cell>
          <cell r="G303" t="str">
            <v>TUNJA</v>
          </cell>
        </row>
        <row r="304">
          <cell r="A304">
            <v>15723</v>
          </cell>
          <cell r="B304" t="str">
            <v>SATIVASUR</v>
          </cell>
          <cell r="C304" t="str">
            <v>BOYACA</v>
          </cell>
          <cell r="D304" t="str">
            <v>TUNJA</v>
          </cell>
          <cell r="E304" t="str">
            <v>LEJANA</v>
          </cell>
          <cell r="F304" t="str">
            <v>TERRESTRE</v>
          </cell>
          <cell r="G304" t="str">
            <v>TUNJA</v>
          </cell>
        </row>
        <row r="305">
          <cell r="A305">
            <v>15740</v>
          </cell>
          <cell r="B305" t="str">
            <v>SIACHOQUE</v>
          </cell>
          <cell r="C305" t="str">
            <v>BOYACA</v>
          </cell>
          <cell r="D305" t="str">
            <v>TUNJA</v>
          </cell>
          <cell r="E305" t="str">
            <v>INTERMEDIA</v>
          </cell>
          <cell r="F305" t="str">
            <v>TERRESTRE</v>
          </cell>
          <cell r="G305" t="str">
            <v>TUNJA</v>
          </cell>
        </row>
        <row r="306">
          <cell r="A306">
            <v>15753</v>
          </cell>
          <cell r="B306" t="str">
            <v>SOATA</v>
          </cell>
          <cell r="C306" t="str">
            <v>BOYACA</v>
          </cell>
          <cell r="D306" t="str">
            <v>TUNJA</v>
          </cell>
          <cell r="E306" t="str">
            <v>LEJANA</v>
          </cell>
          <cell r="F306" t="str">
            <v>TERRESTRE</v>
          </cell>
          <cell r="G306" t="str">
            <v>TUNJA</v>
          </cell>
        </row>
        <row r="307">
          <cell r="A307">
            <v>15757</v>
          </cell>
          <cell r="B307" t="str">
            <v>SOCHA</v>
          </cell>
          <cell r="C307" t="str">
            <v>BOYACA</v>
          </cell>
          <cell r="D307" t="str">
            <v>TUNJA</v>
          </cell>
          <cell r="E307" t="str">
            <v>LEJANA</v>
          </cell>
          <cell r="F307" t="str">
            <v>TERRESTRE</v>
          </cell>
          <cell r="G307" t="str">
            <v>TUNJA</v>
          </cell>
        </row>
        <row r="308">
          <cell r="A308">
            <v>15755</v>
          </cell>
          <cell r="B308" t="str">
            <v>SOCOTA</v>
          </cell>
          <cell r="C308" t="str">
            <v>BOYACA</v>
          </cell>
          <cell r="D308" t="str">
            <v>TUNJA</v>
          </cell>
          <cell r="E308" t="str">
            <v>LEJANA</v>
          </cell>
          <cell r="F308" t="str">
            <v>TERRESTRE</v>
          </cell>
          <cell r="G308" t="str">
            <v>TUNJA</v>
          </cell>
        </row>
        <row r="309">
          <cell r="A309">
            <v>15759</v>
          </cell>
          <cell r="B309" t="str">
            <v>SOGAMOSO</v>
          </cell>
          <cell r="C309" t="str">
            <v>BOYACA</v>
          </cell>
          <cell r="D309" t="str">
            <v>TUNJA</v>
          </cell>
          <cell r="E309" t="str">
            <v>INTERMEDIA</v>
          </cell>
          <cell r="F309" t="str">
            <v>TERRESTRE</v>
          </cell>
          <cell r="G309" t="str">
            <v>TUNJA</v>
          </cell>
        </row>
        <row r="310">
          <cell r="A310">
            <v>15761</v>
          </cell>
          <cell r="B310" t="str">
            <v>SOMONDOCO</v>
          </cell>
          <cell r="C310" t="str">
            <v>BOYACA</v>
          </cell>
          <cell r="D310" t="str">
            <v>TUNJA</v>
          </cell>
          <cell r="E310" t="str">
            <v>LEJANA</v>
          </cell>
          <cell r="F310" t="str">
            <v>TERRESTRE</v>
          </cell>
          <cell r="G310" t="str">
            <v>TUNJA</v>
          </cell>
        </row>
        <row r="311">
          <cell r="A311">
            <v>15762</v>
          </cell>
          <cell r="B311" t="str">
            <v>SORA</v>
          </cell>
          <cell r="C311" t="str">
            <v>BOYACA</v>
          </cell>
          <cell r="D311" t="str">
            <v>TUNJA</v>
          </cell>
          <cell r="E311" t="str">
            <v>INTERMEDIA</v>
          </cell>
          <cell r="F311" t="str">
            <v>TERRESTRE</v>
          </cell>
          <cell r="G311" t="str">
            <v>TUNJA</v>
          </cell>
        </row>
        <row r="312">
          <cell r="A312">
            <v>15764</v>
          </cell>
          <cell r="B312" t="str">
            <v>SORACA</v>
          </cell>
          <cell r="C312" t="str">
            <v>BOYACA</v>
          </cell>
          <cell r="D312" t="str">
            <v>TUNJA</v>
          </cell>
          <cell r="E312" t="str">
            <v>PRINCIPAL</v>
          </cell>
          <cell r="F312" t="str">
            <v>TERRESTRE</v>
          </cell>
          <cell r="G312" t="str">
            <v>TUNJA</v>
          </cell>
        </row>
        <row r="313">
          <cell r="A313">
            <v>15763</v>
          </cell>
          <cell r="B313" t="str">
            <v>SOTAQUIRA</v>
          </cell>
          <cell r="C313" t="str">
            <v>BOYACA</v>
          </cell>
          <cell r="D313" t="str">
            <v>TUNJA</v>
          </cell>
          <cell r="E313" t="str">
            <v>INTERMEDIA</v>
          </cell>
          <cell r="F313" t="str">
            <v>TERRESTRE</v>
          </cell>
          <cell r="G313" t="str">
            <v>TUNJA</v>
          </cell>
        </row>
        <row r="314">
          <cell r="A314">
            <v>15774</v>
          </cell>
          <cell r="B314" t="str">
            <v>SUSACON</v>
          </cell>
          <cell r="C314" t="str">
            <v>BOYACA</v>
          </cell>
          <cell r="D314" t="str">
            <v>TUNJA</v>
          </cell>
          <cell r="E314" t="str">
            <v>LEJANA</v>
          </cell>
          <cell r="F314" t="str">
            <v>TERRESTRE</v>
          </cell>
          <cell r="G314" t="str">
            <v>TUNJA</v>
          </cell>
        </row>
        <row r="315">
          <cell r="A315">
            <v>15776</v>
          </cell>
          <cell r="B315" t="str">
            <v>SUTAMARCHAN</v>
          </cell>
          <cell r="C315" t="str">
            <v>BOYACA</v>
          </cell>
          <cell r="D315" t="str">
            <v>TUNJA</v>
          </cell>
          <cell r="E315" t="str">
            <v>INTERMEDIA</v>
          </cell>
          <cell r="F315" t="str">
            <v>TERRESTRE</v>
          </cell>
          <cell r="G315" t="str">
            <v>TUNJA</v>
          </cell>
        </row>
        <row r="316">
          <cell r="A316">
            <v>15778</v>
          </cell>
          <cell r="B316" t="str">
            <v>SUTATENZA</v>
          </cell>
          <cell r="C316" t="str">
            <v>BOYACA</v>
          </cell>
          <cell r="D316" t="str">
            <v>TUNJA</v>
          </cell>
          <cell r="E316" t="str">
            <v>LEJANA</v>
          </cell>
          <cell r="F316" t="str">
            <v>TERRESTRE</v>
          </cell>
          <cell r="G316" t="str">
            <v>TUNJA</v>
          </cell>
        </row>
        <row r="317">
          <cell r="A317">
            <v>15790</v>
          </cell>
          <cell r="B317" t="str">
            <v>TASCO</v>
          </cell>
          <cell r="C317" t="str">
            <v>BOYACA</v>
          </cell>
          <cell r="D317" t="str">
            <v>TUNJA</v>
          </cell>
          <cell r="E317" t="str">
            <v>LEJANA</v>
          </cell>
          <cell r="F317" t="str">
            <v>TERRESTRE</v>
          </cell>
          <cell r="G317" t="str">
            <v>TUNJA</v>
          </cell>
        </row>
        <row r="318">
          <cell r="A318">
            <v>15798</v>
          </cell>
          <cell r="B318" t="str">
            <v>TENZA</v>
          </cell>
          <cell r="C318" t="str">
            <v>BOYACA</v>
          </cell>
          <cell r="D318" t="str">
            <v>TUNJA</v>
          </cell>
          <cell r="E318" t="str">
            <v>LEJANA</v>
          </cell>
          <cell r="F318" t="str">
            <v>TERRESTRE</v>
          </cell>
          <cell r="G318" t="str">
            <v>TUNJA</v>
          </cell>
        </row>
        <row r="319">
          <cell r="A319">
            <v>15804</v>
          </cell>
          <cell r="B319" t="str">
            <v>TIBANA</v>
          </cell>
          <cell r="C319" t="str">
            <v>BOYACA</v>
          </cell>
          <cell r="D319" t="str">
            <v>TUNJA</v>
          </cell>
          <cell r="E319" t="str">
            <v>INTERMEDIA</v>
          </cell>
          <cell r="F319" t="str">
            <v>TERRESTRE</v>
          </cell>
          <cell r="G319" t="str">
            <v>TUNJA</v>
          </cell>
        </row>
        <row r="320">
          <cell r="A320">
            <v>15806</v>
          </cell>
          <cell r="B320" t="str">
            <v>TIBASOSA</v>
          </cell>
          <cell r="C320" t="str">
            <v>BOYACA</v>
          </cell>
          <cell r="D320" t="str">
            <v>TUNJA</v>
          </cell>
          <cell r="E320" t="str">
            <v>INTERMEDIA</v>
          </cell>
          <cell r="F320" t="str">
            <v>TERRESTRE</v>
          </cell>
          <cell r="G320" t="str">
            <v>TUNJA</v>
          </cell>
        </row>
        <row r="321">
          <cell r="A321">
            <v>15808</v>
          </cell>
          <cell r="B321" t="str">
            <v>TINJACA</v>
          </cell>
          <cell r="C321" t="str">
            <v>BOYACA</v>
          </cell>
          <cell r="D321" t="str">
            <v>TUNJA</v>
          </cell>
          <cell r="E321" t="str">
            <v>INTERMEDIA</v>
          </cell>
          <cell r="F321" t="str">
            <v>TERRESTRE</v>
          </cell>
          <cell r="G321" t="str">
            <v>TUNJA</v>
          </cell>
        </row>
        <row r="322">
          <cell r="A322">
            <v>15810</v>
          </cell>
          <cell r="B322" t="str">
            <v>TIPACOQUE</v>
          </cell>
          <cell r="C322" t="str">
            <v>BOYACA</v>
          </cell>
          <cell r="D322" t="str">
            <v>TUNJA</v>
          </cell>
          <cell r="E322" t="str">
            <v>LEJANA</v>
          </cell>
          <cell r="F322" t="str">
            <v>TERRESTRE</v>
          </cell>
          <cell r="G322" t="str">
            <v>TUNJA</v>
          </cell>
        </row>
        <row r="323">
          <cell r="A323">
            <v>15814</v>
          </cell>
          <cell r="B323" t="str">
            <v>TOCA</v>
          </cell>
          <cell r="C323" t="str">
            <v>BOYACA</v>
          </cell>
          <cell r="D323" t="str">
            <v>TUNJA</v>
          </cell>
          <cell r="E323" t="str">
            <v>INTERMEDIA</v>
          </cell>
          <cell r="F323" t="str">
            <v>TERRESTRE</v>
          </cell>
          <cell r="G323" t="str">
            <v>TUNJA</v>
          </cell>
        </row>
        <row r="324">
          <cell r="A324">
            <v>15816</v>
          </cell>
          <cell r="B324" t="str">
            <v>TOGÜI</v>
          </cell>
          <cell r="C324" t="str">
            <v>BOYACA</v>
          </cell>
          <cell r="D324" t="str">
            <v>TUNJA</v>
          </cell>
          <cell r="E324" t="str">
            <v>INTERMEDIA</v>
          </cell>
          <cell r="F324" t="str">
            <v>TERRESTRE</v>
          </cell>
          <cell r="G324" t="str">
            <v>TUNJA</v>
          </cell>
        </row>
        <row r="325">
          <cell r="A325">
            <v>15820</v>
          </cell>
          <cell r="B325" t="str">
            <v>TOPAGA</v>
          </cell>
          <cell r="C325" t="str">
            <v>BOYACA</v>
          </cell>
          <cell r="D325" t="str">
            <v>TUNJA</v>
          </cell>
          <cell r="E325" t="str">
            <v>LEJANA</v>
          </cell>
          <cell r="F325" t="str">
            <v>TERRESTRE</v>
          </cell>
          <cell r="G325" t="str">
            <v>TUNJA</v>
          </cell>
        </row>
        <row r="326">
          <cell r="A326">
            <v>15822</v>
          </cell>
          <cell r="B326" t="str">
            <v>TOTA</v>
          </cell>
          <cell r="C326" t="str">
            <v>BOYACA</v>
          </cell>
          <cell r="D326" t="str">
            <v>TUNJA</v>
          </cell>
          <cell r="E326" t="str">
            <v>INTERMEDIA</v>
          </cell>
          <cell r="F326" t="str">
            <v>TERRESTRE</v>
          </cell>
          <cell r="G326" t="str">
            <v>TUNJA</v>
          </cell>
        </row>
        <row r="327">
          <cell r="A327">
            <v>15001</v>
          </cell>
          <cell r="B327" t="str">
            <v>TUNJA</v>
          </cell>
          <cell r="C327" t="str">
            <v>BOYACA</v>
          </cell>
          <cell r="D327" t="str">
            <v>TUNJA</v>
          </cell>
          <cell r="E327" t="str">
            <v>PRINCIPAL</v>
          </cell>
          <cell r="F327" t="str">
            <v>TERRESTRE</v>
          </cell>
          <cell r="G327" t="str">
            <v>TUNJA</v>
          </cell>
        </row>
        <row r="328">
          <cell r="A328">
            <v>15832</v>
          </cell>
          <cell r="B328" t="str">
            <v>TUNUNGUA</v>
          </cell>
          <cell r="C328" t="str">
            <v>BOYACA</v>
          </cell>
          <cell r="D328" t="str">
            <v>TUNJA</v>
          </cell>
          <cell r="E328" t="str">
            <v>LEJANA</v>
          </cell>
          <cell r="F328" t="str">
            <v>TERRESTRE</v>
          </cell>
          <cell r="G328" t="str">
            <v>TUNJA</v>
          </cell>
        </row>
        <row r="329">
          <cell r="A329">
            <v>15835</v>
          </cell>
          <cell r="B329" t="str">
            <v>TURMEQUE</v>
          </cell>
          <cell r="C329" t="str">
            <v>BOYACA</v>
          </cell>
          <cell r="D329" t="str">
            <v>TUNJA</v>
          </cell>
          <cell r="E329" t="str">
            <v>INTERMEDIA</v>
          </cell>
          <cell r="F329" t="str">
            <v>TERRESTRE</v>
          </cell>
          <cell r="G329" t="str">
            <v>TUNJA</v>
          </cell>
        </row>
        <row r="330">
          <cell r="A330">
            <v>15837</v>
          </cell>
          <cell r="B330" t="str">
            <v>TUTA</v>
          </cell>
          <cell r="C330" t="str">
            <v>BOYACA</v>
          </cell>
          <cell r="D330" t="str">
            <v>TUNJA</v>
          </cell>
          <cell r="E330" t="str">
            <v>INTERMEDIA</v>
          </cell>
          <cell r="F330" t="str">
            <v>TERRESTRE</v>
          </cell>
          <cell r="G330" t="str">
            <v>TUNJA</v>
          </cell>
        </row>
        <row r="331">
          <cell r="A331">
            <v>15839</v>
          </cell>
          <cell r="B331" t="str">
            <v>TUTAZA</v>
          </cell>
          <cell r="C331" t="str">
            <v>BOYACA</v>
          </cell>
          <cell r="D331" t="str">
            <v>TUNJA</v>
          </cell>
          <cell r="E331" t="str">
            <v>INTERMEDIA</v>
          </cell>
          <cell r="F331" t="str">
            <v>TERRESTRE</v>
          </cell>
          <cell r="G331" t="str">
            <v>TUNJA</v>
          </cell>
        </row>
        <row r="332">
          <cell r="A332">
            <v>15842</v>
          </cell>
          <cell r="B332" t="str">
            <v>UMBITA</v>
          </cell>
          <cell r="C332" t="str">
            <v>BOYACA</v>
          </cell>
          <cell r="D332" t="str">
            <v>TUNJA</v>
          </cell>
          <cell r="E332" t="str">
            <v>INTERMEDIA</v>
          </cell>
          <cell r="F332" t="str">
            <v>TERRESTRE</v>
          </cell>
          <cell r="G332" t="str">
            <v>TUNJA</v>
          </cell>
        </row>
        <row r="333">
          <cell r="A333">
            <v>15861</v>
          </cell>
          <cell r="B333" t="str">
            <v>VENTAQUEMADA</v>
          </cell>
          <cell r="C333" t="str">
            <v>BOYACA</v>
          </cell>
          <cell r="D333" t="str">
            <v>TUNJA</v>
          </cell>
          <cell r="E333" t="str">
            <v>INTERMEDIA</v>
          </cell>
          <cell r="F333" t="str">
            <v>TERRESTRE</v>
          </cell>
          <cell r="G333" t="str">
            <v>TUNJA</v>
          </cell>
        </row>
        <row r="334">
          <cell r="A334">
            <v>15407</v>
          </cell>
          <cell r="B334" t="str">
            <v>VILLA DE LEYVA</v>
          </cell>
          <cell r="C334" t="str">
            <v>BOYACA</v>
          </cell>
          <cell r="D334" t="str">
            <v>TUNJA</v>
          </cell>
          <cell r="E334" t="str">
            <v>INTERMEDIA</v>
          </cell>
          <cell r="F334" t="str">
            <v>TERRESTRE</v>
          </cell>
          <cell r="G334" t="str">
            <v>TUNJA</v>
          </cell>
        </row>
        <row r="335">
          <cell r="A335">
            <v>15879</v>
          </cell>
          <cell r="B335" t="str">
            <v>VIRACACHA</v>
          </cell>
          <cell r="C335" t="str">
            <v>BOYACA</v>
          </cell>
          <cell r="D335" t="str">
            <v>TUNJA</v>
          </cell>
          <cell r="E335" t="str">
            <v>INTERMEDIA</v>
          </cell>
          <cell r="F335" t="str">
            <v>TERRESTRE</v>
          </cell>
          <cell r="G335" t="str">
            <v>TUNJA</v>
          </cell>
        </row>
        <row r="336">
          <cell r="A336">
            <v>15897</v>
          </cell>
          <cell r="B336" t="str">
            <v>ZETAQUIRA</v>
          </cell>
          <cell r="C336" t="str">
            <v>BOYACA</v>
          </cell>
          <cell r="D336" t="str">
            <v>TUNJA</v>
          </cell>
          <cell r="E336" t="str">
            <v>LEJANA</v>
          </cell>
          <cell r="F336" t="str">
            <v>TERRESTRE</v>
          </cell>
          <cell r="G336" t="str">
            <v>TUNJA</v>
          </cell>
        </row>
        <row r="337">
          <cell r="A337">
            <v>17524</v>
          </cell>
          <cell r="B337" t="str">
            <v>PALESTINA</v>
          </cell>
          <cell r="C337" t="str">
            <v>CALDAS</v>
          </cell>
          <cell r="D337" t="str">
            <v>MANIZALES</v>
          </cell>
          <cell r="E337" t="str">
            <v>INTERMEDIA</v>
          </cell>
          <cell r="F337" t="str">
            <v>TERRESTRE</v>
          </cell>
          <cell r="G337" t="str">
            <v>MANIZALES</v>
          </cell>
        </row>
        <row r="338">
          <cell r="A338">
            <v>17614</v>
          </cell>
          <cell r="B338" t="str">
            <v>RIOSUCIO</v>
          </cell>
          <cell r="C338" t="str">
            <v>CALDAS</v>
          </cell>
          <cell r="D338" t="str">
            <v>MANIZALES</v>
          </cell>
          <cell r="E338" t="str">
            <v>INTERMEDIA</v>
          </cell>
          <cell r="F338" t="str">
            <v>TERRESTRE</v>
          </cell>
          <cell r="G338" t="str">
            <v>MANIZALES</v>
          </cell>
        </row>
        <row r="339">
          <cell r="A339">
            <v>17653</v>
          </cell>
          <cell r="B339" t="str">
            <v>SALAMINA</v>
          </cell>
          <cell r="C339" t="str">
            <v>CALDAS</v>
          </cell>
          <cell r="D339" t="str">
            <v>MANIZALES</v>
          </cell>
          <cell r="E339" t="str">
            <v>INTERMEDIA</v>
          </cell>
          <cell r="F339" t="str">
            <v>TERRESTRE</v>
          </cell>
          <cell r="G339" t="str">
            <v>MANIZALES</v>
          </cell>
        </row>
        <row r="340">
          <cell r="A340">
            <v>17013</v>
          </cell>
          <cell r="B340" t="str">
            <v>AGUADAS</v>
          </cell>
          <cell r="C340" t="str">
            <v>CALDAS</v>
          </cell>
          <cell r="D340" t="str">
            <v>MANIZALES</v>
          </cell>
          <cell r="E340" t="str">
            <v>LEJANA</v>
          </cell>
          <cell r="F340" t="str">
            <v>TERRESTRE</v>
          </cell>
          <cell r="G340" t="str">
            <v>MANIZALES</v>
          </cell>
        </row>
        <row r="341">
          <cell r="A341">
            <v>17042</v>
          </cell>
          <cell r="B341" t="str">
            <v>ANSERMA</v>
          </cell>
          <cell r="C341" t="str">
            <v>CALDAS</v>
          </cell>
          <cell r="D341" t="str">
            <v>MANIZALES</v>
          </cell>
          <cell r="E341" t="str">
            <v>INTERMEDIA</v>
          </cell>
          <cell r="F341" t="str">
            <v>TERRESTRE</v>
          </cell>
          <cell r="G341" t="str">
            <v>MANIZALES</v>
          </cell>
        </row>
        <row r="342">
          <cell r="A342">
            <v>17050</v>
          </cell>
          <cell r="B342" t="str">
            <v>ARANZAZU</v>
          </cell>
          <cell r="C342" t="str">
            <v>CALDAS</v>
          </cell>
          <cell r="D342" t="str">
            <v>MANIZALES</v>
          </cell>
          <cell r="E342" t="str">
            <v>INTERMEDIA</v>
          </cell>
          <cell r="F342" t="str">
            <v>TERRESTRE</v>
          </cell>
          <cell r="G342" t="str">
            <v>MANIZALES</v>
          </cell>
        </row>
        <row r="343">
          <cell r="A343">
            <v>17088</v>
          </cell>
          <cell r="B343" t="str">
            <v>BELALCAZAR</v>
          </cell>
          <cell r="C343" t="str">
            <v>CALDAS</v>
          </cell>
          <cell r="D343" t="str">
            <v>MANIZALES</v>
          </cell>
          <cell r="E343" t="str">
            <v>INTERMEDIA</v>
          </cell>
          <cell r="F343" t="str">
            <v>TERRESTRE</v>
          </cell>
          <cell r="G343" t="str">
            <v>MANIZALES</v>
          </cell>
        </row>
        <row r="344">
          <cell r="A344">
            <v>17174</v>
          </cell>
          <cell r="B344" t="str">
            <v>CHINCHINA</v>
          </cell>
          <cell r="C344" t="str">
            <v>CALDAS</v>
          </cell>
          <cell r="D344" t="str">
            <v>MANIZALES</v>
          </cell>
          <cell r="E344" t="str">
            <v>INTERMEDIA</v>
          </cell>
          <cell r="F344" t="str">
            <v>TERRESTRE</v>
          </cell>
          <cell r="G344" t="str">
            <v>MANIZALES</v>
          </cell>
        </row>
        <row r="345">
          <cell r="A345">
            <v>17272</v>
          </cell>
          <cell r="B345" t="str">
            <v>FILADELFIA</v>
          </cell>
          <cell r="C345" t="str">
            <v>CALDAS</v>
          </cell>
          <cell r="D345" t="str">
            <v>MANIZALES</v>
          </cell>
          <cell r="E345" t="str">
            <v>INTERMEDIA</v>
          </cell>
          <cell r="F345" t="str">
            <v>TERRESTRE</v>
          </cell>
          <cell r="G345" t="str">
            <v>MANIZALES</v>
          </cell>
        </row>
        <row r="346">
          <cell r="A346">
            <v>17380</v>
          </cell>
          <cell r="B346" t="str">
            <v>LA DORADA</v>
          </cell>
          <cell r="C346" t="str">
            <v>CALDAS</v>
          </cell>
          <cell r="D346" t="str">
            <v>IBAGUE</v>
          </cell>
          <cell r="E346" t="str">
            <v>LEJANA</v>
          </cell>
          <cell r="F346" t="str">
            <v>TERRESTRE</v>
          </cell>
          <cell r="G346" t="str">
            <v>IBAGUE</v>
          </cell>
        </row>
        <row r="347">
          <cell r="A347">
            <v>17388</v>
          </cell>
          <cell r="B347" t="str">
            <v>LA MERCED</v>
          </cell>
          <cell r="C347" t="str">
            <v>CALDAS</v>
          </cell>
          <cell r="D347" t="str">
            <v>MANIZALES</v>
          </cell>
          <cell r="E347" t="str">
            <v>INTERMEDIA</v>
          </cell>
          <cell r="F347" t="str">
            <v>TERRESTRE</v>
          </cell>
          <cell r="G347" t="str">
            <v>MANIZALES</v>
          </cell>
        </row>
        <row r="348">
          <cell r="A348">
            <v>17001</v>
          </cell>
          <cell r="B348" t="str">
            <v>MANIZALES</v>
          </cell>
          <cell r="C348" t="str">
            <v>CALDAS</v>
          </cell>
          <cell r="D348" t="str">
            <v>MANIZALES</v>
          </cell>
          <cell r="E348" t="str">
            <v>PRINCIPAL</v>
          </cell>
          <cell r="F348" t="str">
            <v>TERRESTRE</v>
          </cell>
          <cell r="G348" t="str">
            <v>MANIZALES</v>
          </cell>
        </row>
        <row r="349">
          <cell r="A349">
            <v>17433</v>
          </cell>
          <cell r="B349" t="str">
            <v>MANZANARES</v>
          </cell>
          <cell r="C349" t="str">
            <v>CALDAS</v>
          </cell>
          <cell r="D349" t="str">
            <v>MANIZALES</v>
          </cell>
          <cell r="E349" t="str">
            <v>LEJANA</v>
          </cell>
          <cell r="F349" t="str">
            <v>TERRESTRE</v>
          </cell>
          <cell r="G349" t="str">
            <v>MANIZALES</v>
          </cell>
        </row>
        <row r="350">
          <cell r="A350">
            <v>17442</v>
          </cell>
          <cell r="B350" t="str">
            <v>MARMATO</v>
          </cell>
          <cell r="C350" t="str">
            <v>CALDAS</v>
          </cell>
          <cell r="D350" t="str">
            <v>MANIZALES</v>
          </cell>
          <cell r="E350" t="str">
            <v>INTERMEDIA</v>
          </cell>
          <cell r="F350" t="str">
            <v>TERRESTRE</v>
          </cell>
          <cell r="G350" t="str">
            <v>MANIZALES</v>
          </cell>
        </row>
        <row r="351">
          <cell r="A351">
            <v>17444</v>
          </cell>
          <cell r="B351" t="str">
            <v>MARQUETALIA</v>
          </cell>
          <cell r="C351" t="str">
            <v>CALDAS</v>
          </cell>
          <cell r="D351" t="str">
            <v>MANIZALES</v>
          </cell>
          <cell r="E351" t="str">
            <v>LEJANA</v>
          </cell>
          <cell r="F351" t="str">
            <v>TERRESTRE</v>
          </cell>
          <cell r="G351" t="str">
            <v>MANIZALES</v>
          </cell>
        </row>
        <row r="352">
          <cell r="A352">
            <v>17446</v>
          </cell>
          <cell r="B352" t="str">
            <v>MARULANDA</v>
          </cell>
          <cell r="C352" t="str">
            <v>CALDAS</v>
          </cell>
          <cell r="D352" t="str">
            <v>MANIZALES</v>
          </cell>
          <cell r="E352" t="str">
            <v>LEJANA</v>
          </cell>
          <cell r="F352" t="str">
            <v>TERRESTRE</v>
          </cell>
          <cell r="G352" t="str">
            <v>MANIZALES</v>
          </cell>
        </row>
        <row r="353">
          <cell r="A353">
            <v>17486</v>
          </cell>
          <cell r="B353" t="str">
            <v>NEIRA</v>
          </cell>
          <cell r="C353" t="str">
            <v>CALDAS</v>
          </cell>
          <cell r="D353" t="str">
            <v>MANIZALES</v>
          </cell>
          <cell r="E353" t="str">
            <v>INTERMEDIA</v>
          </cell>
          <cell r="F353" t="str">
            <v>TERRESTRE</v>
          </cell>
          <cell r="G353" t="str">
            <v>MANIZALES</v>
          </cell>
        </row>
        <row r="354">
          <cell r="A354">
            <v>17495</v>
          </cell>
          <cell r="B354" t="str">
            <v>NORCASIA</v>
          </cell>
          <cell r="C354" t="str">
            <v>CALDAS</v>
          </cell>
          <cell r="D354" t="str">
            <v>IBAGUE</v>
          </cell>
          <cell r="E354" t="str">
            <v>LEJANA</v>
          </cell>
          <cell r="F354" t="str">
            <v>TERRESTRE</v>
          </cell>
          <cell r="G354" t="str">
            <v>IBAGUE</v>
          </cell>
        </row>
        <row r="355">
          <cell r="A355">
            <v>17513</v>
          </cell>
          <cell r="B355" t="str">
            <v>PACORA</v>
          </cell>
          <cell r="C355" t="str">
            <v>CALDAS</v>
          </cell>
          <cell r="D355" t="str">
            <v>MANIZALES</v>
          </cell>
          <cell r="E355" t="str">
            <v>LEJANA</v>
          </cell>
          <cell r="F355" t="str">
            <v>TERRESTRE</v>
          </cell>
          <cell r="G355" t="str">
            <v>MANIZALES</v>
          </cell>
        </row>
        <row r="356">
          <cell r="A356">
            <v>17541</v>
          </cell>
          <cell r="B356" t="str">
            <v>PENSILVANIA</v>
          </cell>
          <cell r="C356" t="str">
            <v>CALDAS</v>
          </cell>
          <cell r="D356" t="str">
            <v>MANIZALES</v>
          </cell>
          <cell r="E356" t="str">
            <v>LEJANA</v>
          </cell>
          <cell r="F356" t="str">
            <v>TERRESTRE</v>
          </cell>
          <cell r="G356" t="str">
            <v>MANIZALES</v>
          </cell>
        </row>
        <row r="357">
          <cell r="A357">
            <v>17616</v>
          </cell>
          <cell r="B357" t="str">
            <v>RISARALDA</v>
          </cell>
          <cell r="C357" t="str">
            <v>CALDAS</v>
          </cell>
          <cell r="D357" t="str">
            <v>MANIZALES</v>
          </cell>
          <cell r="E357" t="str">
            <v>INTERMEDIA</v>
          </cell>
          <cell r="F357" t="str">
            <v>TERRESTRE</v>
          </cell>
          <cell r="G357" t="str">
            <v>MANIZALES</v>
          </cell>
        </row>
        <row r="358">
          <cell r="A358">
            <v>17662</v>
          </cell>
          <cell r="B358" t="str">
            <v>SAMANA</v>
          </cell>
          <cell r="C358" t="str">
            <v>CALDAS</v>
          </cell>
          <cell r="D358" t="str">
            <v>MANIZALES</v>
          </cell>
          <cell r="E358" t="str">
            <v>LEJANA</v>
          </cell>
          <cell r="F358" t="str">
            <v>TERRESTRE</v>
          </cell>
          <cell r="G358" t="str">
            <v>MANIZALES</v>
          </cell>
        </row>
        <row r="359">
          <cell r="A359">
            <v>17665</v>
          </cell>
          <cell r="B359" t="str">
            <v>SAN JOSE</v>
          </cell>
          <cell r="C359" t="str">
            <v>CALDAS</v>
          </cell>
          <cell r="D359" t="str">
            <v>MANIZALES</v>
          </cell>
          <cell r="E359" t="str">
            <v>INTERMEDIA</v>
          </cell>
          <cell r="F359" t="str">
            <v>TERRESTRE</v>
          </cell>
          <cell r="G359" t="str">
            <v>MANIZALES</v>
          </cell>
        </row>
        <row r="360">
          <cell r="A360">
            <v>17777</v>
          </cell>
          <cell r="B360" t="str">
            <v>SUPIA</v>
          </cell>
          <cell r="C360" t="str">
            <v>CALDAS</v>
          </cell>
          <cell r="D360" t="str">
            <v>MANIZALES</v>
          </cell>
          <cell r="E360" t="str">
            <v>INTERMEDIA</v>
          </cell>
          <cell r="F360" t="str">
            <v>TERRESTRE</v>
          </cell>
          <cell r="G360" t="str">
            <v>MANIZALES</v>
          </cell>
        </row>
        <row r="361">
          <cell r="A361">
            <v>17867</v>
          </cell>
          <cell r="B361" t="str">
            <v>VICTORIA</v>
          </cell>
          <cell r="C361" t="str">
            <v>CALDAS</v>
          </cell>
          <cell r="D361" t="str">
            <v>MANIZALES</v>
          </cell>
          <cell r="E361" t="str">
            <v>LEJANA</v>
          </cell>
          <cell r="F361" t="str">
            <v>TERRESTRE</v>
          </cell>
          <cell r="G361" t="str">
            <v>MANIZALES</v>
          </cell>
        </row>
        <row r="362">
          <cell r="A362">
            <v>17873</v>
          </cell>
          <cell r="B362" t="str">
            <v>VILLAMARIA</v>
          </cell>
          <cell r="C362" t="str">
            <v>CALDAS</v>
          </cell>
          <cell r="D362" t="str">
            <v>MANIZALES</v>
          </cell>
          <cell r="E362" t="str">
            <v>PRINCIPAL</v>
          </cell>
          <cell r="F362" t="str">
            <v>TERRESTRE</v>
          </cell>
          <cell r="G362" t="str">
            <v>MANIZALES</v>
          </cell>
        </row>
        <row r="363">
          <cell r="A363">
            <v>17877</v>
          </cell>
          <cell r="B363" t="str">
            <v>VITERBO</v>
          </cell>
          <cell r="C363" t="str">
            <v>CALDAS</v>
          </cell>
          <cell r="D363" t="str">
            <v>PEREIRA</v>
          </cell>
          <cell r="E363" t="str">
            <v>INTERMEDIA</v>
          </cell>
          <cell r="F363" t="str">
            <v>TERRESTRE</v>
          </cell>
          <cell r="G363" t="str">
            <v>PEREIRA</v>
          </cell>
        </row>
        <row r="364">
          <cell r="A364">
            <v>18029</v>
          </cell>
          <cell r="B364" t="str">
            <v>ALBANIA</v>
          </cell>
          <cell r="C364" t="str">
            <v>CAQUETA</v>
          </cell>
          <cell r="D364" t="str">
            <v>NEIVA</v>
          </cell>
          <cell r="E364" t="str">
            <v>LEJANA</v>
          </cell>
          <cell r="F364" t="str">
            <v>TERRESTRE</v>
          </cell>
          <cell r="G364" t="str">
            <v>FLORENCIA</v>
          </cell>
        </row>
        <row r="365">
          <cell r="A365">
            <v>18001</v>
          </cell>
          <cell r="B365" t="str">
            <v>FLORENCIA</v>
          </cell>
          <cell r="C365" t="str">
            <v>CAQUETA</v>
          </cell>
          <cell r="D365" t="str">
            <v>NEIVA</v>
          </cell>
          <cell r="E365" t="str">
            <v>LEJANA</v>
          </cell>
          <cell r="F365" t="str">
            <v>TERRESTRE</v>
          </cell>
          <cell r="G365" t="str">
            <v>FLORENCIA</v>
          </cell>
        </row>
        <row r="366">
          <cell r="A366">
            <v>18592</v>
          </cell>
          <cell r="B366" t="str">
            <v>PUERTO RICO</v>
          </cell>
          <cell r="C366" t="str">
            <v>CAQUETA</v>
          </cell>
          <cell r="D366" t="str">
            <v>NEIVA</v>
          </cell>
          <cell r="E366" t="str">
            <v>LEJANA</v>
          </cell>
          <cell r="F366" t="str">
            <v>TERRESTRE</v>
          </cell>
          <cell r="G366" t="str">
            <v>FLORENCIA</v>
          </cell>
        </row>
        <row r="367">
          <cell r="A367">
            <v>18860</v>
          </cell>
          <cell r="B367" t="str">
            <v>VALPARAISO</v>
          </cell>
          <cell r="C367" t="str">
            <v>CAQUETA</v>
          </cell>
          <cell r="D367" t="str">
            <v>NEIVA</v>
          </cell>
          <cell r="E367" t="str">
            <v>LEJANA</v>
          </cell>
          <cell r="F367" t="str">
            <v>TERRESTRE</v>
          </cell>
          <cell r="G367" t="str">
            <v>FLORENCIA</v>
          </cell>
        </row>
        <row r="368">
          <cell r="A368">
            <v>18094</v>
          </cell>
          <cell r="B368" t="str">
            <v>BELEN DE LOS ANDAQUIES</v>
          </cell>
          <cell r="C368" t="str">
            <v>CAQUETA</v>
          </cell>
          <cell r="D368" t="str">
            <v>NEIVA</v>
          </cell>
          <cell r="E368" t="str">
            <v>LEJANA</v>
          </cell>
          <cell r="F368" t="str">
            <v>TERRESTRE</v>
          </cell>
          <cell r="G368" t="str">
            <v>FLORENCIA</v>
          </cell>
        </row>
        <row r="369">
          <cell r="A369">
            <v>18150</v>
          </cell>
          <cell r="B369" t="str">
            <v>CARTAGENA DEL CHAIRA</v>
          </cell>
          <cell r="C369" t="str">
            <v>CAQUETA</v>
          </cell>
          <cell r="D369" t="str">
            <v>NEIVA</v>
          </cell>
          <cell r="E369" t="str">
            <v>LEJANA</v>
          </cell>
          <cell r="F369" t="str">
            <v>TERRESTRE</v>
          </cell>
          <cell r="G369" t="str">
            <v>FLORENCIA</v>
          </cell>
        </row>
        <row r="370">
          <cell r="A370">
            <v>18205</v>
          </cell>
          <cell r="B370" t="str">
            <v>CURILLO</v>
          </cell>
          <cell r="C370" t="str">
            <v>CAQUETA</v>
          </cell>
          <cell r="D370" t="str">
            <v>NEIVA</v>
          </cell>
          <cell r="E370" t="str">
            <v>LEJANA</v>
          </cell>
          <cell r="F370" t="str">
            <v>TERRESTRE</v>
          </cell>
          <cell r="G370" t="str">
            <v>FLORENCIA</v>
          </cell>
        </row>
        <row r="371">
          <cell r="A371">
            <v>18247</v>
          </cell>
          <cell r="B371" t="str">
            <v>EL DONCELLO</v>
          </cell>
          <cell r="C371" t="str">
            <v>CAQUETA</v>
          </cell>
          <cell r="D371" t="str">
            <v>NEIVA</v>
          </cell>
          <cell r="E371" t="str">
            <v>LEJANA</v>
          </cell>
          <cell r="F371" t="str">
            <v>TERRESTRE</v>
          </cell>
          <cell r="G371" t="str">
            <v>FLORENCIA</v>
          </cell>
        </row>
        <row r="372">
          <cell r="A372">
            <v>18256</v>
          </cell>
          <cell r="B372" t="str">
            <v>EL PAUJIL</v>
          </cell>
          <cell r="C372" t="str">
            <v>CAQUETA</v>
          </cell>
          <cell r="D372" t="str">
            <v>NEIVA</v>
          </cell>
          <cell r="E372" t="str">
            <v>LEJANA</v>
          </cell>
          <cell r="F372" t="str">
            <v>TERRESTRE</v>
          </cell>
          <cell r="G372" t="str">
            <v>FLORENCIA</v>
          </cell>
        </row>
        <row r="373">
          <cell r="A373">
            <v>18410</v>
          </cell>
          <cell r="B373" t="str">
            <v>LA MONTAÑITA</v>
          </cell>
          <cell r="C373" t="str">
            <v>CAQUETA</v>
          </cell>
          <cell r="D373" t="str">
            <v>NEIVA</v>
          </cell>
          <cell r="E373" t="str">
            <v>LEJANA</v>
          </cell>
          <cell r="F373" t="str">
            <v>TERRESTRE</v>
          </cell>
          <cell r="G373" t="str">
            <v>FLORENCIA</v>
          </cell>
        </row>
        <row r="374">
          <cell r="A374">
            <v>18460</v>
          </cell>
          <cell r="B374" t="str">
            <v>MILAN</v>
          </cell>
          <cell r="C374" t="str">
            <v>CAQUETA</v>
          </cell>
          <cell r="D374" t="str">
            <v>NEIVA</v>
          </cell>
          <cell r="E374" t="str">
            <v>LEJANA</v>
          </cell>
          <cell r="F374" t="str">
            <v>TERRESTRE</v>
          </cell>
          <cell r="G374" t="str">
            <v>FLORENCIA</v>
          </cell>
        </row>
        <row r="375">
          <cell r="A375">
            <v>18479</v>
          </cell>
          <cell r="B375" t="str">
            <v>MORELIA</v>
          </cell>
          <cell r="C375" t="str">
            <v>CAQUETA</v>
          </cell>
          <cell r="D375" t="str">
            <v>NEIVA</v>
          </cell>
          <cell r="E375" t="str">
            <v>LEJANA</v>
          </cell>
          <cell r="F375" t="str">
            <v>TERRESTRE</v>
          </cell>
          <cell r="G375" t="str">
            <v>FLORENCIA</v>
          </cell>
        </row>
        <row r="376">
          <cell r="A376">
            <v>18610</v>
          </cell>
          <cell r="B376" t="str">
            <v>SAN JOSE DEL FRAGUA</v>
          </cell>
          <cell r="C376" t="str">
            <v>CAQUETA</v>
          </cell>
          <cell r="D376" t="str">
            <v>NEIVA</v>
          </cell>
          <cell r="E376" t="str">
            <v>LEJANA</v>
          </cell>
          <cell r="F376" t="str">
            <v>TERRESTRE</v>
          </cell>
          <cell r="G376" t="str">
            <v>FLORENCIA</v>
          </cell>
        </row>
        <row r="377">
          <cell r="A377">
            <v>18753</v>
          </cell>
          <cell r="B377" t="str">
            <v>SAN VICENTE DEL CAGUAN</v>
          </cell>
          <cell r="C377" t="str">
            <v>CAQUETA</v>
          </cell>
          <cell r="D377" t="str">
            <v>NEIVA</v>
          </cell>
          <cell r="E377" t="str">
            <v>LEJANA</v>
          </cell>
          <cell r="F377" t="str">
            <v>TERRESTRE / AEREO</v>
          </cell>
          <cell r="G377" t="str">
            <v>FLORENCIA</v>
          </cell>
        </row>
        <row r="378">
          <cell r="A378">
            <v>18756</v>
          </cell>
          <cell r="B378" t="str">
            <v>SOLANO</v>
          </cell>
          <cell r="C378" t="str">
            <v>CAQUETA</v>
          </cell>
          <cell r="D378" t="str">
            <v>NEIVA</v>
          </cell>
          <cell r="E378" t="str">
            <v>LEJANA</v>
          </cell>
          <cell r="F378" t="str">
            <v>TERRESTRE/FLUVIAL</v>
          </cell>
          <cell r="G378" t="str">
            <v>FLORENCIA</v>
          </cell>
        </row>
        <row r="379">
          <cell r="A379">
            <v>18785</v>
          </cell>
          <cell r="B379" t="str">
            <v>SOLITA</v>
          </cell>
          <cell r="C379" t="str">
            <v>CAQUETA</v>
          </cell>
          <cell r="D379" t="str">
            <v>NEIVA</v>
          </cell>
          <cell r="E379" t="str">
            <v>LEJANA</v>
          </cell>
          <cell r="F379" t="str">
            <v>TERRESTRE</v>
          </cell>
          <cell r="G379" t="str">
            <v>FLORENCIA</v>
          </cell>
        </row>
        <row r="380">
          <cell r="A380">
            <v>85300</v>
          </cell>
          <cell r="B380" t="str">
            <v>SABANALARGA</v>
          </cell>
          <cell r="C380" t="str">
            <v>CASANARE</v>
          </cell>
          <cell r="D380" t="str">
            <v>YOPAL</v>
          </cell>
          <cell r="E380" t="str">
            <v>LEJANA</v>
          </cell>
          <cell r="F380" t="str">
            <v>TERRESTRE</v>
          </cell>
          <cell r="G380" t="str">
            <v>YOPAL</v>
          </cell>
        </row>
        <row r="381">
          <cell r="A381">
            <v>85440</v>
          </cell>
          <cell r="B381" t="str">
            <v>VILLANUEVA</v>
          </cell>
          <cell r="C381" t="str">
            <v>CASANARE</v>
          </cell>
          <cell r="D381" t="str">
            <v>VILLAVICENCIO</v>
          </cell>
          <cell r="E381" t="str">
            <v>LEJANA</v>
          </cell>
          <cell r="F381" t="str">
            <v>TERRESTRE</v>
          </cell>
          <cell r="G381" t="str">
            <v>YOPAL</v>
          </cell>
        </row>
        <row r="382">
          <cell r="A382">
            <v>85010</v>
          </cell>
          <cell r="B382" t="str">
            <v>AGUAZUL</v>
          </cell>
          <cell r="C382" t="str">
            <v>CASANARE</v>
          </cell>
          <cell r="D382" t="str">
            <v>YOPAL</v>
          </cell>
          <cell r="E382" t="str">
            <v>INTERMEDIA</v>
          </cell>
          <cell r="F382" t="str">
            <v>TERRESTRE</v>
          </cell>
          <cell r="G382" t="str">
            <v>YOPAL</v>
          </cell>
        </row>
        <row r="383">
          <cell r="A383">
            <v>85015</v>
          </cell>
          <cell r="B383" t="str">
            <v>CHAMEZA</v>
          </cell>
          <cell r="C383" t="str">
            <v>CASANARE</v>
          </cell>
          <cell r="D383" t="str">
            <v>YOPAL</v>
          </cell>
          <cell r="E383" t="str">
            <v>LEJANA</v>
          </cell>
          <cell r="F383" t="str">
            <v>TERRESTRE</v>
          </cell>
          <cell r="G383" t="str">
            <v>YOPAL</v>
          </cell>
        </row>
        <row r="384">
          <cell r="A384">
            <v>85125</v>
          </cell>
          <cell r="B384" t="str">
            <v>HATO COROZAL</v>
          </cell>
          <cell r="C384" t="str">
            <v>CASANARE</v>
          </cell>
          <cell r="D384" t="str">
            <v>YOPAL</v>
          </cell>
          <cell r="E384" t="str">
            <v>LEJANA</v>
          </cell>
          <cell r="F384" t="str">
            <v>TERRESTRE</v>
          </cell>
          <cell r="G384" t="str">
            <v>YOPAL</v>
          </cell>
        </row>
        <row r="385">
          <cell r="A385">
            <v>85136</v>
          </cell>
          <cell r="B385" t="str">
            <v>LA SALINA</v>
          </cell>
          <cell r="C385" t="str">
            <v>CASANARE</v>
          </cell>
          <cell r="D385" t="str">
            <v>YOPAL</v>
          </cell>
          <cell r="E385" t="str">
            <v>LEJANA</v>
          </cell>
          <cell r="F385" t="str">
            <v>TERRESTRE</v>
          </cell>
          <cell r="G385" t="str">
            <v>YOPAL</v>
          </cell>
        </row>
        <row r="386">
          <cell r="A386">
            <v>85139</v>
          </cell>
          <cell r="B386" t="str">
            <v>MANI</v>
          </cell>
          <cell r="C386" t="str">
            <v>CASANARE</v>
          </cell>
          <cell r="D386" t="str">
            <v>YOPAL</v>
          </cell>
          <cell r="E386" t="str">
            <v>INTERMEDIA</v>
          </cell>
          <cell r="F386" t="str">
            <v>TERRESTRE</v>
          </cell>
          <cell r="G386" t="str">
            <v>YOPAL</v>
          </cell>
        </row>
        <row r="387">
          <cell r="A387">
            <v>85162</v>
          </cell>
          <cell r="B387" t="str">
            <v>MONTERREY</v>
          </cell>
          <cell r="C387" t="str">
            <v>CASANARE</v>
          </cell>
          <cell r="D387" t="str">
            <v>YOPAL</v>
          </cell>
          <cell r="E387" t="str">
            <v>INTERMEDIA</v>
          </cell>
          <cell r="F387" t="str">
            <v>TERRESTRE</v>
          </cell>
          <cell r="G387" t="str">
            <v>YOPAL</v>
          </cell>
        </row>
        <row r="388">
          <cell r="A388">
            <v>85225</v>
          </cell>
          <cell r="B388" t="str">
            <v>NUNCHIA</v>
          </cell>
          <cell r="C388" t="str">
            <v>CASANARE</v>
          </cell>
          <cell r="D388" t="str">
            <v>YOPAL</v>
          </cell>
          <cell r="E388" t="str">
            <v>INTERMEDIA</v>
          </cell>
          <cell r="F388" t="str">
            <v>TERRESTRE</v>
          </cell>
          <cell r="G388" t="str">
            <v>YOPAL</v>
          </cell>
        </row>
        <row r="389">
          <cell r="A389">
            <v>85230</v>
          </cell>
          <cell r="B389" t="str">
            <v>OROCUE</v>
          </cell>
          <cell r="C389" t="str">
            <v>CASANARE</v>
          </cell>
          <cell r="D389" t="str">
            <v>YOPAL</v>
          </cell>
          <cell r="E389" t="str">
            <v>LEJANA</v>
          </cell>
          <cell r="F389" t="str">
            <v>TERRESTRE/FLUVIAL</v>
          </cell>
          <cell r="G389" t="str">
            <v>YOPAL</v>
          </cell>
        </row>
        <row r="390">
          <cell r="A390">
            <v>85250</v>
          </cell>
          <cell r="B390" t="str">
            <v>PAZ DE ARIPORO</v>
          </cell>
          <cell r="C390" t="str">
            <v>CASANARE</v>
          </cell>
          <cell r="D390" t="str">
            <v>YOPAL</v>
          </cell>
          <cell r="E390" t="str">
            <v>INTERMEDIA</v>
          </cell>
          <cell r="F390" t="str">
            <v>TERRESTRE</v>
          </cell>
          <cell r="G390" t="str">
            <v>YOPAL</v>
          </cell>
        </row>
        <row r="391">
          <cell r="A391">
            <v>85263</v>
          </cell>
          <cell r="B391" t="str">
            <v>PORE</v>
          </cell>
          <cell r="C391" t="str">
            <v>CASANARE</v>
          </cell>
          <cell r="D391" t="str">
            <v>YOPAL</v>
          </cell>
          <cell r="E391" t="str">
            <v>INTERMEDIA</v>
          </cell>
          <cell r="F391" t="str">
            <v>TERRESTRE</v>
          </cell>
          <cell r="G391" t="str">
            <v>YOPAL</v>
          </cell>
        </row>
        <row r="392">
          <cell r="A392">
            <v>85279</v>
          </cell>
          <cell r="B392" t="str">
            <v>RECETOR</v>
          </cell>
          <cell r="C392" t="str">
            <v>CASANARE</v>
          </cell>
          <cell r="D392" t="str">
            <v>YOPAL</v>
          </cell>
          <cell r="E392" t="str">
            <v>LEJANA</v>
          </cell>
          <cell r="F392" t="str">
            <v>TERRESTRE</v>
          </cell>
          <cell r="G392" t="str">
            <v>YOPAL</v>
          </cell>
        </row>
        <row r="393">
          <cell r="A393">
            <v>85315</v>
          </cell>
          <cell r="B393" t="str">
            <v>SACAMA</v>
          </cell>
          <cell r="C393" t="str">
            <v>CASANARE</v>
          </cell>
          <cell r="D393" t="str">
            <v>YOPAL</v>
          </cell>
          <cell r="E393" t="str">
            <v>LEJANA</v>
          </cell>
          <cell r="F393" t="str">
            <v>TERRESTRE</v>
          </cell>
          <cell r="G393" t="str">
            <v>YOPAL</v>
          </cell>
        </row>
        <row r="394">
          <cell r="A394">
            <v>85325</v>
          </cell>
          <cell r="B394" t="str">
            <v>SAN LUIS DE PALENQUE</v>
          </cell>
          <cell r="C394" t="str">
            <v>CASANARE</v>
          </cell>
          <cell r="D394" t="str">
            <v>YOPAL</v>
          </cell>
          <cell r="E394" t="str">
            <v>INTERMEDIA</v>
          </cell>
          <cell r="F394" t="str">
            <v>TERRESTRE</v>
          </cell>
          <cell r="G394" t="str">
            <v>YOPAL</v>
          </cell>
        </row>
        <row r="395">
          <cell r="A395">
            <v>85400</v>
          </cell>
          <cell r="B395" t="str">
            <v>TAMARA</v>
          </cell>
          <cell r="C395" t="str">
            <v>CASANARE</v>
          </cell>
          <cell r="D395" t="str">
            <v>YOPAL</v>
          </cell>
          <cell r="E395" t="str">
            <v>LEJANA</v>
          </cell>
          <cell r="F395" t="str">
            <v>TERRESTRE</v>
          </cell>
          <cell r="G395" t="str">
            <v>YOPAL</v>
          </cell>
        </row>
        <row r="396">
          <cell r="A396">
            <v>85410</v>
          </cell>
          <cell r="B396" t="str">
            <v>TAURAMENA</v>
          </cell>
          <cell r="C396" t="str">
            <v>CASANARE</v>
          </cell>
          <cell r="D396" t="str">
            <v>YOPAL</v>
          </cell>
          <cell r="E396" t="str">
            <v>INTERMEDIA</v>
          </cell>
          <cell r="F396" t="str">
            <v>TERRESTRE</v>
          </cell>
          <cell r="G396" t="str">
            <v>YOPAL</v>
          </cell>
        </row>
        <row r="397">
          <cell r="A397">
            <v>85430</v>
          </cell>
          <cell r="B397" t="str">
            <v>TRINIDAD</v>
          </cell>
          <cell r="C397" t="str">
            <v>CASANARE</v>
          </cell>
          <cell r="D397" t="str">
            <v>YOPAL</v>
          </cell>
          <cell r="E397" t="str">
            <v>INTERMEDIA</v>
          </cell>
          <cell r="F397" t="str">
            <v>TERRESTRE</v>
          </cell>
          <cell r="G397" t="str">
            <v>YOPAL</v>
          </cell>
        </row>
        <row r="398">
          <cell r="A398">
            <v>85001</v>
          </cell>
          <cell r="B398" t="str">
            <v>YOPAL</v>
          </cell>
          <cell r="C398" t="str">
            <v>CASANARE</v>
          </cell>
          <cell r="D398" t="str">
            <v>YOPAL</v>
          </cell>
          <cell r="E398" t="str">
            <v>PRINCIPAL</v>
          </cell>
          <cell r="F398" t="str">
            <v>TERRESTRE</v>
          </cell>
          <cell r="G398" t="str">
            <v>YOPAL</v>
          </cell>
        </row>
        <row r="399">
          <cell r="A399">
            <v>19050</v>
          </cell>
          <cell r="B399" t="str">
            <v>ARGELIA</v>
          </cell>
          <cell r="C399" t="str">
            <v>CAUCA</v>
          </cell>
          <cell r="D399" t="str">
            <v>CALI</v>
          </cell>
          <cell r="E399" t="str">
            <v>LEJANA</v>
          </cell>
          <cell r="F399" t="str">
            <v>TERRESTRE</v>
          </cell>
          <cell r="G399" t="str">
            <v>POPAYÁN</v>
          </cell>
        </row>
        <row r="400">
          <cell r="A400">
            <v>19075</v>
          </cell>
          <cell r="B400" t="str">
            <v>BALBOA</v>
          </cell>
          <cell r="C400" t="str">
            <v>CAUCA</v>
          </cell>
          <cell r="D400" t="str">
            <v>CALI</v>
          </cell>
          <cell r="E400" t="str">
            <v>LEJANA</v>
          </cell>
          <cell r="F400" t="str">
            <v>TERRESTRE</v>
          </cell>
          <cell r="G400" t="str">
            <v>POPAYÁN</v>
          </cell>
        </row>
        <row r="401">
          <cell r="A401">
            <v>19100</v>
          </cell>
          <cell r="B401" t="str">
            <v>BOLIVAR</v>
          </cell>
          <cell r="C401" t="str">
            <v>CAUCA</v>
          </cell>
          <cell r="D401" t="str">
            <v>CALI</v>
          </cell>
          <cell r="E401" t="str">
            <v>LEJANA</v>
          </cell>
          <cell r="F401" t="str">
            <v>TERRESTRE</v>
          </cell>
          <cell r="G401" t="str">
            <v>POPAYÁN</v>
          </cell>
        </row>
        <row r="402">
          <cell r="A402">
            <v>19256</v>
          </cell>
          <cell r="B402" t="str">
            <v>EL TAMBO</v>
          </cell>
          <cell r="C402" t="str">
            <v>CAUCA</v>
          </cell>
          <cell r="D402" t="str">
            <v>CALI</v>
          </cell>
          <cell r="E402" t="str">
            <v>LEJANA</v>
          </cell>
          <cell r="F402" t="str">
            <v>TERRESTRE</v>
          </cell>
          <cell r="G402" t="str">
            <v>POPAYÁN</v>
          </cell>
        </row>
        <row r="403">
          <cell r="A403">
            <v>19290</v>
          </cell>
          <cell r="B403" t="str">
            <v>FLORENCIA</v>
          </cell>
          <cell r="C403" t="str">
            <v>CAUCA</v>
          </cell>
          <cell r="D403" t="str">
            <v>CALI</v>
          </cell>
          <cell r="E403" t="str">
            <v>LEJANA</v>
          </cell>
          <cell r="F403" t="str">
            <v>TERRESTRE</v>
          </cell>
          <cell r="G403" t="str">
            <v>POPAYÁN</v>
          </cell>
        </row>
        <row r="404">
          <cell r="A404">
            <v>19397</v>
          </cell>
          <cell r="B404" t="str">
            <v>LA VEGA</v>
          </cell>
          <cell r="C404" t="str">
            <v>CAUCA</v>
          </cell>
          <cell r="D404" t="str">
            <v>CALI</v>
          </cell>
          <cell r="E404" t="str">
            <v>LEJANA</v>
          </cell>
          <cell r="F404" t="str">
            <v>TERRESTRE</v>
          </cell>
          <cell r="G404" t="str">
            <v>POPAYÁN</v>
          </cell>
        </row>
        <row r="405">
          <cell r="A405">
            <v>19473</v>
          </cell>
          <cell r="B405" t="str">
            <v>MORALES</v>
          </cell>
          <cell r="C405" t="str">
            <v>CAUCA</v>
          </cell>
          <cell r="D405" t="str">
            <v>CALI</v>
          </cell>
          <cell r="E405" t="str">
            <v>LEJANA</v>
          </cell>
          <cell r="F405" t="str">
            <v>TERRESTRE</v>
          </cell>
          <cell r="G405" t="str">
            <v>POPAYÁN</v>
          </cell>
        </row>
        <row r="406">
          <cell r="A406">
            <v>19517</v>
          </cell>
          <cell r="B406" t="str">
            <v>PAEZ</v>
          </cell>
          <cell r="C406" t="str">
            <v>CAUCA</v>
          </cell>
          <cell r="D406" t="str">
            <v>CALI</v>
          </cell>
          <cell r="E406" t="str">
            <v>LEJANA</v>
          </cell>
          <cell r="F406" t="str">
            <v>TERRESTRE</v>
          </cell>
          <cell r="G406" t="str">
            <v>POPAYÁN</v>
          </cell>
        </row>
        <row r="407">
          <cell r="A407">
            <v>19701</v>
          </cell>
          <cell r="B407" t="str">
            <v>SANTA ROSA</v>
          </cell>
          <cell r="C407" t="str">
            <v>CAUCA</v>
          </cell>
          <cell r="D407" t="str">
            <v>CALI</v>
          </cell>
          <cell r="E407" t="str">
            <v>LEJANA</v>
          </cell>
          <cell r="F407" t="str">
            <v>TERRESTRE</v>
          </cell>
          <cell r="G407" t="str">
            <v>POPAYÁN</v>
          </cell>
        </row>
        <row r="408">
          <cell r="A408">
            <v>19780</v>
          </cell>
          <cell r="B408" t="str">
            <v>SUAREZ</v>
          </cell>
          <cell r="C408" t="str">
            <v>CAUCA</v>
          </cell>
          <cell r="D408" t="str">
            <v>CALI</v>
          </cell>
          <cell r="E408" t="str">
            <v>LEJANA</v>
          </cell>
          <cell r="F408" t="str">
            <v>TERRESTRE</v>
          </cell>
          <cell r="G408" t="str">
            <v>POPAYÁN</v>
          </cell>
        </row>
        <row r="409">
          <cell r="A409">
            <v>19785</v>
          </cell>
          <cell r="B409" t="str">
            <v>SUCRE</v>
          </cell>
          <cell r="C409" t="str">
            <v>CAUCA</v>
          </cell>
          <cell r="D409" t="str">
            <v>CALI</v>
          </cell>
          <cell r="E409" t="str">
            <v>LEJANA</v>
          </cell>
          <cell r="F409" t="str">
            <v>TERRESTRE</v>
          </cell>
          <cell r="G409" t="str">
            <v>POPAYÁN</v>
          </cell>
        </row>
        <row r="410">
          <cell r="A410">
            <v>19022</v>
          </cell>
          <cell r="B410" t="str">
            <v>ALMAGUER</v>
          </cell>
          <cell r="C410" t="str">
            <v>CAUCA</v>
          </cell>
          <cell r="D410" t="str">
            <v>CALI</v>
          </cell>
          <cell r="E410" t="str">
            <v>LEJANA</v>
          </cell>
          <cell r="F410" t="str">
            <v>TERRESTRE</v>
          </cell>
          <cell r="G410" t="str">
            <v>POPAYÁN</v>
          </cell>
        </row>
        <row r="411">
          <cell r="A411">
            <v>19110</v>
          </cell>
          <cell r="B411" t="str">
            <v>BUENOS AIRES</v>
          </cell>
          <cell r="C411" t="str">
            <v>CAUCA</v>
          </cell>
          <cell r="D411" t="str">
            <v>CALI</v>
          </cell>
          <cell r="E411" t="str">
            <v>INTERMEDIA</v>
          </cell>
          <cell r="F411" t="str">
            <v>TERRESTRE</v>
          </cell>
          <cell r="G411" t="str">
            <v>POPAYÁN</v>
          </cell>
        </row>
        <row r="412">
          <cell r="A412">
            <v>19130</v>
          </cell>
          <cell r="B412" t="str">
            <v>CAJIBIO</v>
          </cell>
          <cell r="C412" t="str">
            <v>CAUCA</v>
          </cell>
          <cell r="D412" t="str">
            <v>CALI</v>
          </cell>
          <cell r="E412" t="str">
            <v>LEJANA</v>
          </cell>
          <cell r="F412" t="str">
            <v>TERRESTRE</v>
          </cell>
          <cell r="G412" t="str">
            <v>POPAYÁN</v>
          </cell>
        </row>
        <row r="413">
          <cell r="A413">
            <v>19137</v>
          </cell>
          <cell r="B413" t="str">
            <v>CALDONO</v>
          </cell>
          <cell r="C413" t="str">
            <v>CAUCA</v>
          </cell>
          <cell r="D413" t="str">
            <v>CALI</v>
          </cell>
          <cell r="E413" t="str">
            <v>LEJANA</v>
          </cell>
          <cell r="F413" t="str">
            <v>TERRESTRE</v>
          </cell>
          <cell r="G413" t="str">
            <v>POPAYÁN</v>
          </cell>
        </row>
        <row r="414">
          <cell r="A414">
            <v>19142</v>
          </cell>
          <cell r="B414" t="str">
            <v>CALOTO</v>
          </cell>
          <cell r="C414" t="str">
            <v>CAUCA</v>
          </cell>
          <cell r="D414" t="str">
            <v>CALI</v>
          </cell>
          <cell r="E414" t="str">
            <v>INTERMEDIA</v>
          </cell>
          <cell r="F414" t="str">
            <v>TERRESTRE</v>
          </cell>
          <cell r="G414" t="str">
            <v>POPAYÁN</v>
          </cell>
        </row>
        <row r="415">
          <cell r="A415">
            <v>19212</v>
          </cell>
          <cell r="B415" t="str">
            <v>CORINTO</v>
          </cell>
          <cell r="C415" t="str">
            <v>CAUCA</v>
          </cell>
          <cell r="D415" t="str">
            <v>CALI</v>
          </cell>
          <cell r="E415" t="str">
            <v>LEJANA</v>
          </cell>
          <cell r="F415" t="str">
            <v>TERRESTRE</v>
          </cell>
          <cell r="G415" t="str">
            <v>POPAYÁN</v>
          </cell>
        </row>
        <row r="416">
          <cell r="A416">
            <v>19300</v>
          </cell>
          <cell r="B416" t="str">
            <v>GUACHENE</v>
          </cell>
          <cell r="C416" t="str">
            <v>CAUCA</v>
          </cell>
          <cell r="D416" t="str">
            <v>CALI</v>
          </cell>
          <cell r="E416" t="str">
            <v>INTERMEDIA</v>
          </cell>
          <cell r="F416" t="str">
            <v>TERRESTRE</v>
          </cell>
          <cell r="G416" t="str">
            <v>POPAYÁN</v>
          </cell>
        </row>
        <row r="417">
          <cell r="A417">
            <v>19318</v>
          </cell>
          <cell r="B417" t="str">
            <v>GUAPI</v>
          </cell>
          <cell r="C417" t="str">
            <v>CAUCA</v>
          </cell>
          <cell r="D417" t="str">
            <v>CALI</v>
          </cell>
          <cell r="E417" t="str">
            <v>LEJANA</v>
          </cell>
          <cell r="F417" t="str">
            <v>AEREO</v>
          </cell>
          <cell r="G417" t="str">
            <v>POPAYÁN</v>
          </cell>
        </row>
        <row r="418">
          <cell r="A418">
            <v>19355</v>
          </cell>
          <cell r="B418" t="str">
            <v>INZA</v>
          </cell>
          <cell r="C418" t="str">
            <v>CAUCA</v>
          </cell>
          <cell r="D418" t="str">
            <v>CALI</v>
          </cell>
          <cell r="E418" t="str">
            <v>LEJANA</v>
          </cell>
          <cell r="F418" t="str">
            <v>TERRESTRE</v>
          </cell>
          <cell r="G418" t="str">
            <v>POPAYÁN</v>
          </cell>
        </row>
        <row r="419">
          <cell r="A419">
            <v>19364</v>
          </cell>
          <cell r="B419" t="str">
            <v>JAMBALO</v>
          </cell>
          <cell r="C419" t="str">
            <v>CAUCA</v>
          </cell>
          <cell r="D419" t="str">
            <v>CALI</v>
          </cell>
          <cell r="E419" t="str">
            <v>LEJANA</v>
          </cell>
          <cell r="F419" t="str">
            <v>TERRESTRE</v>
          </cell>
          <cell r="G419" t="str">
            <v>POPAYÁN</v>
          </cell>
        </row>
        <row r="420">
          <cell r="A420">
            <v>19392</v>
          </cell>
          <cell r="B420" t="str">
            <v>LA SIERRA</v>
          </cell>
          <cell r="C420" t="str">
            <v>CAUCA</v>
          </cell>
          <cell r="D420" t="str">
            <v>CALI</v>
          </cell>
          <cell r="E420" t="str">
            <v>LEJANA</v>
          </cell>
          <cell r="F420" t="str">
            <v>TERRESTRE</v>
          </cell>
          <cell r="G420" t="str">
            <v>POPAYÁN</v>
          </cell>
        </row>
        <row r="421">
          <cell r="A421">
            <v>19418</v>
          </cell>
          <cell r="B421" t="str">
            <v>LOPEZ</v>
          </cell>
          <cell r="C421" t="str">
            <v>CAUCA</v>
          </cell>
          <cell r="D421" t="str">
            <v>CALI</v>
          </cell>
          <cell r="E421" t="str">
            <v>LEJANA</v>
          </cell>
          <cell r="F421" t="str">
            <v>TERRESTRE</v>
          </cell>
          <cell r="G421" t="str">
            <v>POPAYÁN</v>
          </cell>
        </row>
        <row r="422">
          <cell r="A422">
            <v>19450</v>
          </cell>
          <cell r="B422" t="str">
            <v>MERCADERES</v>
          </cell>
          <cell r="C422" t="str">
            <v>CAUCA</v>
          </cell>
          <cell r="D422" t="str">
            <v>CALI</v>
          </cell>
          <cell r="E422" t="str">
            <v>LEJANA</v>
          </cell>
          <cell r="F422" t="str">
            <v>TERRESTRE</v>
          </cell>
          <cell r="G422" t="str">
            <v>POPAYÁN</v>
          </cell>
        </row>
        <row r="423">
          <cell r="A423">
            <v>19455</v>
          </cell>
          <cell r="B423" t="str">
            <v>MIRANDA</v>
          </cell>
          <cell r="C423" t="str">
            <v>CAUCA</v>
          </cell>
          <cell r="D423" t="str">
            <v>CALI</v>
          </cell>
          <cell r="E423" t="str">
            <v>LEJANA</v>
          </cell>
          <cell r="F423" t="str">
            <v>TERRESTRE</v>
          </cell>
          <cell r="G423" t="str">
            <v>POPAYÁN</v>
          </cell>
        </row>
        <row r="424">
          <cell r="A424">
            <v>19513</v>
          </cell>
          <cell r="B424" t="str">
            <v>PADILLA</v>
          </cell>
          <cell r="C424" t="str">
            <v>CAUCA</v>
          </cell>
          <cell r="D424" t="str">
            <v>CALI</v>
          </cell>
          <cell r="E424" t="str">
            <v>INTERMEDIA</v>
          </cell>
          <cell r="F424" t="str">
            <v>TERRESTRE</v>
          </cell>
          <cell r="G424" t="str">
            <v>POPAYÁN</v>
          </cell>
        </row>
        <row r="425">
          <cell r="A425">
            <v>19532</v>
          </cell>
          <cell r="B425" t="str">
            <v>PATIA</v>
          </cell>
          <cell r="C425" t="str">
            <v>CAUCA</v>
          </cell>
          <cell r="D425" t="str">
            <v>CALI</v>
          </cell>
          <cell r="E425" t="str">
            <v>LEJANA</v>
          </cell>
          <cell r="F425" t="str">
            <v>TERRESTRE</v>
          </cell>
          <cell r="G425" t="str">
            <v>POPAYÁN</v>
          </cell>
        </row>
        <row r="426">
          <cell r="A426">
            <v>19533</v>
          </cell>
          <cell r="B426" t="str">
            <v>PIAMONTE</v>
          </cell>
          <cell r="C426" t="str">
            <v>CAUCA</v>
          </cell>
          <cell r="D426" t="str">
            <v>PASTO</v>
          </cell>
          <cell r="E426" t="str">
            <v>LEJANA</v>
          </cell>
          <cell r="F426" t="str">
            <v>TERRESTRE/FLUVIAL</v>
          </cell>
          <cell r="G426" t="str">
            <v>PASTO</v>
          </cell>
        </row>
        <row r="427">
          <cell r="A427">
            <v>19548</v>
          </cell>
          <cell r="B427" t="str">
            <v>PIENDAMO</v>
          </cell>
          <cell r="C427" t="str">
            <v>CAUCA</v>
          </cell>
          <cell r="D427" t="str">
            <v>CALI</v>
          </cell>
          <cell r="E427" t="str">
            <v>LEJANA</v>
          </cell>
          <cell r="F427" t="str">
            <v>TERRESTRE</v>
          </cell>
          <cell r="G427" t="str">
            <v>POPAYÁN</v>
          </cell>
        </row>
        <row r="428">
          <cell r="A428">
            <v>19001</v>
          </cell>
          <cell r="B428" t="str">
            <v>POPAYAN</v>
          </cell>
          <cell r="C428" t="str">
            <v>CAUCA</v>
          </cell>
          <cell r="D428" t="str">
            <v>CALI</v>
          </cell>
          <cell r="E428" t="str">
            <v>LEJANA</v>
          </cell>
          <cell r="F428" t="str">
            <v>TERRESTRE</v>
          </cell>
          <cell r="G428" t="str">
            <v>POPAYÁN</v>
          </cell>
        </row>
        <row r="429">
          <cell r="A429">
            <v>19573</v>
          </cell>
          <cell r="B429" t="str">
            <v>PUERTO TEJADA</v>
          </cell>
          <cell r="C429" t="str">
            <v>CAUCA</v>
          </cell>
          <cell r="D429" t="str">
            <v>CALI</v>
          </cell>
          <cell r="E429" t="str">
            <v>INTERMEDIA</v>
          </cell>
          <cell r="F429" t="str">
            <v>TERRESTRE</v>
          </cell>
          <cell r="G429" t="str">
            <v>POPAYÁN</v>
          </cell>
        </row>
        <row r="430">
          <cell r="A430">
            <v>19585</v>
          </cell>
          <cell r="B430" t="str">
            <v>PURACE</v>
          </cell>
          <cell r="C430" t="str">
            <v>CAUCA</v>
          </cell>
          <cell r="D430" t="str">
            <v>CALI</v>
          </cell>
          <cell r="E430" t="str">
            <v>LEJANA</v>
          </cell>
          <cell r="F430" t="str">
            <v>TERRESTRE</v>
          </cell>
          <cell r="G430" t="str">
            <v>POPAYÁN</v>
          </cell>
        </row>
        <row r="431">
          <cell r="A431">
            <v>19622</v>
          </cell>
          <cell r="B431" t="str">
            <v>ROSAS</v>
          </cell>
          <cell r="C431" t="str">
            <v>CAUCA</v>
          </cell>
          <cell r="D431" t="str">
            <v>CALI</v>
          </cell>
          <cell r="E431" t="str">
            <v>LEJANA</v>
          </cell>
          <cell r="F431" t="str">
            <v>TERRESTRE</v>
          </cell>
          <cell r="G431" t="str">
            <v>POPAYÁN</v>
          </cell>
        </row>
        <row r="432">
          <cell r="A432">
            <v>19693</v>
          </cell>
          <cell r="B432" t="str">
            <v>SAN SEBASTIAN</v>
          </cell>
          <cell r="C432" t="str">
            <v>CAUCA</v>
          </cell>
          <cell r="D432" t="str">
            <v>CALI</v>
          </cell>
          <cell r="E432" t="str">
            <v>LEJANA</v>
          </cell>
          <cell r="F432" t="str">
            <v>TERRESTRE</v>
          </cell>
          <cell r="G432" t="str">
            <v>POPAYÁN</v>
          </cell>
        </row>
        <row r="433">
          <cell r="A433">
            <v>19698</v>
          </cell>
          <cell r="B433" t="str">
            <v>SANTANDER DE QUILICHAO</v>
          </cell>
          <cell r="C433" t="str">
            <v>CAUCA</v>
          </cell>
          <cell r="D433" t="str">
            <v>CALI</v>
          </cell>
          <cell r="E433" t="str">
            <v>INTERMEDIA</v>
          </cell>
          <cell r="F433" t="str">
            <v>TERRESTRE</v>
          </cell>
          <cell r="G433" t="str">
            <v>POPAYÁN</v>
          </cell>
        </row>
        <row r="434">
          <cell r="A434">
            <v>19743</v>
          </cell>
          <cell r="B434" t="str">
            <v>SILVIA</v>
          </cell>
          <cell r="C434" t="str">
            <v>CAUCA</v>
          </cell>
          <cell r="D434" t="str">
            <v>CALI</v>
          </cell>
          <cell r="E434" t="str">
            <v>LEJANA</v>
          </cell>
          <cell r="F434" t="str">
            <v>TERRESTRE</v>
          </cell>
          <cell r="G434" t="str">
            <v>POPAYÁN</v>
          </cell>
        </row>
        <row r="435">
          <cell r="A435">
            <v>19760</v>
          </cell>
          <cell r="B435" t="str">
            <v>SOTARA</v>
          </cell>
          <cell r="C435" t="str">
            <v>CAUCA</v>
          </cell>
          <cell r="D435" t="str">
            <v>CALI</v>
          </cell>
          <cell r="E435" t="str">
            <v>LEJANA</v>
          </cell>
          <cell r="F435" t="str">
            <v>TERRESTRE</v>
          </cell>
          <cell r="G435" t="str">
            <v>POPAYÁN</v>
          </cell>
        </row>
        <row r="436">
          <cell r="A436">
            <v>19807</v>
          </cell>
          <cell r="B436" t="str">
            <v>TIMBIO</v>
          </cell>
          <cell r="C436" t="str">
            <v>CAUCA</v>
          </cell>
          <cell r="D436" t="str">
            <v>CALI</v>
          </cell>
          <cell r="E436" t="str">
            <v>LEJANA</v>
          </cell>
          <cell r="F436" t="str">
            <v>TERRESTRE</v>
          </cell>
          <cell r="G436" t="str">
            <v>POPAYÁN</v>
          </cell>
        </row>
        <row r="437">
          <cell r="A437">
            <v>19809</v>
          </cell>
          <cell r="B437" t="str">
            <v>TIMBIQUI</v>
          </cell>
          <cell r="C437" t="str">
            <v>CAUCA</v>
          </cell>
          <cell r="D437" t="str">
            <v>CALI</v>
          </cell>
          <cell r="E437" t="str">
            <v>LEJANA</v>
          </cell>
          <cell r="F437" t="str">
            <v>AEREO</v>
          </cell>
          <cell r="G437" t="str">
            <v>POPAYÁN</v>
          </cell>
        </row>
        <row r="438">
          <cell r="A438">
            <v>19821</v>
          </cell>
          <cell r="B438" t="str">
            <v>TORIBIO</v>
          </cell>
          <cell r="C438" t="str">
            <v>CAUCA</v>
          </cell>
          <cell r="D438" t="str">
            <v>CALI</v>
          </cell>
          <cell r="E438" t="str">
            <v>LEJANA</v>
          </cell>
          <cell r="F438" t="str">
            <v>TERRESTRE</v>
          </cell>
          <cell r="G438" t="str">
            <v>POPAYÁN</v>
          </cell>
        </row>
        <row r="439">
          <cell r="A439">
            <v>19824</v>
          </cell>
          <cell r="B439" t="str">
            <v>TOTORO</v>
          </cell>
          <cell r="C439" t="str">
            <v>CAUCA</v>
          </cell>
          <cell r="D439" t="str">
            <v>CALI</v>
          </cell>
          <cell r="E439" t="str">
            <v>LEJANA</v>
          </cell>
          <cell r="F439" t="str">
            <v>TERRESTRE</v>
          </cell>
          <cell r="G439" t="str">
            <v>POPAYÁN</v>
          </cell>
        </row>
        <row r="440">
          <cell r="A440">
            <v>19845</v>
          </cell>
          <cell r="B440" t="str">
            <v>VILLA RICA</v>
          </cell>
          <cell r="C440" t="str">
            <v>CAUCA</v>
          </cell>
          <cell r="D440" t="str">
            <v>CALI</v>
          </cell>
          <cell r="E440" t="str">
            <v>LEJANA</v>
          </cell>
          <cell r="F440" t="str">
            <v>TERRESTRE</v>
          </cell>
          <cell r="G440" t="str">
            <v>POPAYÁN</v>
          </cell>
        </row>
        <row r="441">
          <cell r="A441">
            <v>20621</v>
          </cell>
          <cell r="B441" t="str">
            <v>LA PAZ</v>
          </cell>
          <cell r="C441" t="str">
            <v>CESAR</v>
          </cell>
          <cell r="D441" t="str">
            <v>VALLEDUPAR</v>
          </cell>
          <cell r="E441" t="str">
            <v>INTERMEDIA</v>
          </cell>
          <cell r="F441" t="str">
            <v>TERRESTRE</v>
          </cell>
          <cell r="G441" t="str">
            <v>VALLEDUPAR</v>
          </cell>
        </row>
        <row r="442">
          <cell r="A442">
            <v>20443</v>
          </cell>
          <cell r="B442" t="str">
            <v>MANAURE</v>
          </cell>
          <cell r="C442" t="str">
            <v>CESAR</v>
          </cell>
          <cell r="D442" t="str">
            <v>VALLEDUPAR</v>
          </cell>
          <cell r="E442" t="str">
            <v>INTERMEDIA</v>
          </cell>
          <cell r="F442" t="str">
            <v>TERRESTRE</v>
          </cell>
          <cell r="G442" t="str">
            <v>VALLEDUPAR</v>
          </cell>
        </row>
        <row r="443">
          <cell r="A443">
            <v>20770</v>
          </cell>
          <cell r="B443" t="str">
            <v>SAN MARTIN</v>
          </cell>
          <cell r="C443" t="str">
            <v>CESAR</v>
          </cell>
          <cell r="D443" t="str">
            <v>BUCARAMANGA</v>
          </cell>
          <cell r="E443" t="str">
            <v>LEJANA</v>
          </cell>
          <cell r="F443" t="str">
            <v>TERRESTRE</v>
          </cell>
          <cell r="G443" t="str">
            <v>BUCARAMANGA</v>
          </cell>
        </row>
        <row r="444">
          <cell r="A444">
            <v>20011</v>
          </cell>
          <cell r="B444" t="str">
            <v>AGUACHICA</v>
          </cell>
          <cell r="C444" t="str">
            <v>CESAR</v>
          </cell>
          <cell r="D444" t="str">
            <v>VALLEDUPAR</v>
          </cell>
          <cell r="E444" t="str">
            <v>LEJANA</v>
          </cell>
          <cell r="F444" t="str">
            <v>TERRESTRE</v>
          </cell>
          <cell r="G444" t="str">
            <v>BUCARAMANGA</v>
          </cell>
        </row>
        <row r="445">
          <cell r="A445">
            <v>20013</v>
          </cell>
          <cell r="B445" t="str">
            <v>AGUSTIN CODAZZI</v>
          </cell>
          <cell r="C445" t="str">
            <v>CESAR</v>
          </cell>
          <cell r="D445" t="str">
            <v>VALLEDUPAR</v>
          </cell>
          <cell r="E445" t="str">
            <v>INTERMEDIA</v>
          </cell>
          <cell r="F445" t="str">
            <v>TERRESTRE</v>
          </cell>
          <cell r="G445" t="str">
            <v>VALLEDUPAR</v>
          </cell>
        </row>
        <row r="446">
          <cell r="A446">
            <v>20032</v>
          </cell>
          <cell r="B446" t="str">
            <v>ASTREA</v>
          </cell>
          <cell r="C446" t="str">
            <v>CESAR</v>
          </cell>
          <cell r="D446" t="str">
            <v>VALLEDUPAR</v>
          </cell>
          <cell r="E446" t="str">
            <v>LEJANA</v>
          </cell>
          <cell r="F446" t="str">
            <v>TERRESTRE</v>
          </cell>
          <cell r="G446" t="str">
            <v>VALLEDUPAR</v>
          </cell>
        </row>
        <row r="447">
          <cell r="A447">
            <v>20045</v>
          </cell>
          <cell r="B447" t="str">
            <v>BECERRIL</v>
          </cell>
          <cell r="C447" t="str">
            <v>CESAR</v>
          </cell>
          <cell r="D447" t="str">
            <v>VALLEDUPAR</v>
          </cell>
          <cell r="E447" t="str">
            <v>INTERMEDIA</v>
          </cell>
          <cell r="F447" t="str">
            <v>TERRESTRE</v>
          </cell>
          <cell r="G447" t="str">
            <v>VALLEDUPAR</v>
          </cell>
        </row>
        <row r="448">
          <cell r="A448">
            <v>20060</v>
          </cell>
          <cell r="B448" t="str">
            <v>BOSCONIA</v>
          </cell>
          <cell r="C448" t="str">
            <v>CESAR</v>
          </cell>
          <cell r="D448" t="str">
            <v>VALLEDUPAR</v>
          </cell>
          <cell r="E448" t="str">
            <v>INTERMEDIA</v>
          </cell>
          <cell r="F448" t="str">
            <v>TERRESTRE</v>
          </cell>
          <cell r="G448" t="str">
            <v>VALLEDUPAR</v>
          </cell>
        </row>
        <row r="449">
          <cell r="A449">
            <v>20175</v>
          </cell>
          <cell r="B449" t="str">
            <v>CHIMICHAGUA</v>
          </cell>
          <cell r="C449" t="str">
            <v>CESAR</v>
          </cell>
          <cell r="D449" t="str">
            <v>VALLEDUPAR</v>
          </cell>
          <cell r="E449" t="str">
            <v>LEJANA</v>
          </cell>
          <cell r="F449" t="str">
            <v>TERRESTRE</v>
          </cell>
          <cell r="G449" t="str">
            <v>VALLEDUPAR</v>
          </cell>
        </row>
        <row r="450">
          <cell r="A450">
            <v>20178</v>
          </cell>
          <cell r="B450" t="str">
            <v>CHIRIGUANA</v>
          </cell>
          <cell r="C450" t="str">
            <v>CESAR</v>
          </cell>
          <cell r="D450" t="str">
            <v>VALLEDUPAR</v>
          </cell>
          <cell r="E450" t="str">
            <v>LEJANA</v>
          </cell>
          <cell r="F450" t="str">
            <v>TERRESTRE</v>
          </cell>
          <cell r="G450" t="str">
            <v>VALLEDUPAR</v>
          </cell>
        </row>
        <row r="451">
          <cell r="A451">
            <v>20228</v>
          </cell>
          <cell r="B451" t="str">
            <v>CURUMANI</v>
          </cell>
          <cell r="C451" t="str">
            <v>CESAR</v>
          </cell>
          <cell r="D451" t="str">
            <v>VALLEDUPAR</v>
          </cell>
          <cell r="E451" t="str">
            <v>LEJANA</v>
          </cell>
          <cell r="F451" t="str">
            <v>TERRESTRE</v>
          </cell>
          <cell r="G451" t="str">
            <v>BUCARAMANGA</v>
          </cell>
        </row>
        <row r="452">
          <cell r="A452">
            <v>20238</v>
          </cell>
          <cell r="B452" t="str">
            <v>EL COPEY</v>
          </cell>
          <cell r="C452" t="str">
            <v>CESAR</v>
          </cell>
          <cell r="D452" t="str">
            <v>VALLEDUPAR</v>
          </cell>
          <cell r="E452" t="str">
            <v>INTERMEDIA</v>
          </cell>
          <cell r="F452" t="str">
            <v>TERRESTRE</v>
          </cell>
          <cell r="G452" t="str">
            <v>VALLEDUPAR</v>
          </cell>
        </row>
        <row r="453">
          <cell r="A453">
            <v>20250</v>
          </cell>
          <cell r="B453" t="str">
            <v>EL PASO</v>
          </cell>
          <cell r="C453" t="str">
            <v>CESAR</v>
          </cell>
          <cell r="D453" t="str">
            <v>VALLEDUPAR</v>
          </cell>
          <cell r="E453" t="str">
            <v>LEJANA</v>
          </cell>
          <cell r="F453" t="str">
            <v>TERRESTRE</v>
          </cell>
          <cell r="G453" t="str">
            <v>VALLEDUPAR</v>
          </cell>
        </row>
        <row r="454">
          <cell r="A454">
            <v>20295</v>
          </cell>
          <cell r="B454" t="str">
            <v>GAMARRA</v>
          </cell>
          <cell r="C454" t="str">
            <v>CESAR</v>
          </cell>
          <cell r="D454" t="str">
            <v>VALLEDUPAR</v>
          </cell>
          <cell r="E454" t="str">
            <v>LEJANA</v>
          </cell>
          <cell r="F454" t="str">
            <v>TERRESTRE</v>
          </cell>
          <cell r="G454" t="str">
            <v>VALLEDUPAR</v>
          </cell>
        </row>
        <row r="455">
          <cell r="A455">
            <v>20310</v>
          </cell>
          <cell r="B455" t="str">
            <v>GONZALEZ</v>
          </cell>
          <cell r="C455" t="str">
            <v>CESAR</v>
          </cell>
          <cell r="D455" t="str">
            <v>VALLEDUPAR</v>
          </cell>
          <cell r="E455" t="str">
            <v>LEJANA</v>
          </cell>
          <cell r="F455" t="str">
            <v>TERRESTRE</v>
          </cell>
          <cell r="G455" t="str">
            <v>VALLEDUPAR</v>
          </cell>
        </row>
        <row r="456">
          <cell r="A456">
            <v>20383</v>
          </cell>
          <cell r="B456" t="str">
            <v>LA GLORIA</v>
          </cell>
          <cell r="C456" t="str">
            <v>CESAR</v>
          </cell>
          <cell r="D456" t="str">
            <v>VALLEDUPAR</v>
          </cell>
          <cell r="E456" t="str">
            <v>LEJANA</v>
          </cell>
          <cell r="F456" t="str">
            <v>TERRESTRE</v>
          </cell>
          <cell r="G456" t="str">
            <v>BUCARAMANGA</v>
          </cell>
        </row>
        <row r="457">
          <cell r="A457">
            <v>20400</v>
          </cell>
          <cell r="B457" t="str">
            <v>LA JAGUA DE IBIRICO</v>
          </cell>
          <cell r="C457" t="str">
            <v>CESAR</v>
          </cell>
          <cell r="D457" t="str">
            <v>VALLEDUPAR</v>
          </cell>
          <cell r="E457" t="str">
            <v>LEJANA</v>
          </cell>
          <cell r="F457" t="str">
            <v>TERRESTRE</v>
          </cell>
          <cell r="G457" t="str">
            <v>VALLEDUPAR</v>
          </cell>
        </row>
        <row r="458">
          <cell r="A458">
            <v>20517</v>
          </cell>
          <cell r="B458" t="str">
            <v>PAILITAS</v>
          </cell>
          <cell r="C458" t="str">
            <v>CESAR</v>
          </cell>
          <cell r="D458" t="str">
            <v>VALLEDUPAR</v>
          </cell>
          <cell r="E458" t="str">
            <v>LEJANA</v>
          </cell>
          <cell r="F458" t="str">
            <v>TERRESTRE</v>
          </cell>
          <cell r="G458" t="str">
            <v>BUCARAMANGA</v>
          </cell>
        </row>
        <row r="459">
          <cell r="A459">
            <v>20550</v>
          </cell>
          <cell r="B459" t="str">
            <v>PELAYA</v>
          </cell>
          <cell r="C459" t="str">
            <v>CESAR</v>
          </cell>
          <cell r="D459" t="str">
            <v>VALLEDUPAR</v>
          </cell>
          <cell r="E459" t="str">
            <v>LEJANA</v>
          </cell>
          <cell r="F459" t="str">
            <v>TERRESTRE</v>
          </cell>
          <cell r="G459" t="str">
            <v>BUCARAMANGA</v>
          </cell>
        </row>
        <row r="460">
          <cell r="A460">
            <v>20570</v>
          </cell>
          <cell r="B460" t="str">
            <v>PUEBLO BELLO</v>
          </cell>
          <cell r="C460" t="str">
            <v>CESAR</v>
          </cell>
          <cell r="D460" t="str">
            <v>VALLEDUPAR</v>
          </cell>
          <cell r="E460" t="str">
            <v>LEJANA</v>
          </cell>
          <cell r="F460" t="str">
            <v>TERRESTRE</v>
          </cell>
          <cell r="G460" t="str">
            <v>VALLEDUPAR</v>
          </cell>
        </row>
        <row r="461">
          <cell r="A461">
            <v>20614</v>
          </cell>
          <cell r="B461" t="str">
            <v>RIO DE ORO</v>
          </cell>
          <cell r="C461" t="str">
            <v>CESAR</v>
          </cell>
          <cell r="D461" t="str">
            <v>VALLEDUPAR</v>
          </cell>
          <cell r="E461" t="str">
            <v>LEJANA</v>
          </cell>
          <cell r="F461" t="str">
            <v>TERRESTRE</v>
          </cell>
          <cell r="G461" t="str">
            <v>CUCUTA</v>
          </cell>
        </row>
        <row r="462">
          <cell r="A462">
            <v>20710</v>
          </cell>
          <cell r="B462" t="str">
            <v>SAN ALBERTO</v>
          </cell>
          <cell r="C462" t="str">
            <v>CESAR</v>
          </cell>
          <cell r="D462" t="str">
            <v>BUCARAMANGA</v>
          </cell>
          <cell r="E462" t="str">
            <v>LEJANA</v>
          </cell>
          <cell r="F462" t="str">
            <v>TERRESTRE</v>
          </cell>
          <cell r="G462" t="str">
            <v>BUCARAMANGA</v>
          </cell>
        </row>
        <row r="463">
          <cell r="A463">
            <v>20750</v>
          </cell>
          <cell r="B463" t="str">
            <v>SAN DIEGO</v>
          </cell>
          <cell r="C463" t="str">
            <v>CESAR</v>
          </cell>
          <cell r="D463" t="str">
            <v>VALLEDUPAR</v>
          </cell>
          <cell r="E463" t="str">
            <v>INTERMEDIA</v>
          </cell>
          <cell r="F463" t="str">
            <v>TERRESTRE</v>
          </cell>
          <cell r="G463" t="str">
            <v>VALLEDUPAR</v>
          </cell>
        </row>
        <row r="464">
          <cell r="A464">
            <v>20787</v>
          </cell>
          <cell r="B464" t="str">
            <v>TAMALAMEQUE</v>
          </cell>
          <cell r="C464" t="str">
            <v>CESAR</v>
          </cell>
          <cell r="D464" t="str">
            <v>VALLEDUPAR</v>
          </cell>
          <cell r="E464" t="str">
            <v>LEJANA</v>
          </cell>
          <cell r="F464" t="str">
            <v>TERRESTRE</v>
          </cell>
          <cell r="G464" t="str">
            <v>VALLEDUPAR</v>
          </cell>
        </row>
        <row r="465">
          <cell r="A465">
            <v>20001</v>
          </cell>
          <cell r="B465" t="str">
            <v>VALLEDUPAR</v>
          </cell>
          <cell r="C465" t="str">
            <v>CESAR</v>
          </cell>
          <cell r="D465" t="str">
            <v>VALLEDUPAR</v>
          </cell>
          <cell r="E465" t="str">
            <v>PRINCIPAL</v>
          </cell>
          <cell r="F465" t="str">
            <v>TERRESTRE</v>
          </cell>
          <cell r="G465" t="str">
            <v>VALLEDUPAR</v>
          </cell>
        </row>
        <row r="466">
          <cell r="A466">
            <v>27615</v>
          </cell>
          <cell r="B466" t="str">
            <v>RIOSUCIO</v>
          </cell>
          <cell r="C466" t="str">
            <v>CHOCO</v>
          </cell>
          <cell r="D466" t="str">
            <v>APARTADO</v>
          </cell>
          <cell r="E466" t="str">
            <v>LEJANA</v>
          </cell>
          <cell r="F466" t="str">
            <v>TERRESTRE/FLUVIAL</v>
          </cell>
          <cell r="G466" t="str">
            <v>APARTADO</v>
          </cell>
        </row>
        <row r="467">
          <cell r="A467">
            <v>27006</v>
          </cell>
          <cell r="B467" t="str">
            <v>ACANDI</v>
          </cell>
          <cell r="C467" t="str">
            <v>CHOCO</v>
          </cell>
          <cell r="D467" t="str">
            <v>APARTADO</v>
          </cell>
          <cell r="E467" t="str">
            <v>LEJANA</v>
          </cell>
          <cell r="F467" t="str">
            <v>AEREO</v>
          </cell>
          <cell r="G467" t="str">
            <v>APARTADO</v>
          </cell>
        </row>
        <row r="468">
          <cell r="A468">
            <v>27025</v>
          </cell>
          <cell r="B468" t="str">
            <v>ALTO BAUDO</v>
          </cell>
          <cell r="C468" t="str">
            <v>CHOCO</v>
          </cell>
          <cell r="D468" t="str">
            <v>MEDELLIN</v>
          </cell>
          <cell r="E468" t="str">
            <v>LEJANA</v>
          </cell>
          <cell r="F468" t="str">
            <v>AEREO</v>
          </cell>
          <cell r="G468" t="str">
            <v>MEDELLIN</v>
          </cell>
        </row>
        <row r="469">
          <cell r="A469">
            <v>27050</v>
          </cell>
          <cell r="B469" t="str">
            <v>ATRATO</v>
          </cell>
          <cell r="C469" t="str">
            <v>CHOCO</v>
          </cell>
          <cell r="D469" t="str">
            <v>APARTADO</v>
          </cell>
          <cell r="E469" t="str">
            <v>LEJANA</v>
          </cell>
          <cell r="F469" t="str">
            <v>TERRESTRE / AEREO</v>
          </cell>
          <cell r="G469" t="str">
            <v>APARTADO</v>
          </cell>
        </row>
        <row r="470">
          <cell r="A470">
            <v>27073</v>
          </cell>
          <cell r="B470" t="str">
            <v>BAGADO</v>
          </cell>
          <cell r="C470" t="str">
            <v>CHOCO</v>
          </cell>
          <cell r="D470" t="str">
            <v>MEDELLIN</v>
          </cell>
          <cell r="E470" t="str">
            <v>LEJANA</v>
          </cell>
          <cell r="F470" t="str">
            <v>AEREO</v>
          </cell>
          <cell r="G470" t="str">
            <v>MEDELLIN</v>
          </cell>
        </row>
        <row r="471">
          <cell r="A471">
            <v>27075</v>
          </cell>
          <cell r="B471" t="str">
            <v>BAHIA SOLANO</v>
          </cell>
          <cell r="C471" t="str">
            <v>CHOCO</v>
          </cell>
          <cell r="D471" t="str">
            <v>MEDELLIN</v>
          </cell>
          <cell r="E471" t="str">
            <v>LEJANA</v>
          </cell>
          <cell r="F471" t="str">
            <v>AEREO</v>
          </cell>
          <cell r="G471" t="str">
            <v>MEDELLIN</v>
          </cell>
        </row>
        <row r="472">
          <cell r="A472">
            <v>27077</v>
          </cell>
          <cell r="B472" t="str">
            <v>BAJO BAUDO</v>
          </cell>
          <cell r="C472" t="str">
            <v>CHOCO</v>
          </cell>
          <cell r="D472" t="str">
            <v>APARTADO</v>
          </cell>
          <cell r="E472" t="str">
            <v>LEJANA</v>
          </cell>
          <cell r="F472" t="str">
            <v>AEREO</v>
          </cell>
          <cell r="G472" t="str">
            <v>APARTADO</v>
          </cell>
        </row>
        <row r="473">
          <cell r="A473">
            <v>27086</v>
          </cell>
          <cell r="B473" t="str">
            <v>BELEN DE BAJIRA</v>
          </cell>
          <cell r="C473" t="str">
            <v>CHOCO</v>
          </cell>
          <cell r="D473" t="str">
            <v>APARTADO</v>
          </cell>
          <cell r="E473" t="str">
            <v>LEJANA</v>
          </cell>
          <cell r="F473" t="str">
            <v>TERRESTRE</v>
          </cell>
          <cell r="G473" t="str">
            <v>APARTADO</v>
          </cell>
        </row>
        <row r="474">
          <cell r="A474">
            <v>27099</v>
          </cell>
          <cell r="B474" t="str">
            <v>BOJAYA</v>
          </cell>
          <cell r="C474" t="str">
            <v>CHOCO</v>
          </cell>
          <cell r="D474" t="str">
            <v>MEDELLIN</v>
          </cell>
          <cell r="E474" t="str">
            <v>LEJANA</v>
          </cell>
          <cell r="F474" t="str">
            <v>AEREO</v>
          </cell>
          <cell r="G474" t="str">
            <v>MEDELLIN</v>
          </cell>
        </row>
        <row r="475">
          <cell r="A475">
            <v>27150</v>
          </cell>
          <cell r="B475" t="str">
            <v>CARMEN DEL DARIEN</v>
          </cell>
          <cell r="C475" t="str">
            <v>CHOCO</v>
          </cell>
          <cell r="D475" t="str">
            <v>APARTADO</v>
          </cell>
          <cell r="E475" t="str">
            <v>LEJANA</v>
          </cell>
          <cell r="F475" t="str">
            <v>TERRESTRE</v>
          </cell>
          <cell r="G475" t="str">
            <v>APARTADO</v>
          </cell>
        </row>
        <row r="476">
          <cell r="A476">
            <v>27160</v>
          </cell>
          <cell r="B476" t="str">
            <v>CERTEGUI</v>
          </cell>
          <cell r="C476" t="str">
            <v>CHOCO</v>
          </cell>
          <cell r="D476" t="str">
            <v>APARTADO</v>
          </cell>
          <cell r="E476" t="str">
            <v>LEJANA</v>
          </cell>
          <cell r="F476" t="str">
            <v>TERRESTRE</v>
          </cell>
          <cell r="G476" t="str">
            <v>APARTADO</v>
          </cell>
        </row>
        <row r="477">
          <cell r="A477">
            <v>27205</v>
          </cell>
          <cell r="B477" t="str">
            <v>CONDOTO</v>
          </cell>
          <cell r="C477" t="str">
            <v>CHOCO</v>
          </cell>
          <cell r="D477" t="str">
            <v>MEDELLIN</v>
          </cell>
          <cell r="E477" t="str">
            <v>LEJANA</v>
          </cell>
          <cell r="F477" t="str">
            <v>AEREO</v>
          </cell>
          <cell r="G477" t="str">
            <v>MEDELLIN</v>
          </cell>
        </row>
        <row r="478">
          <cell r="A478">
            <v>27135</v>
          </cell>
          <cell r="B478" t="str">
            <v>EL CANTON DEL SAN PABLO</v>
          </cell>
          <cell r="C478" t="str">
            <v>CHOCO</v>
          </cell>
          <cell r="D478" t="str">
            <v>APARTADO</v>
          </cell>
          <cell r="E478" t="str">
            <v>LEJANA</v>
          </cell>
          <cell r="F478" t="str">
            <v>TERRESTRE</v>
          </cell>
          <cell r="G478" t="str">
            <v>APARTADO</v>
          </cell>
        </row>
        <row r="479">
          <cell r="A479">
            <v>27245</v>
          </cell>
          <cell r="B479" t="str">
            <v>EL CARMEN DE ATRATO</v>
          </cell>
          <cell r="C479" t="str">
            <v>CHOCO</v>
          </cell>
          <cell r="D479" t="str">
            <v>MEDELLIN</v>
          </cell>
          <cell r="E479" t="str">
            <v>LEJANA</v>
          </cell>
          <cell r="F479" t="str">
            <v>TERRESTRE</v>
          </cell>
          <cell r="G479" t="str">
            <v>MEDELLIN</v>
          </cell>
        </row>
        <row r="480">
          <cell r="A480">
            <v>27250</v>
          </cell>
          <cell r="B480" t="str">
            <v>EL LITORAL DEL SAN JUAN</v>
          </cell>
          <cell r="C480" t="str">
            <v>CHOCO</v>
          </cell>
          <cell r="D480" t="str">
            <v>CALI</v>
          </cell>
          <cell r="E480" t="str">
            <v>LEJANA</v>
          </cell>
          <cell r="F480" t="str">
            <v>TERRESTRE / FLUVIAL</v>
          </cell>
          <cell r="G480" t="str">
            <v>CALI</v>
          </cell>
        </row>
        <row r="481">
          <cell r="A481">
            <v>27361</v>
          </cell>
          <cell r="B481" t="str">
            <v>ISTMINA</v>
          </cell>
          <cell r="C481" t="str">
            <v>CHOCO</v>
          </cell>
          <cell r="D481" t="str">
            <v>MEDELLIN</v>
          </cell>
          <cell r="E481" t="str">
            <v>LEJANA</v>
          </cell>
          <cell r="F481" t="str">
            <v>AEREO</v>
          </cell>
          <cell r="G481" t="str">
            <v>MEDELLIN</v>
          </cell>
        </row>
        <row r="482">
          <cell r="A482">
            <v>27372</v>
          </cell>
          <cell r="B482" t="str">
            <v>JURADO</v>
          </cell>
          <cell r="C482" t="str">
            <v>CHOCO</v>
          </cell>
          <cell r="D482" t="str">
            <v>APARTADO</v>
          </cell>
          <cell r="E482" t="str">
            <v>LEJANA</v>
          </cell>
          <cell r="F482" t="str">
            <v>FLUVIAL</v>
          </cell>
          <cell r="G482" t="str">
            <v>APARTADO</v>
          </cell>
        </row>
        <row r="483">
          <cell r="A483">
            <v>27413</v>
          </cell>
          <cell r="B483" t="str">
            <v>LLORO</v>
          </cell>
          <cell r="C483" t="str">
            <v>CHOCO</v>
          </cell>
          <cell r="D483" t="str">
            <v>APARTADO</v>
          </cell>
          <cell r="E483" t="str">
            <v>LEJANA</v>
          </cell>
          <cell r="F483" t="str">
            <v>TERRESTRE</v>
          </cell>
          <cell r="G483" t="str">
            <v>APARTADO</v>
          </cell>
        </row>
        <row r="484">
          <cell r="A484">
            <v>27425</v>
          </cell>
          <cell r="B484" t="str">
            <v>MEDIO ATRATO</v>
          </cell>
          <cell r="C484" t="str">
            <v>CHOCO</v>
          </cell>
          <cell r="D484" t="str">
            <v>APARTADO</v>
          </cell>
          <cell r="E484" t="str">
            <v>LEJANA</v>
          </cell>
          <cell r="F484" t="str">
            <v>TERRESTRE</v>
          </cell>
          <cell r="G484" t="str">
            <v>APARTADO</v>
          </cell>
        </row>
        <row r="485">
          <cell r="A485">
            <v>27430</v>
          </cell>
          <cell r="B485" t="str">
            <v>MEDIO BAUDO</v>
          </cell>
          <cell r="C485" t="str">
            <v>CHOCO</v>
          </cell>
          <cell r="D485" t="str">
            <v>APARTADO</v>
          </cell>
          <cell r="E485" t="str">
            <v>LEJANA</v>
          </cell>
          <cell r="F485" t="str">
            <v>TERRESTRE</v>
          </cell>
          <cell r="G485" t="str">
            <v>APARTADO</v>
          </cell>
        </row>
        <row r="486">
          <cell r="A486">
            <v>27450</v>
          </cell>
          <cell r="B486" t="str">
            <v>MEDIO SAN JUAN</v>
          </cell>
          <cell r="C486" t="str">
            <v>CHOCO</v>
          </cell>
          <cell r="D486" t="str">
            <v>APARTADO</v>
          </cell>
          <cell r="E486" t="str">
            <v>LEJANA</v>
          </cell>
          <cell r="F486" t="str">
            <v>TERRESTRE</v>
          </cell>
          <cell r="G486" t="str">
            <v>APARTADO</v>
          </cell>
        </row>
        <row r="487">
          <cell r="A487">
            <v>27491</v>
          </cell>
          <cell r="B487" t="str">
            <v>NOVITA</v>
          </cell>
          <cell r="C487" t="str">
            <v>CHOCO</v>
          </cell>
          <cell r="D487" t="str">
            <v>MEDELLIN</v>
          </cell>
          <cell r="E487" t="str">
            <v>LEJANA</v>
          </cell>
          <cell r="F487" t="str">
            <v>AEREO</v>
          </cell>
          <cell r="G487" t="str">
            <v>MEDELLIN</v>
          </cell>
        </row>
        <row r="488">
          <cell r="A488">
            <v>27495</v>
          </cell>
          <cell r="B488" t="str">
            <v>NUQUI</v>
          </cell>
          <cell r="C488" t="str">
            <v>CHOCO</v>
          </cell>
          <cell r="D488" t="str">
            <v>MEDELLIN</v>
          </cell>
          <cell r="E488" t="str">
            <v>LEJANA</v>
          </cell>
          <cell r="F488" t="str">
            <v>AEREO</v>
          </cell>
          <cell r="G488" t="str">
            <v>MEDELLIN</v>
          </cell>
        </row>
        <row r="489">
          <cell r="A489">
            <v>27001</v>
          </cell>
          <cell r="B489" t="str">
            <v>QUIBDO</v>
          </cell>
          <cell r="C489" t="str">
            <v>CHOCO</v>
          </cell>
          <cell r="D489" t="str">
            <v>MEDELLIN</v>
          </cell>
          <cell r="E489" t="str">
            <v>LEJANA</v>
          </cell>
          <cell r="F489" t="str">
            <v>AEREO</v>
          </cell>
          <cell r="G489" t="str">
            <v>MEDELLIN</v>
          </cell>
        </row>
        <row r="490">
          <cell r="A490">
            <v>27580</v>
          </cell>
          <cell r="B490" t="str">
            <v>RIO IRO</v>
          </cell>
          <cell r="C490" t="str">
            <v>CHOCO</v>
          </cell>
          <cell r="D490" t="str">
            <v>APARTADO</v>
          </cell>
          <cell r="E490" t="str">
            <v>LEJANA</v>
          </cell>
          <cell r="F490" t="str">
            <v>TERRESTRE</v>
          </cell>
          <cell r="G490" t="str">
            <v>APARTADO</v>
          </cell>
        </row>
        <row r="491">
          <cell r="A491">
            <v>27600</v>
          </cell>
          <cell r="B491" t="str">
            <v>RIO QUITO</v>
          </cell>
          <cell r="C491" t="str">
            <v>CHOCO</v>
          </cell>
          <cell r="D491" t="str">
            <v>MEDELLIN</v>
          </cell>
          <cell r="E491" t="str">
            <v>LEJANA</v>
          </cell>
          <cell r="F491" t="str">
            <v>AEREO</v>
          </cell>
          <cell r="G491" t="str">
            <v>MEDELLIN</v>
          </cell>
        </row>
        <row r="492">
          <cell r="A492">
            <v>27660</v>
          </cell>
          <cell r="B492" t="str">
            <v>SAN JOSE DEL PALMAR</v>
          </cell>
          <cell r="C492" t="str">
            <v>CHOCO</v>
          </cell>
          <cell r="D492" t="str">
            <v>PEREIRA</v>
          </cell>
          <cell r="E492" t="str">
            <v>LEJANA</v>
          </cell>
          <cell r="F492" t="str">
            <v>TERRESTRE</v>
          </cell>
          <cell r="G492" t="str">
            <v>PEREIRA</v>
          </cell>
        </row>
        <row r="493">
          <cell r="A493">
            <v>27745</v>
          </cell>
          <cell r="B493" t="str">
            <v>SIPI</v>
          </cell>
          <cell r="C493" t="str">
            <v>CHOCO</v>
          </cell>
          <cell r="D493" t="str">
            <v>MEDELLIN</v>
          </cell>
          <cell r="E493" t="str">
            <v>LEJANA</v>
          </cell>
          <cell r="F493" t="str">
            <v>AEREO</v>
          </cell>
          <cell r="G493" t="str">
            <v>MEDELLIN</v>
          </cell>
        </row>
        <row r="494">
          <cell r="A494">
            <v>27787</v>
          </cell>
          <cell r="B494" t="str">
            <v>TADO</v>
          </cell>
          <cell r="C494" t="str">
            <v>CHOCO</v>
          </cell>
          <cell r="D494" t="str">
            <v>MEDELLIN</v>
          </cell>
          <cell r="E494" t="str">
            <v>LEJANA</v>
          </cell>
          <cell r="F494" t="str">
            <v>AEREO</v>
          </cell>
          <cell r="G494" t="str">
            <v>MEDELLIN</v>
          </cell>
        </row>
        <row r="495">
          <cell r="A495">
            <v>27800</v>
          </cell>
          <cell r="B495" t="str">
            <v>UNGUIA</v>
          </cell>
          <cell r="C495" t="str">
            <v>CHOCO</v>
          </cell>
          <cell r="D495" t="str">
            <v>APARTADO</v>
          </cell>
          <cell r="E495" t="str">
            <v>LEJANA</v>
          </cell>
          <cell r="F495" t="str">
            <v>FLUVIAL</v>
          </cell>
          <cell r="G495" t="str">
            <v>APARTADO</v>
          </cell>
        </row>
        <row r="496">
          <cell r="A496">
            <v>27810</v>
          </cell>
          <cell r="B496" t="str">
            <v>UNION PANAMERICANA</v>
          </cell>
          <cell r="C496" t="str">
            <v>CHOCO</v>
          </cell>
          <cell r="D496" t="str">
            <v>APARTADO</v>
          </cell>
          <cell r="E496" t="str">
            <v>LEJANA</v>
          </cell>
          <cell r="F496" t="str">
            <v>TERRESTRE</v>
          </cell>
          <cell r="G496" t="str">
            <v>APARTADO</v>
          </cell>
        </row>
        <row r="497">
          <cell r="A497">
            <v>23079</v>
          </cell>
          <cell r="B497" t="str">
            <v>BUENAVISTA</v>
          </cell>
          <cell r="C497" t="str">
            <v>CORDOBA</v>
          </cell>
          <cell r="D497" t="str">
            <v>MONTERIA</v>
          </cell>
          <cell r="E497" t="str">
            <v>INTERMEDIA</v>
          </cell>
          <cell r="F497" t="str">
            <v>TERRESTRE</v>
          </cell>
          <cell r="G497" t="str">
            <v>MONTERIA</v>
          </cell>
        </row>
        <row r="498">
          <cell r="A498">
            <v>23168</v>
          </cell>
          <cell r="B498" t="str">
            <v>CHIMA</v>
          </cell>
          <cell r="C498" t="str">
            <v>CORDOBA</v>
          </cell>
          <cell r="D498" t="str">
            <v>MONTERIA</v>
          </cell>
          <cell r="E498" t="str">
            <v>LEJANA</v>
          </cell>
          <cell r="F498" t="str">
            <v>TERRESTRE</v>
          </cell>
          <cell r="G498" t="str">
            <v>MONTERIA</v>
          </cell>
        </row>
        <row r="499">
          <cell r="A499">
            <v>23678</v>
          </cell>
          <cell r="B499" t="str">
            <v>SAN CARLOS</v>
          </cell>
          <cell r="C499" t="str">
            <v>CORDOBA</v>
          </cell>
          <cell r="D499" t="str">
            <v>MONTERIA</v>
          </cell>
          <cell r="E499" t="str">
            <v>INTERMEDIA</v>
          </cell>
          <cell r="F499" t="str">
            <v>TERRESTRE</v>
          </cell>
          <cell r="G499" t="str">
            <v>MONTERIA</v>
          </cell>
        </row>
        <row r="500">
          <cell r="A500">
            <v>23068</v>
          </cell>
          <cell r="B500" t="str">
            <v>AYAPEL</v>
          </cell>
          <cell r="C500" t="str">
            <v>CORDOBA</v>
          </cell>
          <cell r="D500" t="str">
            <v>MONTERIA</v>
          </cell>
          <cell r="E500" t="str">
            <v>LEJANA</v>
          </cell>
          <cell r="F500" t="str">
            <v>TERRESTRE</v>
          </cell>
          <cell r="G500" t="str">
            <v>MONTERIA</v>
          </cell>
        </row>
        <row r="501">
          <cell r="A501">
            <v>23090</v>
          </cell>
          <cell r="B501" t="str">
            <v>CANALETE</v>
          </cell>
          <cell r="C501" t="str">
            <v>CORDOBA</v>
          </cell>
          <cell r="D501" t="str">
            <v>MONTERIA</v>
          </cell>
          <cell r="E501" t="str">
            <v>INTERMEDIA</v>
          </cell>
          <cell r="F501" t="str">
            <v>TERRESTRE</v>
          </cell>
          <cell r="G501" t="str">
            <v>MONTERIA</v>
          </cell>
        </row>
        <row r="502">
          <cell r="A502">
            <v>23162</v>
          </cell>
          <cell r="B502" t="str">
            <v>CERETE</v>
          </cell>
          <cell r="C502" t="str">
            <v>CORDOBA</v>
          </cell>
          <cell r="D502" t="str">
            <v>MONTERIA</v>
          </cell>
          <cell r="E502" t="str">
            <v>PRINCIPAL</v>
          </cell>
          <cell r="F502" t="str">
            <v>TERRESTRE</v>
          </cell>
          <cell r="G502" t="str">
            <v>MONTERIA</v>
          </cell>
        </row>
        <row r="503">
          <cell r="A503">
            <v>23182</v>
          </cell>
          <cell r="B503" t="str">
            <v>CHINU</v>
          </cell>
          <cell r="C503" t="str">
            <v>CORDOBA</v>
          </cell>
          <cell r="D503" t="str">
            <v>MONTERIA</v>
          </cell>
          <cell r="E503" t="str">
            <v>INTERMEDIA</v>
          </cell>
          <cell r="F503" t="str">
            <v>TERRESTRE</v>
          </cell>
          <cell r="G503" t="str">
            <v>MONTERIA</v>
          </cell>
        </row>
        <row r="504">
          <cell r="A504">
            <v>23189</v>
          </cell>
          <cell r="B504" t="str">
            <v>CIENAGA DE ORO</v>
          </cell>
          <cell r="C504" t="str">
            <v>CORDOBA</v>
          </cell>
          <cell r="D504" t="str">
            <v>MONTERIA</v>
          </cell>
          <cell r="E504" t="str">
            <v>INTERMEDIA</v>
          </cell>
          <cell r="F504" t="str">
            <v>TERRESTRE</v>
          </cell>
          <cell r="G504" t="str">
            <v>MONTERIA</v>
          </cell>
        </row>
        <row r="505">
          <cell r="A505">
            <v>23300</v>
          </cell>
          <cell r="B505" t="str">
            <v>COTORRA</v>
          </cell>
          <cell r="C505" t="str">
            <v>CORDOBA</v>
          </cell>
          <cell r="D505" t="str">
            <v>MONTERIA</v>
          </cell>
          <cell r="E505" t="str">
            <v>INTERMEDIA</v>
          </cell>
          <cell r="F505" t="str">
            <v>TERRESTRE</v>
          </cell>
          <cell r="G505" t="str">
            <v>MONTERIA</v>
          </cell>
        </row>
        <row r="506">
          <cell r="A506">
            <v>23350</v>
          </cell>
          <cell r="B506" t="str">
            <v>LA APARTADA</v>
          </cell>
          <cell r="C506" t="str">
            <v>CORDOBA</v>
          </cell>
          <cell r="D506" t="str">
            <v>MONTERIA</v>
          </cell>
          <cell r="E506" t="str">
            <v>INTERMEDIA</v>
          </cell>
          <cell r="F506" t="str">
            <v>TERRESTRE</v>
          </cell>
          <cell r="G506" t="str">
            <v>MONTERIA</v>
          </cell>
        </row>
        <row r="507">
          <cell r="A507">
            <v>23417</v>
          </cell>
          <cell r="B507" t="str">
            <v>LORICA</v>
          </cell>
          <cell r="C507" t="str">
            <v>CORDOBA</v>
          </cell>
          <cell r="D507" t="str">
            <v>MONTERIA</v>
          </cell>
          <cell r="E507" t="str">
            <v>INTERMEDIA</v>
          </cell>
          <cell r="F507" t="str">
            <v>TERRESTRE</v>
          </cell>
          <cell r="G507" t="str">
            <v>MONTERIA</v>
          </cell>
        </row>
        <row r="508">
          <cell r="A508">
            <v>23419</v>
          </cell>
          <cell r="B508" t="str">
            <v>LOS CORDOBAS</v>
          </cell>
          <cell r="C508" t="str">
            <v>CORDOBA</v>
          </cell>
          <cell r="D508" t="str">
            <v>MONTERIA</v>
          </cell>
          <cell r="E508" t="str">
            <v>INTERMEDIA</v>
          </cell>
          <cell r="F508" t="str">
            <v>TERRESTRE</v>
          </cell>
          <cell r="G508" t="str">
            <v>MONTERIA</v>
          </cell>
        </row>
        <row r="509">
          <cell r="A509">
            <v>23464</v>
          </cell>
          <cell r="B509" t="str">
            <v>MOMIL</v>
          </cell>
          <cell r="C509" t="str">
            <v>CORDOBA</v>
          </cell>
          <cell r="D509" t="str">
            <v>MONTERIA</v>
          </cell>
          <cell r="E509" t="str">
            <v>INTERMEDIA</v>
          </cell>
          <cell r="F509" t="str">
            <v>TERRESTRE</v>
          </cell>
          <cell r="G509" t="str">
            <v>MONTERIA</v>
          </cell>
        </row>
        <row r="510">
          <cell r="A510">
            <v>23466</v>
          </cell>
          <cell r="B510" t="str">
            <v>MONTELIBANO</v>
          </cell>
          <cell r="C510" t="str">
            <v>CORDOBA</v>
          </cell>
          <cell r="D510" t="str">
            <v>MONTERIA</v>
          </cell>
          <cell r="E510" t="str">
            <v>LEJANA</v>
          </cell>
          <cell r="F510" t="str">
            <v>TERRESTRE</v>
          </cell>
          <cell r="G510" t="str">
            <v>MONTERIA</v>
          </cell>
        </row>
        <row r="511">
          <cell r="A511">
            <v>23001</v>
          </cell>
          <cell r="B511" t="str">
            <v>MONTERIA</v>
          </cell>
          <cell r="C511" t="str">
            <v>CORDOBA</v>
          </cell>
          <cell r="D511" t="str">
            <v>MONTERIA</v>
          </cell>
          <cell r="E511" t="str">
            <v>PRINCIPAL</v>
          </cell>
          <cell r="F511" t="str">
            <v>TERRESTRE</v>
          </cell>
          <cell r="G511" t="str">
            <v>MONTERIA</v>
          </cell>
        </row>
        <row r="512">
          <cell r="A512">
            <v>23500</v>
          </cell>
          <cell r="B512" t="str">
            <v>MOÑITOS</v>
          </cell>
          <cell r="C512" t="str">
            <v>CORDOBA</v>
          </cell>
          <cell r="D512" t="str">
            <v>MONTERIA</v>
          </cell>
          <cell r="E512" t="str">
            <v>LEJANA</v>
          </cell>
          <cell r="F512" t="str">
            <v>TERRESTRE</v>
          </cell>
          <cell r="G512" t="str">
            <v>MONTERIA</v>
          </cell>
        </row>
        <row r="513">
          <cell r="A513">
            <v>23555</v>
          </cell>
          <cell r="B513" t="str">
            <v>PLANETA RICA</v>
          </cell>
          <cell r="C513" t="str">
            <v>CORDOBA</v>
          </cell>
          <cell r="D513" t="str">
            <v>MONTERIA</v>
          </cell>
          <cell r="E513" t="str">
            <v>INTERMEDIA</v>
          </cell>
          <cell r="F513" t="str">
            <v>TERRESTRE</v>
          </cell>
          <cell r="G513" t="str">
            <v>MONTERIA</v>
          </cell>
        </row>
        <row r="514">
          <cell r="A514">
            <v>23570</v>
          </cell>
          <cell r="B514" t="str">
            <v>PUEBLO NUEVO</v>
          </cell>
          <cell r="C514" t="str">
            <v>CORDOBA</v>
          </cell>
          <cell r="D514" t="str">
            <v>MONTERIA</v>
          </cell>
          <cell r="E514" t="str">
            <v>INTERMEDIA</v>
          </cell>
          <cell r="F514" t="str">
            <v>TERRESTRE</v>
          </cell>
          <cell r="G514" t="str">
            <v>MONTERIA</v>
          </cell>
        </row>
        <row r="515">
          <cell r="A515">
            <v>23574</v>
          </cell>
          <cell r="B515" t="str">
            <v>PUERTO ESCONDIDO</v>
          </cell>
          <cell r="C515" t="str">
            <v>CORDOBA</v>
          </cell>
          <cell r="D515" t="str">
            <v>MONTERIA</v>
          </cell>
          <cell r="E515" t="str">
            <v>LEJANA</v>
          </cell>
          <cell r="F515" t="str">
            <v>TERRESTRE</v>
          </cell>
          <cell r="G515" t="str">
            <v>MONTERIA</v>
          </cell>
        </row>
        <row r="516">
          <cell r="A516">
            <v>23580</v>
          </cell>
          <cell r="B516" t="str">
            <v>PUERTO LIBERTADOR</v>
          </cell>
          <cell r="C516" t="str">
            <v>CORDOBA</v>
          </cell>
          <cell r="D516" t="str">
            <v>MONTERIA</v>
          </cell>
          <cell r="E516" t="str">
            <v>LEJANA</v>
          </cell>
          <cell r="F516" t="str">
            <v>TERRESTRE</v>
          </cell>
          <cell r="G516" t="str">
            <v>MONTERIA</v>
          </cell>
        </row>
        <row r="517">
          <cell r="A517">
            <v>23586</v>
          </cell>
          <cell r="B517" t="str">
            <v>PURISIMA</v>
          </cell>
          <cell r="C517" t="str">
            <v>CORDOBA</v>
          </cell>
          <cell r="D517" t="str">
            <v>MONTERIA</v>
          </cell>
          <cell r="E517" t="str">
            <v>INTERMEDIA</v>
          </cell>
          <cell r="F517" t="str">
            <v>TERRESTRE</v>
          </cell>
          <cell r="G517" t="str">
            <v>MONTERIA</v>
          </cell>
        </row>
        <row r="518">
          <cell r="A518">
            <v>23660</v>
          </cell>
          <cell r="B518" t="str">
            <v>SAHAGUN</v>
          </cell>
          <cell r="C518" t="str">
            <v>CORDOBA</v>
          </cell>
          <cell r="D518" t="str">
            <v>MONTERIA</v>
          </cell>
          <cell r="E518" t="str">
            <v>INTERMEDIA</v>
          </cell>
          <cell r="F518" t="str">
            <v>TERRESTRE</v>
          </cell>
          <cell r="G518" t="str">
            <v>MONTERIA</v>
          </cell>
        </row>
        <row r="519">
          <cell r="A519">
            <v>23670</v>
          </cell>
          <cell r="B519" t="str">
            <v>SAN ANDRES SOTAVENTO</v>
          </cell>
          <cell r="C519" t="str">
            <v>CORDOBA</v>
          </cell>
          <cell r="D519" t="str">
            <v>MONTERIA</v>
          </cell>
          <cell r="E519" t="str">
            <v>INTERMEDIA</v>
          </cell>
          <cell r="F519" t="str">
            <v>TERRESTRE</v>
          </cell>
          <cell r="G519" t="str">
            <v>MONTERIA</v>
          </cell>
        </row>
        <row r="520">
          <cell r="A520">
            <v>23672</v>
          </cell>
          <cell r="B520" t="str">
            <v>SAN ANTERO</v>
          </cell>
          <cell r="C520" t="str">
            <v>CORDOBA</v>
          </cell>
          <cell r="D520" t="str">
            <v>MONTERIA</v>
          </cell>
          <cell r="E520" t="str">
            <v>INTERMEDIA</v>
          </cell>
          <cell r="F520" t="str">
            <v>TERRESTRE</v>
          </cell>
          <cell r="G520" t="str">
            <v>MONTERIA</v>
          </cell>
        </row>
        <row r="521">
          <cell r="A521">
            <v>23675</v>
          </cell>
          <cell r="B521" t="str">
            <v>SAN BERNARDO DEL VIENTO</v>
          </cell>
          <cell r="C521" t="str">
            <v>CORDOBA</v>
          </cell>
          <cell r="D521" t="str">
            <v>MONTERIA</v>
          </cell>
          <cell r="E521" t="str">
            <v>INTERMEDIA</v>
          </cell>
          <cell r="F521" t="str">
            <v>TERRESTRE</v>
          </cell>
          <cell r="G521" t="str">
            <v>MONTERIA</v>
          </cell>
        </row>
        <row r="522">
          <cell r="A522">
            <v>23686</v>
          </cell>
          <cell r="B522" t="str">
            <v>SAN PELAYO</v>
          </cell>
          <cell r="C522" t="str">
            <v>CORDOBA</v>
          </cell>
          <cell r="D522" t="str">
            <v>MONTERIA</v>
          </cell>
          <cell r="E522" t="str">
            <v>INTERMEDIA</v>
          </cell>
          <cell r="F522" t="str">
            <v>TERRESTRE</v>
          </cell>
          <cell r="G522" t="str">
            <v>MONTERIA</v>
          </cell>
        </row>
        <row r="523">
          <cell r="A523">
            <v>23807</v>
          </cell>
          <cell r="B523" t="str">
            <v>TIERRALTA</v>
          </cell>
          <cell r="C523" t="str">
            <v>CORDOBA</v>
          </cell>
          <cell r="D523" t="str">
            <v>MONTERIA</v>
          </cell>
          <cell r="E523" t="str">
            <v>LEJANA</v>
          </cell>
          <cell r="F523" t="str">
            <v>TERRESTRE</v>
          </cell>
          <cell r="G523" t="str">
            <v>MONTERIA</v>
          </cell>
        </row>
        <row r="524">
          <cell r="A524">
            <v>23855</v>
          </cell>
          <cell r="B524" t="str">
            <v>VALENCIA</v>
          </cell>
          <cell r="C524" t="str">
            <v>CORDOBA</v>
          </cell>
          <cell r="D524" t="str">
            <v>MONTERIA</v>
          </cell>
          <cell r="E524" t="str">
            <v>LEJANA</v>
          </cell>
          <cell r="F524" t="str">
            <v>TERRESTRE</v>
          </cell>
          <cell r="G524" t="str">
            <v>MONTERIA</v>
          </cell>
        </row>
        <row r="525">
          <cell r="A525">
            <v>25019</v>
          </cell>
          <cell r="B525" t="str">
            <v>ALBAN</v>
          </cell>
          <cell r="C525" t="str">
            <v>CUNDINAMARCA</v>
          </cell>
          <cell r="D525" t="str">
            <v>BOGOTA</v>
          </cell>
          <cell r="E525" t="str">
            <v>INTERMEDIA</v>
          </cell>
          <cell r="F525" t="str">
            <v>TERRESTRE</v>
          </cell>
          <cell r="G525" t="str">
            <v>BOGOTA</v>
          </cell>
        </row>
        <row r="526">
          <cell r="A526">
            <v>25120</v>
          </cell>
          <cell r="B526" t="str">
            <v>CABRERA</v>
          </cell>
          <cell r="C526" t="str">
            <v>CUNDINAMARCA</v>
          </cell>
          <cell r="D526" t="str">
            <v>BOGOTA</v>
          </cell>
          <cell r="E526" t="str">
            <v>LEJANA</v>
          </cell>
          <cell r="F526" t="str">
            <v>TERRESTRE</v>
          </cell>
          <cell r="G526" t="str">
            <v>BOGOTA</v>
          </cell>
        </row>
        <row r="527">
          <cell r="A527">
            <v>25258</v>
          </cell>
          <cell r="B527" t="str">
            <v>EL PEÑON</v>
          </cell>
          <cell r="C527" t="str">
            <v>CUNDINAMARCA</v>
          </cell>
          <cell r="D527" t="str">
            <v>BOGOTA</v>
          </cell>
          <cell r="E527" t="str">
            <v>LEJANA</v>
          </cell>
          <cell r="F527" t="str">
            <v>TERRESTRE</v>
          </cell>
          <cell r="G527" t="str">
            <v>BOGOTA</v>
          </cell>
        </row>
        <row r="528">
          <cell r="A528">
            <v>25312</v>
          </cell>
          <cell r="B528" t="str">
            <v>GRANADA</v>
          </cell>
          <cell r="C528" t="str">
            <v>CUNDINAMARCA</v>
          </cell>
          <cell r="D528" t="str">
            <v>BOGOTA</v>
          </cell>
          <cell r="E528" t="str">
            <v>INTERMEDIA</v>
          </cell>
          <cell r="F528" t="str">
            <v>TERRESTRE</v>
          </cell>
          <cell r="G528" t="str">
            <v>BOGOTA</v>
          </cell>
        </row>
        <row r="529">
          <cell r="A529">
            <v>25402</v>
          </cell>
          <cell r="B529" t="str">
            <v>LA VEGA</v>
          </cell>
          <cell r="C529" t="str">
            <v>CUNDINAMARCA</v>
          </cell>
          <cell r="D529" t="str">
            <v>BOGOTA</v>
          </cell>
          <cell r="E529" t="str">
            <v>INTERMEDIA</v>
          </cell>
          <cell r="F529" t="str">
            <v>TERRESTRE</v>
          </cell>
          <cell r="G529" t="str">
            <v>BOGOTA</v>
          </cell>
        </row>
        <row r="530">
          <cell r="A530">
            <v>25473</v>
          </cell>
          <cell r="B530" t="str">
            <v>MOSQUERA</v>
          </cell>
          <cell r="C530" t="str">
            <v>CUNDINAMARCA</v>
          </cell>
          <cell r="D530" t="str">
            <v>BOGOTA</v>
          </cell>
          <cell r="E530" t="str">
            <v>PRINCIPAL</v>
          </cell>
          <cell r="F530" t="str">
            <v>TERRESTRE</v>
          </cell>
          <cell r="G530" t="str">
            <v>BOGOTA</v>
          </cell>
        </row>
        <row r="531">
          <cell r="A531">
            <v>25483</v>
          </cell>
          <cell r="B531" t="str">
            <v>NARIÑO</v>
          </cell>
          <cell r="C531" t="str">
            <v>CUNDINAMARCA</v>
          </cell>
          <cell r="D531" t="str">
            <v>BOGOTA</v>
          </cell>
          <cell r="E531" t="str">
            <v>LEJANA</v>
          </cell>
          <cell r="F531" t="str">
            <v>TERRESTRE</v>
          </cell>
          <cell r="G531" t="str">
            <v>BOGOTA</v>
          </cell>
        </row>
        <row r="532">
          <cell r="A532">
            <v>25612</v>
          </cell>
          <cell r="B532" t="str">
            <v>RICAURTE</v>
          </cell>
          <cell r="C532" t="str">
            <v>CUNDINAMARCA</v>
          </cell>
          <cell r="D532" t="str">
            <v>BOGOTA</v>
          </cell>
          <cell r="E532" t="str">
            <v>LEJANA</v>
          </cell>
          <cell r="F532" t="str">
            <v>TERRESTRE</v>
          </cell>
          <cell r="G532" t="str">
            <v>BOGOTA</v>
          </cell>
        </row>
        <row r="533">
          <cell r="A533">
            <v>25649</v>
          </cell>
          <cell r="B533" t="str">
            <v>SAN BERNARDO</v>
          </cell>
          <cell r="C533" t="str">
            <v>CUNDINAMARCA</v>
          </cell>
          <cell r="D533" t="str">
            <v>BOGOTA</v>
          </cell>
          <cell r="E533" t="str">
            <v>LEJANA</v>
          </cell>
          <cell r="F533" t="str">
            <v>TERRESTRE</v>
          </cell>
          <cell r="G533" t="str">
            <v>BOGOTA</v>
          </cell>
        </row>
        <row r="534">
          <cell r="A534">
            <v>25653</v>
          </cell>
          <cell r="B534" t="str">
            <v>SAN CAYETANO</v>
          </cell>
          <cell r="C534" t="str">
            <v>CUNDINAMARCA</v>
          </cell>
          <cell r="D534" t="str">
            <v>BOGOTA</v>
          </cell>
          <cell r="E534" t="str">
            <v>LEJANA</v>
          </cell>
          <cell r="F534" t="str">
            <v>TERRESTRE</v>
          </cell>
          <cell r="G534" t="str">
            <v>BOGOTA</v>
          </cell>
        </row>
        <row r="535">
          <cell r="A535">
            <v>25658</v>
          </cell>
          <cell r="B535" t="str">
            <v>SAN FRANCISCO</v>
          </cell>
          <cell r="C535" t="str">
            <v>CUNDINAMARCA</v>
          </cell>
          <cell r="D535" t="str">
            <v>BOGOTA</v>
          </cell>
          <cell r="E535" t="str">
            <v>INTERMEDIA</v>
          </cell>
          <cell r="F535" t="str">
            <v>TERRESTRE</v>
          </cell>
          <cell r="G535" t="str">
            <v>BOGOTA</v>
          </cell>
        </row>
        <row r="536">
          <cell r="A536">
            <v>25506</v>
          </cell>
          <cell r="B536" t="str">
            <v>VENECIA</v>
          </cell>
          <cell r="C536" t="str">
            <v>CUNDINAMARCA</v>
          </cell>
          <cell r="D536" t="str">
            <v>BOGOTA</v>
          </cell>
          <cell r="E536" t="str">
            <v>LEJANA</v>
          </cell>
          <cell r="F536" t="str">
            <v>TERRESTRE</v>
          </cell>
          <cell r="G536" t="str">
            <v>BOGOTA</v>
          </cell>
        </row>
        <row r="537">
          <cell r="A537">
            <v>25001</v>
          </cell>
          <cell r="B537" t="str">
            <v>AGUA DE DIOS</v>
          </cell>
          <cell r="C537" t="str">
            <v>CUNDINAMARCA</v>
          </cell>
          <cell r="D537" t="str">
            <v>BOGOTA</v>
          </cell>
          <cell r="E537" t="str">
            <v>LEJANA</v>
          </cell>
          <cell r="F537" t="str">
            <v>TERRESTRE</v>
          </cell>
          <cell r="G537" t="str">
            <v>IBAGUE</v>
          </cell>
        </row>
        <row r="538">
          <cell r="A538">
            <v>25035</v>
          </cell>
          <cell r="B538" t="str">
            <v>ANAPOIMA</v>
          </cell>
          <cell r="C538" t="str">
            <v>CUNDINAMARCA</v>
          </cell>
          <cell r="D538" t="str">
            <v>BOGOTA</v>
          </cell>
          <cell r="E538" t="str">
            <v>INTERMEDIA</v>
          </cell>
          <cell r="F538" t="str">
            <v>TERRESTRE</v>
          </cell>
          <cell r="G538" t="str">
            <v>BOGOTA</v>
          </cell>
        </row>
        <row r="539">
          <cell r="A539">
            <v>25040</v>
          </cell>
          <cell r="B539" t="str">
            <v>ANOLAIMA</v>
          </cell>
          <cell r="C539" t="str">
            <v>CUNDINAMARCA</v>
          </cell>
          <cell r="D539" t="str">
            <v>BOGOTA</v>
          </cell>
          <cell r="E539" t="str">
            <v>INTERMEDIA</v>
          </cell>
          <cell r="F539" t="str">
            <v>TERRESTRE</v>
          </cell>
          <cell r="G539" t="str">
            <v>BOGOTA</v>
          </cell>
        </row>
        <row r="540">
          <cell r="A540">
            <v>25599</v>
          </cell>
          <cell r="B540" t="str">
            <v>APULO</v>
          </cell>
          <cell r="C540" t="str">
            <v>CUNDINAMARCA</v>
          </cell>
          <cell r="D540" t="str">
            <v>BOGOTA</v>
          </cell>
          <cell r="E540" t="str">
            <v>LEJANA</v>
          </cell>
          <cell r="F540" t="str">
            <v>TERRESTRE</v>
          </cell>
          <cell r="G540" t="str">
            <v>BOGOTA</v>
          </cell>
        </row>
        <row r="541">
          <cell r="A541">
            <v>25053</v>
          </cell>
          <cell r="B541" t="str">
            <v>ARBELAEZ</v>
          </cell>
          <cell r="C541" t="str">
            <v>CUNDINAMARCA</v>
          </cell>
          <cell r="D541" t="str">
            <v>BOGOTA</v>
          </cell>
          <cell r="E541" t="str">
            <v>INTERMEDIA</v>
          </cell>
          <cell r="F541" t="str">
            <v>TERRESTRE</v>
          </cell>
          <cell r="G541" t="str">
            <v>BOGOTA</v>
          </cell>
        </row>
        <row r="542">
          <cell r="A542">
            <v>25086</v>
          </cell>
          <cell r="B542" t="str">
            <v>BELTRAN</v>
          </cell>
          <cell r="C542" t="str">
            <v>CUNDINAMARCA</v>
          </cell>
          <cell r="D542" t="str">
            <v>BOGOTA</v>
          </cell>
          <cell r="E542" t="str">
            <v>LEJANA</v>
          </cell>
          <cell r="F542" t="str">
            <v>TERRESTRE</v>
          </cell>
          <cell r="G542" t="str">
            <v>BOGOTA</v>
          </cell>
        </row>
        <row r="543">
          <cell r="A543">
            <v>25095</v>
          </cell>
          <cell r="B543" t="str">
            <v>BITUIMA</v>
          </cell>
          <cell r="C543" t="str">
            <v>CUNDINAMARCA</v>
          </cell>
          <cell r="D543" t="str">
            <v>BOGOTA</v>
          </cell>
          <cell r="E543" t="str">
            <v>LEJANA</v>
          </cell>
          <cell r="F543" t="str">
            <v>TERRESTRE</v>
          </cell>
          <cell r="G543" t="str">
            <v>BOGOTA</v>
          </cell>
        </row>
        <row r="544">
          <cell r="A544">
            <v>11001</v>
          </cell>
          <cell r="B544" t="str">
            <v>BOGOTA</v>
          </cell>
          <cell r="C544" t="str">
            <v>CUNDINAMARCA</v>
          </cell>
          <cell r="D544" t="str">
            <v>BOGOTA</v>
          </cell>
          <cell r="E544" t="str">
            <v>PRINCIPAL</v>
          </cell>
          <cell r="F544" t="str">
            <v>TERRESTRE</v>
          </cell>
          <cell r="G544" t="str">
            <v>BOGOTA</v>
          </cell>
        </row>
        <row r="545">
          <cell r="A545">
            <v>25099</v>
          </cell>
          <cell r="B545" t="str">
            <v>BOJACA</v>
          </cell>
          <cell r="C545" t="str">
            <v>CUNDINAMARCA</v>
          </cell>
          <cell r="D545" t="str">
            <v>BOGOTA</v>
          </cell>
          <cell r="E545" t="str">
            <v>INTERMEDIA</v>
          </cell>
          <cell r="F545" t="str">
            <v>TERRESTRE</v>
          </cell>
          <cell r="G545" t="str">
            <v>BOGOTA</v>
          </cell>
        </row>
        <row r="546">
          <cell r="A546">
            <v>25123</v>
          </cell>
          <cell r="B546" t="str">
            <v>CACHIPAY</v>
          </cell>
          <cell r="C546" t="str">
            <v>CUNDINAMARCA</v>
          </cell>
          <cell r="D546" t="str">
            <v>BOGOTA</v>
          </cell>
          <cell r="E546" t="str">
            <v>INTERMEDIA</v>
          </cell>
          <cell r="F546" t="str">
            <v>TERRESTRE</v>
          </cell>
          <cell r="G546" t="str">
            <v>BOGOTA</v>
          </cell>
        </row>
        <row r="547">
          <cell r="A547">
            <v>25126</v>
          </cell>
          <cell r="B547" t="str">
            <v>CAJICA</v>
          </cell>
          <cell r="C547" t="str">
            <v>CUNDINAMARCA</v>
          </cell>
          <cell r="D547" t="str">
            <v>BOGOTA</v>
          </cell>
          <cell r="E547" t="str">
            <v>INTERMEDIA</v>
          </cell>
          <cell r="F547" t="str">
            <v>TERRESTRE</v>
          </cell>
          <cell r="G547" t="str">
            <v>BOGOTA</v>
          </cell>
        </row>
        <row r="548">
          <cell r="A548">
            <v>25148</v>
          </cell>
          <cell r="B548" t="str">
            <v>CAPARRAPI</v>
          </cell>
          <cell r="C548" t="str">
            <v>CUNDINAMARCA</v>
          </cell>
          <cell r="D548" t="str">
            <v>BOGOTA</v>
          </cell>
          <cell r="E548" t="str">
            <v>LEJANA</v>
          </cell>
          <cell r="F548" t="str">
            <v>TERRESTRE</v>
          </cell>
          <cell r="G548" t="str">
            <v>BOGOTA</v>
          </cell>
        </row>
        <row r="549">
          <cell r="A549">
            <v>25151</v>
          </cell>
          <cell r="B549" t="str">
            <v>CAQUEZA</v>
          </cell>
          <cell r="C549" t="str">
            <v>CUNDINAMARCA</v>
          </cell>
          <cell r="D549" t="str">
            <v>BOGOTA</v>
          </cell>
          <cell r="E549" t="str">
            <v>INTERMEDIA</v>
          </cell>
          <cell r="F549" t="str">
            <v>TERRESTRE</v>
          </cell>
          <cell r="G549" t="str">
            <v>BOGOTA</v>
          </cell>
        </row>
        <row r="550">
          <cell r="A550">
            <v>25154</v>
          </cell>
          <cell r="B550" t="str">
            <v>CARMEN DE CARUPA</v>
          </cell>
          <cell r="C550" t="str">
            <v>CUNDINAMARCA</v>
          </cell>
          <cell r="D550" t="str">
            <v>BOGOTA</v>
          </cell>
          <cell r="E550" t="str">
            <v>LEJANA</v>
          </cell>
          <cell r="F550" t="str">
            <v>TERRESTRE</v>
          </cell>
          <cell r="G550" t="str">
            <v>BOGOTA</v>
          </cell>
        </row>
        <row r="551">
          <cell r="A551">
            <v>25168</v>
          </cell>
          <cell r="B551" t="str">
            <v>CHAGUANI</v>
          </cell>
          <cell r="C551" t="str">
            <v>CUNDINAMARCA</v>
          </cell>
          <cell r="D551" t="str">
            <v>BOGOTA</v>
          </cell>
          <cell r="E551" t="str">
            <v>LEJANA</v>
          </cell>
          <cell r="F551" t="str">
            <v>TERRESTRE</v>
          </cell>
          <cell r="G551" t="str">
            <v>BOGOTA</v>
          </cell>
        </row>
        <row r="552">
          <cell r="A552">
            <v>25175</v>
          </cell>
          <cell r="B552" t="str">
            <v>CHIA</v>
          </cell>
          <cell r="C552" t="str">
            <v>CUNDINAMARCA</v>
          </cell>
          <cell r="D552" t="str">
            <v>BOGOTA</v>
          </cell>
          <cell r="E552" t="str">
            <v>INTERMEDIA</v>
          </cell>
          <cell r="F552" t="str">
            <v>TERRESTRE</v>
          </cell>
          <cell r="G552" t="str">
            <v>BOGOTA</v>
          </cell>
        </row>
        <row r="553">
          <cell r="A553">
            <v>25178</v>
          </cell>
          <cell r="B553" t="str">
            <v>CHIPAQUE</v>
          </cell>
          <cell r="C553" t="str">
            <v>CUNDINAMARCA</v>
          </cell>
          <cell r="D553" t="str">
            <v>BOGOTA</v>
          </cell>
          <cell r="E553" t="str">
            <v>INTERMEDIA</v>
          </cell>
          <cell r="F553" t="str">
            <v>TERRESTRE</v>
          </cell>
          <cell r="G553" t="str">
            <v>BOGOTA</v>
          </cell>
        </row>
        <row r="554">
          <cell r="A554">
            <v>25181</v>
          </cell>
          <cell r="B554" t="str">
            <v>CHOACHI</v>
          </cell>
          <cell r="C554" t="str">
            <v>CUNDINAMARCA</v>
          </cell>
          <cell r="D554" t="str">
            <v>BOGOTA</v>
          </cell>
          <cell r="E554" t="str">
            <v>INTERMEDIA</v>
          </cell>
          <cell r="F554" t="str">
            <v>TERRESTRE</v>
          </cell>
          <cell r="G554" t="str">
            <v>BOGOTA</v>
          </cell>
        </row>
        <row r="555">
          <cell r="A555">
            <v>25183</v>
          </cell>
          <cell r="B555" t="str">
            <v>CHOCONTA</v>
          </cell>
          <cell r="C555" t="str">
            <v>CUNDINAMARCA</v>
          </cell>
          <cell r="D555" t="str">
            <v>TUNJA</v>
          </cell>
          <cell r="E555" t="str">
            <v>INTERMEDIA</v>
          </cell>
          <cell r="F555" t="str">
            <v>TERRESTRE</v>
          </cell>
          <cell r="G555" t="str">
            <v>TUNJA</v>
          </cell>
        </row>
        <row r="556">
          <cell r="A556">
            <v>25200</v>
          </cell>
          <cell r="B556" t="str">
            <v>COGUA</v>
          </cell>
          <cell r="C556" t="str">
            <v>CUNDINAMARCA</v>
          </cell>
          <cell r="D556" t="str">
            <v>BOGOTA</v>
          </cell>
          <cell r="E556" t="str">
            <v>INTERMEDIA</v>
          </cell>
          <cell r="F556" t="str">
            <v>TERRESTRE</v>
          </cell>
          <cell r="G556" t="str">
            <v>BOGOTA</v>
          </cell>
        </row>
        <row r="557">
          <cell r="A557">
            <v>25214</v>
          </cell>
          <cell r="B557" t="str">
            <v>COTA</v>
          </cell>
          <cell r="C557" t="str">
            <v>CUNDINAMARCA</v>
          </cell>
          <cell r="D557" t="str">
            <v>BOGOTA</v>
          </cell>
          <cell r="E557" t="str">
            <v>INTERMEDIA</v>
          </cell>
          <cell r="F557" t="str">
            <v>TERRESTRE</v>
          </cell>
          <cell r="G557" t="str">
            <v>BOGOTA</v>
          </cell>
        </row>
        <row r="558">
          <cell r="A558">
            <v>25224</v>
          </cell>
          <cell r="B558" t="str">
            <v>CUCUNUBA</v>
          </cell>
          <cell r="C558" t="str">
            <v>CUNDINAMARCA</v>
          </cell>
          <cell r="D558" t="str">
            <v>BOGOTA</v>
          </cell>
          <cell r="E558" t="str">
            <v>LEJANA</v>
          </cell>
          <cell r="F558" t="str">
            <v>TERRESTRE</v>
          </cell>
          <cell r="G558" t="str">
            <v>BOGOTA</v>
          </cell>
        </row>
        <row r="559">
          <cell r="A559">
            <v>25245</v>
          </cell>
          <cell r="B559" t="str">
            <v>EL COLEGIO</v>
          </cell>
          <cell r="C559" t="str">
            <v>CUNDINAMARCA</v>
          </cell>
          <cell r="D559" t="str">
            <v>BOGOTA</v>
          </cell>
          <cell r="E559" t="str">
            <v>INTERMEDIA</v>
          </cell>
          <cell r="F559" t="str">
            <v>TERRESTRE</v>
          </cell>
          <cell r="G559" t="str">
            <v>BOGOTA</v>
          </cell>
        </row>
        <row r="560">
          <cell r="A560">
            <v>25260</v>
          </cell>
          <cell r="B560" t="str">
            <v>EL ROSAL</v>
          </cell>
          <cell r="C560" t="str">
            <v>CUNDINAMARCA</v>
          </cell>
          <cell r="D560" t="str">
            <v>BOGOTA</v>
          </cell>
          <cell r="E560" t="str">
            <v>INTERMEDIA</v>
          </cell>
          <cell r="F560" t="str">
            <v>TERRESTRE</v>
          </cell>
          <cell r="G560" t="str">
            <v>BOGOTA</v>
          </cell>
        </row>
        <row r="561">
          <cell r="A561">
            <v>25269</v>
          </cell>
          <cell r="B561" t="str">
            <v>FACATATIVA</v>
          </cell>
          <cell r="C561" t="str">
            <v>CUNDINAMARCA</v>
          </cell>
          <cell r="D561" t="str">
            <v>BOGOTA</v>
          </cell>
          <cell r="E561" t="str">
            <v>INTERMEDIA</v>
          </cell>
          <cell r="F561" t="str">
            <v>TERRESTRE</v>
          </cell>
          <cell r="G561" t="str">
            <v>BOGOTA</v>
          </cell>
        </row>
        <row r="562">
          <cell r="A562">
            <v>25279</v>
          </cell>
          <cell r="B562" t="str">
            <v>FOMEQUE</v>
          </cell>
          <cell r="C562" t="str">
            <v>CUNDINAMARCA</v>
          </cell>
          <cell r="D562" t="str">
            <v>BOGOTA</v>
          </cell>
          <cell r="E562" t="str">
            <v>INTERMEDIA</v>
          </cell>
          <cell r="F562" t="str">
            <v>TERRESTRE</v>
          </cell>
          <cell r="G562" t="str">
            <v>BOGOTA</v>
          </cell>
        </row>
        <row r="563">
          <cell r="A563">
            <v>25281</v>
          </cell>
          <cell r="B563" t="str">
            <v>FOSCA</v>
          </cell>
          <cell r="C563" t="str">
            <v>CUNDINAMARCA</v>
          </cell>
          <cell r="D563" t="str">
            <v>BOGOTA</v>
          </cell>
          <cell r="E563" t="str">
            <v>INTERMEDIA</v>
          </cell>
          <cell r="F563" t="str">
            <v>TERRESTRE</v>
          </cell>
          <cell r="G563" t="str">
            <v>BOGOTA</v>
          </cell>
        </row>
        <row r="564">
          <cell r="A564">
            <v>25286</v>
          </cell>
          <cell r="B564" t="str">
            <v>FUNZA</v>
          </cell>
          <cell r="C564" t="str">
            <v>CUNDINAMARCA</v>
          </cell>
          <cell r="D564" t="str">
            <v>BOGOTA</v>
          </cell>
          <cell r="E564" t="str">
            <v>INTERMEDIA</v>
          </cell>
          <cell r="F564" t="str">
            <v>TERRESTRE</v>
          </cell>
          <cell r="G564" t="str">
            <v>BOGOTA</v>
          </cell>
        </row>
        <row r="565">
          <cell r="A565">
            <v>25288</v>
          </cell>
          <cell r="B565" t="str">
            <v>FUQUENE</v>
          </cell>
          <cell r="C565" t="str">
            <v>CUNDINAMARCA</v>
          </cell>
          <cell r="D565" t="str">
            <v>BOGOTA</v>
          </cell>
          <cell r="E565" t="str">
            <v>LEJANA</v>
          </cell>
          <cell r="F565" t="str">
            <v>TERRESTRE</v>
          </cell>
          <cell r="G565" t="str">
            <v>BOGOTA</v>
          </cell>
        </row>
        <row r="566">
          <cell r="A566">
            <v>25290</v>
          </cell>
          <cell r="B566" t="str">
            <v>FUSAGASUGA</v>
          </cell>
          <cell r="C566" t="str">
            <v>CUNDINAMARCA</v>
          </cell>
          <cell r="D566" t="str">
            <v>BOGOTA</v>
          </cell>
          <cell r="E566" t="str">
            <v>INTERMEDIA</v>
          </cell>
          <cell r="F566" t="str">
            <v>TERRESTRE</v>
          </cell>
          <cell r="G566" t="str">
            <v>BOGOTA</v>
          </cell>
        </row>
        <row r="567">
          <cell r="A567">
            <v>25293</v>
          </cell>
          <cell r="B567" t="str">
            <v>GACHALA</v>
          </cell>
          <cell r="C567" t="str">
            <v>CUNDINAMARCA</v>
          </cell>
          <cell r="D567" t="str">
            <v>BOGOTA</v>
          </cell>
          <cell r="E567" t="str">
            <v>LEJANA</v>
          </cell>
          <cell r="F567" t="str">
            <v>TERRESTRE</v>
          </cell>
          <cell r="G567" t="str">
            <v>BOGOTA</v>
          </cell>
        </row>
        <row r="568">
          <cell r="A568">
            <v>25295</v>
          </cell>
          <cell r="B568" t="str">
            <v>GACHANCIPA</v>
          </cell>
          <cell r="C568" t="str">
            <v>CUNDINAMARCA</v>
          </cell>
          <cell r="D568" t="str">
            <v>BOGOTA</v>
          </cell>
          <cell r="E568" t="str">
            <v>INTERMEDIA</v>
          </cell>
          <cell r="F568" t="str">
            <v>TERRESTRE</v>
          </cell>
          <cell r="G568" t="str">
            <v>BOGOTA</v>
          </cell>
        </row>
        <row r="569">
          <cell r="A569">
            <v>25297</v>
          </cell>
          <cell r="B569" t="str">
            <v>GACHETA</v>
          </cell>
          <cell r="C569" t="str">
            <v>CUNDINAMARCA</v>
          </cell>
          <cell r="D569" t="str">
            <v>BOGOTA</v>
          </cell>
          <cell r="E569" t="str">
            <v>LEJANA</v>
          </cell>
          <cell r="F569" t="str">
            <v>TERRESTRE</v>
          </cell>
          <cell r="G569" t="str">
            <v>BOGOTA</v>
          </cell>
        </row>
        <row r="570">
          <cell r="A570">
            <v>25299</v>
          </cell>
          <cell r="B570" t="str">
            <v>GAMA</v>
          </cell>
          <cell r="C570" t="str">
            <v>CUNDINAMARCA</v>
          </cell>
          <cell r="D570" t="str">
            <v>BOGOTA</v>
          </cell>
          <cell r="E570" t="str">
            <v>LEJANA</v>
          </cell>
          <cell r="F570" t="str">
            <v>TERRESTRE</v>
          </cell>
          <cell r="G570" t="str">
            <v>BOGOTA</v>
          </cell>
        </row>
        <row r="571">
          <cell r="A571">
            <v>25307</v>
          </cell>
          <cell r="B571" t="str">
            <v>GIRARDOT</v>
          </cell>
          <cell r="C571" t="str">
            <v>CUNDINAMARCA</v>
          </cell>
          <cell r="D571" t="str">
            <v>BOGOTA</v>
          </cell>
          <cell r="E571" t="str">
            <v>LEJANA</v>
          </cell>
          <cell r="F571" t="str">
            <v>TERRESTRE</v>
          </cell>
          <cell r="G571" t="str">
            <v>IBAGUE</v>
          </cell>
        </row>
        <row r="572">
          <cell r="A572">
            <v>25317</v>
          </cell>
          <cell r="B572" t="str">
            <v>GUACHETA</v>
          </cell>
          <cell r="C572" t="str">
            <v>CUNDINAMARCA</v>
          </cell>
          <cell r="D572" t="str">
            <v>BOGOTA</v>
          </cell>
          <cell r="E572" t="str">
            <v>LEJANA</v>
          </cell>
          <cell r="F572" t="str">
            <v>TERRESTRE</v>
          </cell>
          <cell r="G572" t="str">
            <v>BOGOTA</v>
          </cell>
        </row>
        <row r="573">
          <cell r="A573">
            <v>25320</v>
          </cell>
          <cell r="B573" t="str">
            <v>GUADUAS</v>
          </cell>
          <cell r="C573" t="str">
            <v>CUNDINAMARCA</v>
          </cell>
          <cell r="D573" t="str">
            <v>BOGOTA</v>
          </cell>
          <cell r="E573" t="str">
            <v>LEJANA</v>
          </cell>
          <cell r="F573" t="str">
            <v>TERRESTRE</v>
          </cell>
          <cell r="G573" t="str">
            <v>BOGOTA</v>
          </cell>
        </row>
        <row r="574">
          <cell r="A574">
            <v>25322</v>
          </cell>
          <cell r="B574" t="str">
            <v>GUASCA</v>
          </cell>
          <cell r="C574" t="str">
            <v>CUNDINAMARCA</v>
          </cell>
          <cell r="D574" t="str">
            <v>BOGOTA</v>
          </cell>
          <cell r="E574" t="str">
            <v>INTERMEDIA</v>
          </cell>
          <cell r="F574" t="str">
            <v>TERRESTRE</v>
          </cell>
          <cell r="G574" t="str">
            <v>BOGOTA</v>
          </cell>
        </row>
        <row r="575">
          <cell r="A575">
            <v>25324</v>
          </cell>
          <cell r="B575" t="str">
            <v>GUATAQUI</v>
          </cell>
          <cell r="C575" t="str">
            <v>CUNDINAMARCA</v>
          </cell>
          <cell r="D575" t="str">
            <v>IBAGUE</v>
          </cell>
          <cell r="E575" t="str">
            <v>LEJANA</v>
          </cell>
          <cell r="F575" t="str">
            <v>TERRESTRE</v>
          </cell>
          <cell r="G575" t="str">
            <v>IBAGUE</v>
          </cell>
        </row>
        <row r="576">
          <cell r="A576">
            <v>25326</v>
          </cell>
          <cell r="B576" t="str">
            <v>GUATAVITA</v>
          </cell>
          <cell r="C576" t="str">
            <v>CUNDINAMARCA</v>
          </cell>
          <cell r="D576" t="str">
            <v>BOGOTA</v>
          </cell>
          <cell r="E576" t="str">
            <v>INTERMEDIA</v>
          </cell>
          <cell r="F576" t="str">
            <v>TERRESTRE</v>
          </cell>
          <cell r="G576" t="str">
            <v>BOGOTA</v>
          </cell>
        </row>
        <row r="577">
          <cell r="A577">
            <v>25328</v>
          </cell>
          <cell r="B577" t="str">
            <v>GUAYABAL DE SIQUIMA</v>
          </cell>
          <cell r="C577" t="str">
            <v>CUNDINAMARCA</v>
          </cell>
          <cell r="D577" t="str">
            <v>BOGOTA</v>
          </cell>
          <cell r="E577" t="str">
            <v>LEJANA</v>
          </cell>
          <cell r="F577" t="str">
            <v>TERRESTRE</v>
          </cell>
          <cell r="G577" t="str">
            <v>BOGOTA</v>
          </cell>
        </row>
        <row r="578">
          <cell r="A578">
            <v>25335</v>
          </cell>
          <cell r="B578" t="str">
            <v>GUAYABETAL</v>
          </cell>
          <cell r="C578" t="str">
            <v>CUNDINAMARCA</v>
          </cell>
          <cell r="D578" t="str">
            <v>VILLAVICENCIO</v>
          </cell>
          <cell r="E578" t="str">
            <v>INTERMEDIA</v>
          </cell>
          <cell r="F578" t="str">
            <v>TERRESTRE</v>
          </cell>
          <cell r="G578" t="str">
            <v>VILLAVICENCIO</v>
          </cell>
        </row>
        <row r="579">
          <cell r="A579">
            <v>25339</v>
          </cell>
          <cell r="B579" t="str">
            <v>GUTIERREZ</v>
          </cell>
          <cell r="C579" t="str">
            <v>CUNDINAMARCA</v>
          </cell>
          <cell r="D579" t="str">
            <v>BOGOTA</v>
          </cell>
          <cell r="E579" t="str">
            <v>LEJANA</v>
          </cell>
          <cell r="F579" t="str">
            <v>TERRESTRE</v>
          </cell>
          <cell r="G579" t="str">
            <v>BOGOTA</v>
          </cell>
        </row>
        <row r="580">
          <cell r="A580">
            <v>25368</v>
          </cell>
          <cell r="B580" t="str">
            <v>JERUSALEN</v>
          </cell>
          <cell r="C580" t="str">
            <v>CUNDINAMARCA</v>
          </cell>
          <cell r="D580" t="str">
            <v>BOGOTA</v>
          </cell>
          <cell r="E580" t="str">
            <v>LEJANA</v>
          </cell>
          <cell r="F580" t="str">
            <v>TERRESTRE</v>
          </cell>
          <cell r="G580" t="str">
            <v>BOGOTA</v>
          </cell>
        </row>
        <row r="581">
          <cell r="A581">
            <v>25372</v>
          </cell>
          <cell r="B581" t="str">
            <v>JUNIN</v>
          </cell>
          <cell r="C581" t="str">
            <v>CUNDINAMARCA</v>
          </cell>
          <cell r="D581" t="str">
            <v>BOGOTA</v>
          </cell>
          <cell r="E581" t="str">
            <v>LEJANA</v>
          </cell>
          <cell r="F581" t="str">
            <v>TERRESTRE</v>
          </cell>
          <cell r="G581" t="str">
            <v>BOGOTA</v>
          </cell>
        </row>
        <row r="582">
          <cell r="A582">
            <v>25377</v>
          </cell>
          <cell r="B582" t="str">
            <v>LA CALERA</v>
          </cell>
          <cell r="C582" t="str">
            <v>CUNDINAMARCA</v>
          </cell>
          <cell r="D582" t="str">
            <v>BOGOTA</v>
          </cell>
          <cell r="E582" t="str">
            <v>INTERMEDIA</v>
          </cell>
          <cell r="F582" t="str">
            <v>TERRESTRE</v>
          </cell>
          <cell r="G582" t="str">
            <v>BOGOTA</v>
          </cell>
        </row>
        <row r="583">
          <cell r="A583">
            <v>25386</v>
          </cell>
          <cell r="B583" t="str">
            <v>LA MESA</v>
          </cell>
          <cell r="C583" t="str">
            <v>CUNDINAMARCA</v>
          </cell>
          <cell r="D583" t="str">
            <v>BOGOTA</v>
          </cell>
          <cell r="E583" t="str">
            <v>INTERMEDIA</v>
          </cell>
          <cell r="F583" t="str">
            <v>TERRESTRE</v>
          </cell>
          <cell r="G583" t="str">
            <v>BOGOTA</v>
          </cell>
        </row>
        <row r="584">
          <cell r="A584">
            <v>25394</v>
          </cell>
          <cell r="B584" t="str">
            <v>LA PALMA</v>
          </cell>
          <cell r="C584" t="str">
            <v>CUNDINAMARCA</v>
          </cell>
          <cell r="D584" t="str">
            <v>BOGOTA</v>
          </cell>
          <cell r="E584" t="str">
            <v>LEJANA</v>
          </cell>
          <cell r="F584" t="str">
            <v>TERRESTRE</v>
          </cell>
          <cell r="G584" t="str">
            <v>BOGOTA</v>
          </cell>
        </row>
        <row r="585">
          <cell r="A585">
            <v>25398</v>
          </cell>
          <cell r="B585" t="str">
            <v>LA PEÑA</v>
          </cell>
          <cell r="C585" t="str">
            <v>CUNDINAMARCA</v>
          </cell>
          <cell r="D585" t="str">
            <v>BOGOTA</v>
          </cell>
          <cell r="E585" t="str">
            <v>LEJANA</v>
          </cell>
          <cell r="F585" t="str">
            <v>TERRESTRE</v>
          </cell>
          <cell r="G585" t="str">
            <v>BOGOTA</v>
          </cell>
        </row>
        <row r="586">
          <cell r="A586">
            <v>25407</v>
          </cell>
          <cell r="B586" t="str">
            <v>LENGUAZAQUE</v>
          </cell>
          <cell r="C586" t="str">
            <v>CUNDINAMARCA</v>
          </cell>
          <cell r="D586" t="str">
            <v>BOGOTA</v>
          </cell>
          <cell r="E586" t="str">
            <v>LEJANA</v>
          </cell>
          <cell r="F586" t="str">
            <v>TERRESTRE</v>
          </cell>
          <cell r="G586" t="str">
            <v>BOGOTA</v>
          </cell>
        </row>
        <row r="587">
          <cell r="A587">
            <v>25426</v>
          </cell>
          <cell r="B587" t="str">
            <v>MACHETA</v>
          </cell>
          <cell r="C587" t="str">
            <v>CUNDINAMARCA</v>
          </cell>
          <cell r="D587" t="str">
            <v>BOGOTA</v>
          </cell>
          <cell r="E587" t="str">
            <v>LEJANA</v>
          </cell>
          <cell r="F587" t="str">
            <v>TERRESTRE</v>
          </cell>
          <cell r="G587" t="str">
            <v>BOGOTA</v>
          </cell>
        </row>
        <row r="588">
          <cell r="A588">
            <v>25430</v>
          </cell>
          <cell r="B588" t="str">
            <v>MADRID</v>
          </cell>
          <cell r="C588" t="str">
            <v>CUNDINAMARCA</v>
          </cell>
          <cell r="D588" t="str">
            <v>BOGOTA</v>
          </cell>
          <cell r="E588" t="str">
            <v>INTERMEDIA</v>
          </cell>
          <cell r="F588" t="str">
            <v>TERRESTRE</v>
          </cell>
          <cell r="G588" t="str">
            <v>BOGOTA</v>
          </cell>
        </row>
        <row r="589">
          <cell r="A589">
            <v>25436</v>
          </cell>
          <cell r="B589" t="str">
            <v>MANTA</v>
          </cell>
          <cell r="C589" t="str">
            <v>CUNDINAMARCA</v>
          </cell>
          <cell r="D589" t="str">
            <v>BOGOTA</v>
          </cell>
          <cell r="E589" t="str">
            <v>LEJANA</v>
          </cell>
          <cell r="F589" t="str">
            <v>TERRESTRE</v>
          </cell>
          <cell r="G589" t="str">
            <v>BOGOTA</v>
          </cell>
        </row>
        <row r="590">
          <cell r="A590">
            <v>25438</v>
          </cell>
          <cell r="B590" t="str">
            <v>MEDINA</v>
          </cell>
          <cell r="C590" t="str">
            <v>CUNDINAMARCA</v>
          </cell>
          <cell r="D590" t="str">
            <v>VILLAVICENCIO</v>
          </cell>
          <cell r="E590" t="str">
            <v>LEJANA</v>
          </cell>
          <cell r="F590" t="str">
            <v>TERRESTRE</v>
          </cell>
          <cell r="G590" t="str">
            <v>VILLAVICENCIO</v>
          </cell>
        </row>
        <row r="591">
          <cell r="A591">
            <v>25486</v>
          </cell>
          <cell r="B591" t="str">
            <v>NEMOCON</v>
          </cell>
          <cell r="C591" t="str">
            <v>CUNDINAMARCA</v>
          </cell>
          <cell r="D591" t="str">
            <v>BOGOTA</v>
          </cell>
          <cell r="E591" t="str">
            <v>INTERMEDIA</v>
          </cell>
          <cell r="F591" t="str">
            <v>TERRESTRE</v>
          </cell>
          <cell r="G591" t="str">
            <v>BOGOTA</v>
          </cell>
        </row>
        <row r="592">
          <cell r="A592">
            <v>25488</v>
          </cell>
          <cell r="B592" t="str">
            <v>NILO</v>
          </cell>
          <cell r="C592" t="str">
            <v>CUNDINAMARCA</v>
          </cell>
          <cell r="D592" t="str">
            <v>BOGOTA</v>
          </cell>
          <cell r="E592" t="str">
            <v>LEJANA</v>
          </cell>
          <cell r="F592" t="str">
            <v>TERRESTRE</v>
          </cell>
          <cell r="G592" t="str">
            <v>BOGOTA</v>
          </cell>
        </row>
        <row r="593">
          <cell r="A593">
            <v>25489</v>
          </cell>
          <cell r="B593" t="str">
            <v>NIMAIMA</v>
          </cell>
          <cell r="C593" t="str">
            <v>CUNDINAMARCA</v>
          </cell>
          <cell r="D593" t="str">
            <v>BOGOTA</v>
          </cell>
          <cell r="E593" t="str">
            <v>LEJANA</v>
          </cell>
          <cell r="F593" t="str">
            <v>TERRESTRE</v>
          </cell>
          <cell r="G593" t="str">
            <v>BOGOTA</v>
          </cell>
        </row>
        <row r="594">
          <cell r="A594">
            <v>25491</v>
          </cell>
          <cell r="B594" t="str">
            <v>NOCAIMA</v>
          </cell>
          <cell r="C594" t="str">
            <v>CUNDINAMARCA</v>
          </cell>
          <cell r="D594" t="str">
            <v>BOGOTA</v>
          </cell>
          <cell r="E594" t="str">
            <v>LEJANA</v>
          </cell>
          <cell r="F594" t="str">
            <v>TERRESTRE</v>
          </cell>
          <cell r="G594" t="str">
            <v>BOGOTA</v>
          </cell>
        </row>
        <row r="595">
          <cell r="A595">
            <v>25513</v>
          </cell>
          <cell r="B595" t="str">
            <v>PACHO</v>
          </cell>
          <cell r="C595" t="str">
            <v>CUNDINAMARCA</v>
          </cell>
          <cell r="D595" t="str">
            <v>BOGOTA</v>
          </cell>
          <cell r="E595" t="str">
            <v>LEJANA</v>
          </cell>
          <cell r="F595" t="str">
            <v>TERRESTRE</v>
          </cell>
          <cell r="G595" t="str">
            <v>BOGOTA</v>
          </cell>
        </row>
        <row r="596">
          <cell r="A596">
            <v>25518</v>
          </cell>
          <cell r="B596" t="str">
            <v>PAIME</v>
          </cell>
          <cell r="C596" t="str">
            <v>CUNDINAMARCA</v>
          </cell>
          <cell r="D596" t="str">
            <v>BOGOTA</v>
          </cell>
          <cell r="E596" t="str">
            <v>LEJANA</v>
          </cell>
          <cell r="F596" t="str">
            <v>TERRESTRE</v>
          </cell>
          <cell r="G596" t="str">
            <v>BOGOTA</v>
          </cell>
        </row>
        <row r="597">
          <cell r="A597">
            <v>25524</v>
          </cell>
          <cell r="B597" t="str">
            <v>PANDI</v>
          </cell>
          <cell r="C597" t="str">
            <v>CUNDINAMARCA</v>
          </cell>
          <cell r="D597" t="str">
            <v>BOGOTA</v>
          </cell>
          <cell r="E597" t="str">
            <v>LEJANA</v>
          </cell>
          <cell r="F597" t="str">
            <v>TERRESTRE</v>
          </cell>
          <cell r="G597" t="str">
            <v>BOGOTA</v>
          </cell>
        </row>
        <row r="598">
          <cell r="A598">
            <v>25530</v>
          </cell>
          <cell r="B598" t="str">
            <v>PARATEBUENO</v>
          </cell>
          <cell r="C598" t="str">
            <v>CUNDINAMARCA</v>
          </cell>
          <cell r="D598" t="str">
            <v>VILLAVICENCIO</v>
          </cell>
          <cell r="E598" t="str">
            <v>LEJANA</v>
          </cell>
          <cell r="F598" t="str">
            <v>TERRESTRE</v>
          </cell>
          <cell r="G598" t="str">
            <v>VILLAVICENCIO</v>
          </cell>
        </row>
        <row r="599">
          <cell r="A599">
            <v>25535</v>
          </cell>
          <cell r="B599" t="str">
            <v>PASCA</v>
          </cell>
          <cell r="C599" t="str">
            <v>CUNDINAMARCA</v>
          </cell>
          <cell r="D599" t="str">
            <v>BOGOTA</v>
          </cell>
          <cell r="E599" t="str">
            <v>INTERMEDIA</v>
          </cell>
          <cell r="F599" t="str">
            <v>TERRESTRE</v>
          </cell>
          <cell r="G599" t="str">
            <v>BOGOTA</v>
          </cell>
        </row>
        <row r="600">
          <cell r="A600">
            <v>25572</v>
          </cell>
          <cell r="B600" t="str">
            <v>PUERTO SALGAR</v>
          </cell>
          <cell r="C600" t="str">
            <v>CUNDINAMARCA</v>
          </cell>
          <cell r="D600" t="str">
            <v>BOGOTA</v>
          </cell>
          <cell r="E600" t="str">
            <v>LEJANA</v>
          </cell>
          <cell r="F600" t="str">
            <v>TERRESTRE</v>
          </cell>
          <cell r="G600" t="str">
            <v>BOGOTA</v>
          </cell>
        </row>
        <row r="601">
          <cell r="A601">
            <v>25580</v>
          </cell>
          <cell r="B601" t="str">
            <v>PULI</v>
          </cell>
          <cell r="C601" t="str">
            <v>CUNDINAMARCA</v>
          </cell>
          <cell r="D601" t="str">
            <v>BOGOTA</v>
          </cell>
          <cell r="E601" t="str">
            <v>LEJANA</v>
          </cell>
          <cell r="F601" t="str">
            <v>TERRESTRE</v>
          </cell>
          <cell r="G601" t="str">
            <v>BOGOTA</v>
          </cell>
        </row>
        <row r="602">
          <cell r="A602">
            <v>25592</v>
          </cell>
          <cell r="B602" t="str">
            <v>QUEBRADANEGRA</v>
          </cell>
          <cell r="C602" t="str">
            <v>CUNDINAMARCA</v>
          </cell>
          <cell r="D602" t="str">
            <v>BOGOTA</v>
          </cell>
          <cell r="E602" t="str">
            <v>LEJANA</v>
          </cell>
          <cell r="F602" t="str">
            <v>TERRESTRE</v>
          </cell>
          <cell r="G602" t="str">
            <v>BOGOTA</v>
          </cell>
        </row>
        <row r="603">
          <cell r="A603">
            <v>25594</v>
          </cell>
          <cell r="B603" t="str">
            <v>QUETAME</v>
          </cell>
          <cell r="C603" t="str">
            <v>CUNDINAMARCA</v>
          </cell>
          <cell r="D603" t="str">
            <v>BOGOTA</v>
          </cell>
          <cell r="E603" t="str">
            <v>LEJANA</v>
          </cell>
          <cell r="F603" t="str">
            <v>TERRESTRE</v>
          </cell>
          <cell r="G603" t="str">
            <v>BOGOTA</v>
          </cell>
        </row>
        <row r="604">
          <cell r="A604">
            <v>25596</v>
          </cell>
          <cell r="B604" t="str">
            <v>QUIPILE</v>
          </cell>
          <cell r="C604" t="str">
            <v>CUNDINAMARCA</v>
          </cell>
          <cell r="D604" t="str">
            <v>BOGOTA</v>
          </cell>
          <cell r="E604" t="str">
            <v>LEJANA</v>
          </cell>
          <cell r="F604" t="str">
            <v>TERRESTRE</v>
          </cell>
          <cell r="G604" t="str">
            <v>BOGOTA</v>
          </cell>
        </row>
        <row r="605">
          <cell r="A605">
            <v>25645</v>
          </cell>
          <cell r="B605" t="str">
            <v>SAN ANTONIO DEL TEQUENDAMA</v>
          </cell>
          <cell r="C605" t="str">
            <v>CUNDINAMARCA</v>
          </cell>
          <cell r="D605" t="str">
            <v>BOGOTA</v>
          </cell>
          <cell r="E605" t="str">
            <v>INTERMEDIA</v>
          </cell>
          <cell r="F605" t="str">
            <v>TERRESTRE</v>
          </cell>
          <cell r="G605" t="str">
            <v>BOGOTA</v>
          </cell>
        </row>
        <row r="606">
          <cell r="A606">
            <v>25662</v>
          </cell>
          <cell r="B606" t="str">
            <v>SAN JUAN DE RIO SECO</v>
          </cell>
          <cell r="C606" t="str">
            <v>CUNDINAMARCA</v>
          </cell>
          <cell r="D606" t="str">
            <v>BOGOTA</v>
          </cell>
          <cell r="E606" t="str">
            <v>LEJANA</v>
          </cell>
          <cell r="F606" t="str">
            <v>TERRESTRE</v>
          </cell>
          <cell r="G606" t="str">
            <v>BOGOTA</v>
          </cell>
        </row>
        <row r="607">
          <cell r="A607">
            <v>25718</v>
          </cell>
          <cell r="B607" t="str">
            <v>SASAIMA</v>
          </cell>
          <cell r="C607" t="str">
            <v>CUNDINAMARCA</v>
          </cell>
          <cell r="D607" t="str">
            <v>BOGOTA</v>
          </cell>
          <cell r="E607" t="str">
            <v>INTERMEDIA</v>
          </cell>
          <cell r="F607" t="str">
            <v>TERRESTRE</v>
          </cell>
          <cell r="G607" t="str">
            <v>BOGOTA</v>
          </cell>
        </row>
        <row r="608">
          <cell r="A608">
            <v>25736</v>
          </cell>
          <cell r="B608" t="str">
            <v>SESQUILE</v>
          </cell>
          <cell r="C608" t="str">
            <v>CUNDINAMARCA</v>
          </cell>
          <cell r="D608" t="str">
            <v>BOGOTA</v>
          </cell>
          <cell r="E608" t="str">
            <v>INTERMEDIA</v>
          </cell>
          <cell r="F608" t="str">
            <v>TERRESTRE</v>
          </cell>
          <cell r="G608" t="str">
            <v>BOGOTA</v>
          </cell>
        </row>
        <row r="609">
          <cell r="A609">
            <v>25740</v>
          </cell>
          <cell r="B609" t="str">
            <v>SIBATE</v>
          </cell>
          <cell r="C609" t="str">
            <v>CUNDINAMARCA</v>
          </cell>
          <cell r="D609" t="str">
            <v>BOGOTA</v>
          </cell>
          <cell r="E609" t="str">
            <v>INTERMEDIA</v>
          </cell>
          <cell r="F609" t="str">
            <v>TERRESTRE</v>
          </cell>
          <cell r="G609" t="str">
            <v>BOGOTA</v>
          </cell>
        </row>
        <row r="610">
          <cell r="A610">
            <v>25743</v>
          </cell>
          <cell r="B610" t="str">
            <v>SILVANIA</v>
          </cell>
          <cell r="C610" t="str">
            <v>CUNDINAMARCA</v>
          </cell>
          <cell r="D610" t="str">
            <v>BOGOTA</v>
          </cell>
          <cell r="E610" t="str">
            <v>INTERMEDIA</v>
          </cell>
          <cell r="F610" t="str">
            <v>TERRESTRE</v>
          </cell>
          <cell r="G610" t="str">
            <v>BOGOTA</v>
          </cell>
        </row>
        <row r="611">
          <cell r="A611">
            <v>25745</v>
          </cell>
          <cell r="B611" t="str">
            <v>SIMIJACA</v>
          </cell>
          <cell r="C611" t="str">
            <v>CUNDINAMARCA</v>
          </cell>
          <cell r="D611" t="str">
            <v>TUNJA</v>
          </cell>
          <cell r="E611" t="str">
            <v>LEJANA</v>
          </cell>
          <cell r="F611" t="str">
            <v>TERRESTRE</v>
          </cell>
          <cell r="G611" t="str">
            <v>TUNJA</v>
          </cell>
        </row>
        <row r="612">
          <cell r="A612">
            <v>25754</v>
          </cell>
          <cell r="B612" t="str">
            <v>SOACHA</v>
          </cell>
          <cell r="C612" t="str">
            <v>CUNDINAMARCA</v>
          </cell>
          <cell r="D612" t="str">
            <v>BOGOTA</v>
          </cell>
          <cell r="E612" t="str">
            <v>PRINCIPAL</v>
          </cell>
          <cell r="F612" t="str">
            <v>TERRESTRE</v>
          </cell>
          <cell r="G612" t="str">
            <v>BOGOTA</v>
          </cell>
        </row>
        <row r="613">
          <cell r="A613">
            <v>25758</v>
          </cell>
          <cell r="B613" t="str">
            <v>SOPO</v>
          </cell>
          <cell r="C613" t="str">
            <v>CUNDINAMARCA</v>
          </cell>
          <cell r="D613" t="str">
            <v>BOGOTA</v>
          </cell>
          <cell r="E613" t="str">
            <v>INTERMEDIA</v>
          </cell>
          <cell r="F613" t="str">
            <v>TERRESTRE</v>
          </cell>
          <cell r="G613" t="str">
            <v>BOGOTA</v>
          </cell>
        </row>
        <row r="614">
          <cell r="A614">
            <v>25769</v>
          </cell>
          <cell r="B614" t="str">
            <v>SUBACHOQUE</v>
          </cell>
          <cell r="C614" t="str">
            <v>CUNDINAMARCA</v>
          </cell>
          <cell r="D614" t="str">
            <v>BOGOTA</v>
          </cell>
          <cell r="E614" t="str">
            <v>INTERMEDIA</v>
          </cell>
          <cell r="F614" t="str">
            <v>TERRESTRE</v>
          </cell>
          <cell r="G614" t="str">
            <v>BOGOTA</v>
          </cell>
        </row>
        <row r="615">
          <cell r="A615">
            <v>25772</v>
          </cell>
          <cell r="B615" t="str">
            <v>SUESCA</v>
          </cell>
          <cell r="C615" t="str">
            <v>CUNDINAMARCA</v>
          </cell>
          <cell r="D615" t="str">
            <v>BOGOTA</v>
          </cell>
          <cell r="E615" t="str">
            <v>INTERMEDIA</v>
          </cell>
          <cell r="F615" t="str">
            <v>TERRESTRE</v>
          </cell>
          <cell r="G615" t="str">
            <v>BOGOTA</v>
          </cell>
        </row>
        <row r="616">
          <cell r="A616">
            <v>25777</v>
          </cell>
          <cell r="B616" t="str">
            <v>SUPATA</v>
          </cell>
          <cell r="C616" t="str">
            <v>CUNDINAMARCA</v>
          </cell>
          <cell r="D616" t="str">
            <v>BOGOTA</v>
          </cell>
          <cell r="E616" t="str">
            <v>INTERMEDIA</v>
          </cell>
          <cell r="F616" t="str">
            <v>TERRESTRE</v>
          </cell>
          <cell r="G616" t="str">
            <v>BOGOTA</v>
          </cell>
        </row>
        <row r="617">
          <cell r="A617">
            <v>25779</v>
          </cell>
          <cell r="B617" t="str">
            <v>SUSA</v>
          </cell>
          <cell r="C617" t="str">
            <v>CUNDINAMARCA</v>
          </cell>
          <cell r="D617" t="str">
            <v>BOGOTA</v>
          </cell>
          <cell r="E617" t="str">
            <v>LEJANA</v>
          </cell>
          <cell r="F617" t="str">
            <v>TERRESTRE</v>
          </cell>
          <cell r="G617" t="str">
            <v>BOGOTA</v>
          </cell>
        </row>
        <row r="618">
          <cell r="A618">
            <v>25781</v>
          </cell>
          <cell r="B618" t="str">
            <v>SUTATAUSA</v>
          </cell>
          <cell r="C618" t="str">
            <v>CUNDINAMARCA</v>
          </cell>
          <cell r="D618" t="str">
            <v>BOGOTA</v>
          </cell>
          <cell r="E618" t="str">
            <v>INTERMEDIA</v>
          </cell>
          <cell r="F618" t="str">
            <v>TERRESTRE</v>
          </cell>
          <cell r="G618" t="str">
            <v>BOGOTA</v>
          </cell>
        </row>
        <row r="619">
          <cell r="A619">
            <v>25785</v>
          </cell>
          <cell r="B619" t="str">
            <v>TABIO</v>
          </cell>
          <cell r="C619" t="str">
            <v>CUNDINAMARCA</v>
          </cell>
          <cell r="D619" t="str">
            <v>BOGOTA</v>
          </cell>
          <cell r="E619" t="str">
            <v>INTERMEDIA</v>
          </cell>
          <cell r="F619" t="str">
            <v>TERRESTRE</v>
          </cell>
          <cell r="G619" t="str">
            <v>BOGOTA</v>
          </cell>
        </row>
        <row r="620">
          <cell r="A620">
            <v>25793</v>
          </cell>
          <cell r="B620" t="str">
            <v>TAUSA</v>
          </cell>
          <cell r="C620" t="str">
            <v>CUNDINAMARCA</v>
          </cell>
          <cell r="D620" t="str">
            <v>BOGOTA</v>
          </cell>
          <cell r="E620" t="str">
            <v>INTERMEDIA</v>
          </cell>
          <cell r="F620" t="str">
            <v>TERRESTRE</v>
          </cell>
          <cell r="G620" t="str">
            <v>BOGOTA</v>
          </cell>
        </row>
        <row r="621">
          <cell r="A621">
            <v>25797</v>
          </cell>
          <cell r="B621" t="str">
            <v>TENA</v>
          </cell>
          <cell r="C621" t="str">
            <v>CUNDINAMARCA</v>
          </cell>
          <cell r="D621" t="str">
            <v>BOGOTA</v>
          </cell>
          <cell r="E621" t="str">
            <v>INTERMEDIA</v>
          </cell>
          <cell r="F621" t="str">
            <v>TERRESTRE</v>
          </cell>
          <cell r="G621" t="str">
            <v>BOGOTA</v>
          </cell>
        </row>
        <row r="622">
          <cell r="A622">
            <v>25799</v>
          </cell>
          <cell r="B622" t="str">
            <v>TENJO</v>
          </cell>
          <cell r="C622" t="str">
            <v>CUNDINAMARCA</v>
          </cell>
          <cell r="D622" t="str">
            <v>BOGOTA</v>
          </cell>
          <cell r="E622" t="str">
            <v>INTERMEDIA</v>
          </cell>
          <cell r="F622" t="str">
            <v>TERRESTRE</v>
          </cell>
          <cell r="G622" t="str">
            <v>BOGOTA</v>
          </cell>
        </row>
        <row r="623">
          <cell r="A623">
            <v>25805</v>
          </cell>
          <cell r="B623" t="str">
            <v>TIBACUY</v>
          </cell>
          <cell r="C623" t="str">
            <v>CUNDINAMARCA</v>
          </cell>
          <cell r="D623" t="str">
            <v>BOGOTA</v>
          </cell>
          <cell r="E623" t="str">
            <v>INTERMEDIA</v>
          </cell>
          <cell r="F623" t="str">
            <v>TERRESTRE</v>
          </cell>
          <cell r="G623" t="str">
            <v>BOGOTA</v>
          </cell>
        </row>
        <row r="624">
          <cell r="A624">
            <v>25807</v>
          </cell>
          <cell r="B624" t="str">
            <v>TIBIRITA</v>
          </cell>
          <cell r="C624" t="str">
            <v>CUNDINAMARCA</v>
          </cell>
          <cell r="D624" t="str">
            <v>BOGOTA</v>
          </cell>
          <cell r="E624" t="str">
            <v>LEJANA</v>
          </cell>
          <cell r="F624" t="str">
            <v>TERRESTRE</v>
          </cell>
          <cell r="G624" t="str">
            <v>BOGOTA</v>
          </cell>
        </row>
        <row r="625">
          <cell r="A625">
            <v>25815</v>
          </cell>
          <cell r="B625" t="str">
            <v>TOCAIMA</v>
          </cell>
          <cell r="C625" t="str">
            <v>CUNDINAMARCA</v>
          </cell>
          <cell r="D625" t="str">
            <v>BOGOTA</v>
          </cell>
          <cell r="E625" t="str">
            <v>LEJANA</v>
          </cell>
          <cell r="F625" t="str">
            <v>TERRESTRE</v>
          </cell>
          <cell r="G625" t="str">
            <v>BOGOTA</v>
          </cell>
        </row>
        <row r="626">
          <cell r="A626">
            <v>25817</v>
          </cell>
          <cell r="B626" t="str">
            <v>TOCANCIPA</v>
          </cell>
          <cell r="C626" t="str">
            <v>CUNDINAMARCA</v>
          </cell>
          <cell r="D626" t="str">
            <v>BOGOTA</v>
          </cell>
          <cell r="E626" t="str">
            <v>INTERMEDIA</v>
          </cell>
          <cell r="F626" t="str">
            <v>TERRESTRE</v>
          </cell>
          <cell r="G626" t="str">
            <v>BOGOTA</v>
          </cell>
        </row>
        <row r="627">
          <cell r="A627">
            <v>25823</v>
          </cell>
          <cell r="B627" t="str">
            <v>TOPAIPI</v>
          </cell>
          <cell r="C627" t="str">
            <v>CUNDINAMARCA</v>
          </cell>
          <cell r="D627" t="str">
            <v>BOGOTA</v>
          </cell>
          <cell r="E627" t="str">
            <v>LEJANA</v>
          </cell>
          <cell r="F627" t="str">
            <v>TERRESTRE</v>
          </cell>
          <cell r="G627" t="str">
            <v>BOGOTA</v>
          </cell>
        </row>
        <row r="628">
          <cell r="A628">
            <v>25839</v>
          </cell>
          <cell r="B628" t="str">
            <v>UBALA</v>
          </cell>
          <cell r="C628" t="str">
            <v>CUNDINAMARCA</v>
          </cell>
          <cell r="D628" t="str">
            <v>BOGOTA</v>
          </cell>
          <cell r="E628" t="str">
            <v>LEJANA</v>
          </cell>
          <cell r="F628" t="str">
            <v>TERRESTRE</v>
          </cell>
          <cell r="G628" t="str">
            <v>BOGOTA</v>
          </cell>
        </row>
        <row r="629">
          <cell r="A629">
            <v>25841</v>
          </cell>
          <cell r="B629" t="str">
            <v>UBAQUE</v>
          </cell>
          <cell r="C629" t="str">
            <v>CUNDINAMARCA</v>
          </cell>
          <cell r="D629" t="str">
            <v>BOGOTA</v>
          </cell>
          <cell r="E629" t="str">
            <v>INTERMEDIA</v>
          </cell>
          <cell r="F629" t="str">
            <v>TERRESTRE</v>
          </cell>
          <cell r="G629" t="str">
            <v>BOGOTA</v>
          </cell>
        </row>
        <row r="630">
          <cell r="A630">
            <v>25845</v>
          </cell>
          <cell r="B630" t="str">
            <v>UNE</v>
          </cell>
          <cell r="C630" t="str">
            <v>CUNDINAMARCA</v>
          </cell>
          <cell r="D630" t="str">
            <v>BOGOTA</v>
          </cell>
          <cell r="E630" t="str">
            <v>INTERMEDIA</v>
          </cell>
          <cell r="F630" t="str">
            <v>TERRESTRE</v>
          </cell>
          <cell r="G630" t="str">
            <v>BOGOTA</v>
          </cell>
        </row>
        <row r="631">
          <cell r="A631">
            <v>25851</v>
          </cell>
          <cell r="B631" t="str">
            <v>UTICA</v>
          </cell>
          <cell r="C631" t="str">
            <v>CUNDINAMARCA</v>
          </cell>
          <cell r="D631" t="str">
            <v>BOGOTA</v>
          </cell>
          <cell r="E631" t="str">
            <v>LEJANA</v>
          </cell>
          <cell r="F631" t="str">
            <v>TERRESTRE</v>
          </cell>
          <cell r="G631" t="str">
            <v>BOGOTA</v>
          </cell>
        </row>
        <row r="632">
          <cell r="A632">
            <v>25862</v>
          </cell>
          <cell r="B632" t="str">
            <v>VERGARA</v>
          </cell>
          <cell r="C632" t="str">
            <v>CUNDINAMARCA</v>
          </cell>
          <cell r="D632" t="str">
            <v>BOGOTA</v>
          </cell>
          <cell r="E632" t="str">
            <v>LEJANA</v>
          </cell>
          <cell r="F632" t="str">
            <v>TERRESTRE</v>
          </cell>
          <cell r="G632" t="str">
            <v>BOGOTA</v>
          </cell>
        </row>
        <row r="633">
          <cell r="A633">
            <v>25867</v>
          </cell>
          <cell r="B633" t="str">
            <v>VIANI</v>
          </cell>
          <cell r="C633" t="str">
            <v>CUNDINAMARCA</v>
          </cell>
          <cell r="D633" t="str">
            <v>BOGOTA</v>
          </cell>
          <cell r="E633" t="str">
            <v>LEJANA</v>
          </cell>
          <cell r="F633" t="str">
            <v>TERRESTRE</v>
          </cell>
          <cell r="G633" t="str">
            <v>BOGOTA</v>
          </cell>
        </row>
        <row r="634">
          <cell r="A634">
            <v>25843</v>
          </cell>
          <cell r="B634" t="str">
            <v>VILLA DE SAN DIEGO DE UBATE</v>
          </cell>
          <cell r="C634" t="str">
            <v>CUNDINAMARCA</v>
          </cell>
          <cell r="D634" t="str">
            <v>BOGOTA</v>
          </cell>
          <cell r="E634" t="str">
            <v>INTERMEDIA</v>
          </cell>
          <cell r="F634" t="str">
            <v>TERRESTRE</v>
          </cell>
          <cell r="G634" t="str">
            <v>BOGOTA</v>
          </cell>
        </row>
        <row r="635">
          <cell r="A635">
            <v>25871</v>
          </cell>
          <cell r="B635" t="str">
            <v>VILLAGOMEZ</v>
          </cell>
          <cell r="C635" t="str">
            <v>CUNDINAMARCA</v>
          </cell>
          <cell r="D635" t="str">
            <v>BOGOTA</v>
          </cell>
          <cell r="E635" t="str">
            <v>LEJANA</v>
          </cell>
          <cell r="F635" t="str">
            <v>TERRESTRE</v>
          </cell>
          <cell r="G635" t="str">
            <v>BOGOTA</v>
          </cell>
        </row>
        <row r="636">
          <cell r="A636">
            <v>25873</v>
          </cell>
          <cell r="B636" t="str">
            <v>VILLAPINZON</v>
          </cell>
          <cell r="C636" t="str">
            <v>CUNDINAMARCA</v>
          </cell>
          <cell r="D636" t="str">
            <v>TUNJA</v>
          </cell>
          <cell r="E636" t="str">
            <v>INTERMEDIA</v>
          </cell>
          <cell r="F636" t="str">
            <v>TERRESTRE</v>
          </cell>
          <cell r="G636" t="str">
            <v>TUNJA</v>
          </cell>
        </row>
        <row r="637">
          <cell r="A637">
            <v>25875</v>
          </cell>
          <cell r="B637" t="str">
            <v>VILLETA</v>
          </cell>
          <cell r="C637" t="str">
            <v>CUNDINAMARCA</v>
          </cell>
          <cell r="D637" t="str">
            <v>BOGOTA</v>
          </cell>
          <cell r="E637" t="str">
            <v>INTERMEDIA</v>
          </cell>
          <cell r="F637" t="str">
            <v>TERRESTRE</v>
          </cell>
          <cell r="G637" t="str">
            <v>BOGOTA</v>
          </cell>
        </row>
        <row r="638">
          <cell r="A638">
            <v>25878</v>
          </cell>
          <cell r="B638" t="str">
            <v>VIOTA</v>
          </cell>
          <cell r="C638" t="str">
            <v>CUNDINAMARCA</v>
          </cell>
          <cell r="D638" t="str">
            <v>BOGOTA</v>
          </cell>
          <cell r="E638" t="str">
            <v>LEJANA</v>
          </cell>
          <cell r="F638" t="str">
            <v>TERRESTRE</v>
          </cell>
          <cell r="G638" t="str">
            <v>BOGOTA</v>
          </cell>
        </row>
        <row r="639">
          <cell r="A639">
            <v>25885</v>
          </cell>
          <cell r="B639" t="str">
            <v>YACOPI</v>
          </cell>
          <cell r="C639" t="str">
            <v>CUNDINAMARCA</v>
          </cell>
          <cell r="D639" t="str">
            <v>BOGOTA</v>
          </cell>
          <cell r="E639" t="str">
            <v>LEJANA</v>
          </cell>
          <cell r="F639" t="str">
            <v>TERRESTRE</v>
          </cell>
          <cell r="G639" t="str">
            <v>BOGOTA</v>
          </cell>
        </row>
        <row r="640">
          <cell r="A640">
            <v>25898</v>
          </cell>
          <cell r="B640" t="str">
            <v>ZIPACON</v>
          </cell>
          <cell r="C640" t="str">
            <v>CUNDINAMARCA</v>
          </cell>
          <cell r="D640" t="str">
            <v>BOGOTA</v>
          </cell>
          <cell r="E640" t="str">
            <v>INTERMEDIA</v>
          </cell>
          <cell r="F640" t="str">
            <v>TERRESTRE</v>
          </cell>
          <cell r="G640" t="str">
            <v>BOGOTA</v>
          </cell>
        </row>
        <row r="641">
          <cell r="A641">
            <v>25899</v>
          </cell>
          <cell r="B641" t="str">
            <v>ZIPAQUIRA</v>
          </cell>
          <cell r="C641" t="str">
            <v>CUNDINAMARCA</v>
          </cell>
          <cell r="D641" t="str">
            <v>BOGOTA</v>
          </cell>
          <cell r="E641" t="str">
            <v>INTERMEDIA</v>
          </cell>
          <cell r="F641" t="str">
            <v>TERRESTRE</v>
          </cell>
          <cell r="G641" t="str">
            <v>BOGOTA</v>
          </cell>
        </row>
        <row r="642">
          <cell r="A642">
            <v>94884</v>
          </cell>
          <cell r="B642" t="str">
            <v>PUERTO COLOMBIA</v>
          </cell>
          <cell r="C642" t="str">
            <v>GUAINIA</v>
          </cell>
          <cell r="D642" t="str">
            <v>VILLAVICENCIO</v>
          </cell>
          <cell r="E642" t="str">
            <v>LEJANA</v>
          </cell>
          <cell r="F642" t="str">
            <v>AEREO</v>
          </cell>
          <cell r="G642" t="str">
            <v>VILLAVICENCIO</v>
          </cell>
        </row>
        <row r="643">
          <cell r="A643">
            <v>94343</v>
          </cell>
          <cell r="B643" t="str">
            <v>BARRANCO MINAS</v>
          </cell>
          <cell r="C643" t="str">
            <v>GUAINIA</v>
          </cell>
          <cell r="D643" t="str">
            <v>VILLAVICENCIO</v>
          </cell>
          <cell r="E643" t="str">
            <v>LEJANA</v>
          </cell>
          <cell r="F643" t="str">
            <v>AEREO</v>
          </cell>
          <cell r="G643" t="str">
            <v>VILLAVICENCIO</v>
          </cell>
        </row>
        <row r="644">
          <cell r="A644">
            <v>94886</v>
          </cell>
          <cell r="B644" t="str">
            <v>CACAHUAL</v>
          </cell>
          <cell r="C644" t="str">
            <v>GUAINIA</v>
          </cell>
          <cell r="D644" t="str">
            <v>VILLAVICENCIO</v>
          </cell>
          <cell r="E644" t="str">
            <v>LEJANA</v>
          </cell>
          <cell r="F644" t="str">
            <v>AEREO</v>
          </cell>
          <cell r="G644" t="str">
            <v>VILLAVICENCIO</v>
          </cell>
        </row>
        <row r="645">
          <cell r="A645">
            <v>94001</v>
          </cell>
          <cell r="B645" t="str">
            <v>INIRIDA</v>
          </cell>
          <cell r="C645" t="str">
            <v>GUAINIA</v>
          </cell>
          <cell r="D645" t="str">
            <v>BOGOTA</v>
          </cell>
          <cell r="E645" t="str">
            <v>LEJANA</v>
          </cell>
          <cell r="F645" t="str">
            <v>AEREO</v>
          </cell>
          <cell r="G645" t="str">
            <v>BOGOTA</v>
          </cell>
        </row>
        <row r="646">
          <cell r="A646">
            <v>94885</v>
          </cell>
          <cell r="B646" t="str">
            <v>LA GUADALUPE</v>
          </cell>
          <cell r="C646" t="str">
            <v>GUAINIA</v>
          </cell>
          <cell r="D646" t="str">
            <v>VILLAVICENCIO</v>
          </cell>
          <cell r="E646" t="str">
            <v>LEJANA</v>
          </cell>
          <cell r="F646" t="str">
            <v>AEREO</v>
          </cell>
          <cell r="G646" t="str">
            <v>VILLAVICENCIO</v>
          </cell>
        </row>
        <row r="647">
          <cell r="A647">
            <v>94663</v>
          </cell>
          <cell r="B647" t="str">
            <v>MAPIRIPANA</v>
          </cell>
          <cell r="C647" t="str">
            <v>GUAINIA</v>
          </cell>
          <cell r="D647" t="str">
            <v>VILLAVICENCIO</v>
          </cell>
          <cell r="E647" t="str">
            <v>LEJANA</v>
          </cell>
          <cell r="F647" t="str">
            <v>AEREO</v>
          </cell>
          <cell r="G647" t="str">
            <v>VILLAVICENCIO</v>
          </cell>
        </row>
        <row r="648">
          <cell r="A648">
            <v>94888</v>
          </cell>
          <cell r="B648" t="str">
            <v>MORICHAL</v>
          </cell>
          <cell r="C648" t="str">
            <v>GUAINIA</v>
          </cell>
          <cell r="D648" t="str">
            <v>VILLAVICENCIO</v>
          </cell>
          <cell r="E648" t="str">
            <v>LEJANA</v>
          </cell>
          <cell r="F648" t="str">
            <v>AEREO</v>
          </cell>
          <cell r="G648" t="str">
            <v>VILLAVICENCIO</v>
          </cell>
        </row>
        <row r="649">
          <cell r="A649">
            <v>94887</v>
          </cell>
          <cell r="B649" t="str">
            <v>PANA PANA</v>
          </cell>
          <cell r="C649" t="str">
            <v>GUAINIA</v>
          </cell>
          <cell r="D649" t="str">
            <v>VILLAVICENCIO</v>
          </cell>
          <cell r="E649" t="str">
            <v>LEJANA</v>
          </cell>
          <cell r="F649" t="str">
            <v>AEREO</v>
          </cell>
          <cell r="G649" t="str">
            <v>VILLAVICENCIO</v>
          </cell>
        </row>
        <row r="650">
          <cell r="A650">
            <v>94883</v>
          </cell>
          <cell r="B650" t="str">
            <v>SAN FELIPE</v>
          </cell>
          <cell r="C650" t="str">
            <v>GUAINIA</v>
          </cell>
          <cell r="D650" t="str">
            <v>VILLAVICENCIO</v>
          </cell>
          <cell r="E650" t="str">
            <v>LEJANA</v>
          </cell>
          <cell r="F650" t="str">
            <v>AEREO</v>
          </cell>
          <cell r="G650" t="str">
            <v>VILLAVICENCIO</v>
          </cell>
        </row>
        <row r="651">
          <cell r="A651">
            <v>95015</v>
          </cell>
          <cell r="B651" t="str">
            <v>CALAMAR</v>
          </cell>
          <cell r="C651" t="str">
            <v>GUAVIARE</v>
          </cell>
          <cell r="D651" t="str">
            <v>VILLAVICENCIO</v>
          </cell>
          <cell r="E651" t="str">
            <v>LEJANA</v>
          </cell>
          <cell r="F651" t="str">
            <v>AEREO</v>
          </cell>
          <cell r="G651" t="str">
            <v>VILLAVICENCIO</v>
          </cell>
        </row>
        <row r="652">
          <cell r="A652">
            <v>95200</v>
          </cell>
          <cell r="B652" t="str">
            <v>MIRAFLORES</v>
          </cell>
          <cell r="C652" t="str">
            <v>GUAVIARE</v>
          </cell>
          <cell r="D652" t="str">
            <v>VILLAVICENCIO</v>
          </cell>
          <cell r="E652" t="str">
            <v>LEJANA</v>
          </cell>
          <cell r="F652" t="str">
            <v>AEREO</v>
          </cell>
          <cell r="G652" t="str">
            <v>VILLAVICENCIO</v>
          </cell>
        </row>
        <row r="653">
          <cell r="A653">
            <v>95025</v>
          </cell>
          <cell r="B653" t="str">
            <v>EL RETORNO</v>
          </cell>
          <cell r="C653" t="str">
            <v>GUAVIARE</v>
          </cell>
          <cell r="D653" t="str">
            <v>VILLAVICENCIO</v>
          </cell>
          <cell r="E653" t="str">
            <v>LEJANA</v>
          </cell>
          <cell r="F653" t="str">
            <v>TERRESTRE</v>
          </cell>
          <cell r="G653" t="str">
            <v>VILLAVICENCIO</v>
          </cell>
        </row>
        <row r="654">
          <cell r="A654">
            <v>95001</v>
          </cell>
          <cell r="B654" t="str">
            <v>SAN JOSE DEL GUAVIARE</v>
          </cell>
          <cell r="C654" t="str">
            <v>GUAVIARE</v>
          </cell>
          <cell r="D654" t="str">
            <v>VILLAVICENCIO</v>
          </cell>
          <cell r="E654" t="str">
            <v>LEJANA</v>
          </cell>
          <cell r="F654" t="str">
            <v>TERRESTRE</v>
          </cell>
          <cell r="G654" t="str">
            <v>VILLAVICENCIO</v>
          </cell>
        </row>
        <row r="655">
          <cell r="A655">
            <v>41319</v>
          </cell>
          <cell r="B655" t="str">
            <v>GUADALUPE</v>
          </cell>
          <cell r="C655" t="str">
            <v>HUILA</v>
          </cell>
          <cell r="D655" t="str">
            <v>NEIVA</v>
          </cell>
          <cell r="E655" t="str">
            <v>LEJANA</v>
          </cell>
          <cell r="F655" t="str">
            <v>TERRESTRE</v>
          </cell>
          <cell r="G655" t="str">
            <v>NEIVA</v>
          </cell>
        </row>
        <row r="656">
          <cell r="A656">
            <v>41530</v>
          </cell>
          <cell r="B656" t="str">
            <v>PALESTINA</v>
          </cell>
          <cell r="C656" t="str">
            <v>HUILA</v>
          </cell>
          <cell r="D656" t="str">
            <v>NEIVA</v>
          </cell>
          <cell r="E656" t="str">
            <v>LEJANA</v>
          </cell>
          <cell r="F656" t="str">
            <v>TERRESTRE</v>
          </cell>
          <cell r="G656" t="str">
            <v>NEIVA</v>
          </cell>
        </row>
        <row r="657">
          <cell r="A657">
            <v>41676</v>
          </cell>
          <cell r="B657" t="str">
            <v>SANTA MARIA</v>
          </cell>
          <cell r="C657" t="str">
            <v>HUILA</v>
          </cell>
          <cell r="D657" t="str">
            <v>NEIVA</v>
          </cell>
          <cell r="E657" t="str">
            <v>LEJANA</v>
          </cell>
          <cell r="F657" t="str">
            <v>TERRESTRE</v>
          </cell>
          <cell r="G657" t="str">
            <v>NEIVA</v>
          </cell>
        </row>
        <row r="658">
          <cell r="A658">
            <v>41006</v>
          </cell>
          <cell r="B658" t="str">
            <v>ACEVEDO</v>
          </cell>
          <cell r="C658" t="str">
            <v>HUILA</v>
          </cell>
          <cell r="D658" t="str">
            <v>NEIVA</v>
          </cell>
          <cell r="E658" t="str">
            <v>LEJANA</v>
          </cell>
          <cell r="F658" t="str">
            <v>TERRESTRE</v>
          </cell>
          <cell r="G658" t="str">
            <v>NEIVA</v>
          </cell>
        </row>
        <row r="659">
          <cell r="A659">
            <v>41013</v>
          </cell>
          <cell r="B659" t="str">
            <v>AGRADO</v>
          </cell>
          <cell r="C659" t="str">
            <v>HUILA</v>
          </cell>
          <cell r="D659" t="str">
            <v>NEIVA</v>
          </cell>
          <cell r="E659" t="str">
            <v>LEJANA</v>
          </cell>
          <cell r="F659" t="str">
            <v>TERRESTRE</v>
          </cell>
          <cell r="G659" t="str">
            <v>NEIVA</v>
          </cell>
        </row>
        <row r="660">
          <cell r="A660">
            <v>41016</v>
          </cell>
          <cell r="B660" t="str">
            <v>AIPE</v>
          </cell>
          <cell r="C660" t="str">
            <v>HUILA</v>
          </cell>
          <cell r="D660" t="str">
            <v>NEIVA</v>
          </cell>
          <cell r="E660" t="str">
            <v>INTERMEDIA</v>
          </cell>
          <cell r="F660" t="str">
            <v>TERRESTRE</v>
          </cell>
          <cell r="G660" t="str">
            <v>NEIVA</v>
          </cell>
        </row>
        <row r="661">
          <cell r="A661">
            <v>41020</v>
          </cell>
          <cell r="B661" t="str">
            <v>ALGECIRAS</v>
          </cell>
          <cell r="C661" t="str">
            <v>HUILA</v>
          </cell>
          <cell r="D661" t="str">
            <v>NEIVA</v>
          </cell>
          <cell r="E661" t="str">
            <v>INTERMEDIA</v>
          </cell>
          <cell r="F661" t="str">
            <v>TERRESTRE</v>
          </cell>
          <cell r="G661" t="str">
            <v>NEIVA</v>
          </cell>
        </row>
        <row r="662">
          <cell r="A662">
            <v>41026</v>
          </cell>
          <cell r="B662" t="str">
            <v>ALTAMIRA</v>
          </cell>
          <cell r="C662" t="str">
            <v>HUILA</v>
          </cell>
          <cell r="D662" t="str">
            <v>NEIVA</v>
          </cell>
          <cell r="E662" t="str">
            <v>LEJANA</v>
          </cell>
          <cell r="F662" t="str">
            <v>TERRESTRE</v>
          </cell>
          <cell r="G662" t="str">
            <v>NEIVA</v>
          </cell>
        </row>
        <row r="663">
          <cell r="A663">
            <v>41078</v>
          </cell>
          <cell r="B663" t="str">
            <v>BARAYA</v>
          </cell>
          <cell r="C663" t="str">
            <v>HUILA</v>
          </cell>
          <cell r="D663" t="str">
            <v>NEIVA</v>
          </cell>
          <cell r="E663" t="str">
            <v>INTERMEDIA</v>
          </cell>
          <cell r="F663" t="str">
            <v>TERRESTRE</v>
          </cell>
          <cell r="G663" t="str">
            <v>NEIVA</v>
          </cell>
        </row>
        <row r="664">
          <cell r="A664">
            <v>41132</v>
          </cell>
          <cell r="B664" t="str">
            <v>CAMPOALEGRE</v>
          </cell>
          <cell r="C664" t="str">
            <v>HUILA</v>
          </cell>
          <cell r="D664" t="str">
            <v>NEIVA</v>
          </cell>
          <cell r="E664" t="str">
            <v>INTERMEDIA</v>
          </cell>
          <cell r="F664" t="str">
            <v>TERRESTRE</v>
          </cell>
          <cell r="G664" t="str">
            <v>NEIVA</v>
          </cell>
        </row>
        <row r="665">
          <cell r="A665">
            <v>41206</v>
          </cell>
          <cell r="B665" t="str">
            <v>COLOMBIA</v>
          </cell>
          <cell r="C665" t="str">
            <v>HUILA</v>
          </cell>
          <cell r="D665" t="str">
            <v>NEIVA</v>
          </cell>
          <cell r="E665" t="str">
            <v>LEJANA</v>
          </cell>
          <cell r="F665" t="str">
            <v>TERRESTRE</v>
          </cell>
          <cell r="G665" t="str">
            <v>NEIVA</v>
          </cell>
        </row>
        <row r="666">
          <cell r="A666">
            <v>41244</v>
          </cell>
          <cell r="B666" t="str">
            <v>ELIAS</v>
          </cell>
          <cell r="C666" t="str">
            <v>HUILA</v>
          </cell>
          <cell r="D666" t="str">
            <v>NEIVA</v>
          </cell>
          <cell r="E666" t="str">
            <v>LEJANA</v>
          </cell>
          <cell r="F666" t="str">
            <v>TERRESTRE</v>
          </cell>
          <cell r="G666" t="str">
            <v>NEIVA</v>
          </cell>
        </row>
        <row r="667">
          <cell r="A667">
            <v>41298</v>
          </cell>
          <cell r="B667" t="str">
            <v>GARZON</v>
          </cell>
          <cell r="C667" t="str">
            <v>HUILA</v>
          </cell>
          <cell r="D667" t="str">
            <v>NEIVA</v>
          </cell>
          <cell r="E667" t="str">
            <v>LEJANA</v>
          </cell>
          <cell r="F667" t="str">
            <v>TERRESTRE</v>
          </cell>
          <cell r="G667" t="str">
            <v>NEIVA</v>
          </cell>
        </row>
        <row r="668">
          <cell r="A668">
            <v>41306</v>
          </cell>
          <cell r="B668" t="str">
            <v>GIGANTE</v>
          </cell>
          <cell r="C668" t="str">
            <v>HUILA</v>
          </cell>
          <cell r="D668" t="str">
            <v>NEIVA</v>
          </cell>
          <cell r="E668" t="str">
            <v>INTERMEDIA</v>
          </cell>
          <cell r="F668" t="str">
            <v>TERRESTRE</v>
          </cell>
          <cell r="G668" t="str">
            <v>NEIVA</v>
          </cell>
        </row>
        <row r="669">
          <cell r="A669">
            <v>41349</v>
          </cell>
          <cell r="B669" t="str">
            <v>HOBO</v>
          </cell>
          <cell r="C669" t="str">
            <v>HUILA</v>
          </cell>
          <cell r="D669" t="str">
            <v>NEIVA</v>
          </cell>
          <cell r="E669" t="str">
            <v>INTERMEDIA</v>
          </cell>
          <cell r="F669" t="str">
            <v>TERRESTRE</v>
          </cell>
          <cell r="G669" t="str">
            <v>NEIVA</v>
          </cell>
        </row>
        <row r="670">
          <cell r="A670">
            <v>41357</v>
          </cell>
          <cell r="B670" t="str">
            <v>IQUIRA</v>
          </cell>
          <cell r="C670" t="str">
            <v>HUILA</v>
          </cell>
          <cell r="D670" t="str">
            <v>NEIVA</v>
          </cell>
          <cell r="E670" t="str">
            <v>INTERMEDIA</v>
          </cell>
          <cell r="F670" t="str">
            <v>TERRESTRE</v>
          </cell>
          <cell r="G670" t="str">
            <v>NEIVA</v>
          </cell>
        </row>
        <row r="671">
          <cell r="A671">
            <v>41359</v>
          </cell>
          <cell r="B671" t="str">
            <v>ISNOS</v>
          </cell>
          <cell r="C671" t="str">
            <v>HUILA</v>
          </cell>
          <cell r="D671" t="str">
            <v>NEIVA</v>
          </cell>
          <cell r="E671" t="str">
            <v>LEJANA</v>
          </cell>
          <cell r="F671" t="str">
            <v>TERRESTRE</v>
          </cell>
          <cell r="G671" t="str">
            <v>NEIVA</v>
          </cell>
        </row>
        <row r="672">
          <cell r="A672">
            <v>41378</v>
          </cell>
          <cell r="B672" t="str">
            <v>LA ARGENTINA</v>
          </cell>
          <cell r="C672" t="str">
            <v>HUILA</v>
          </cell>
          <cell r="D672" t="str">
            <v>NEIVA</v>
          </cell>
          <cell r="E672" t="str">
            <v>LEJANA</v>
          </cell>
          <cell r="F672" t="str">
            <v>TERRESTRE</v>
          </cell>
          <cell r="G672" t="str">
            <v>NEIVA</v>
          </cell>
        </row>
        <row r="673">
          <cell r="A673">
            <v>41396</v>
          </cell>
          <cell r="B673" t="str">
            <v>LA PLATA</v>
          </cell>
          <cell r="C673" t="str">
            <v>HUILA</v>
          </cell>
          <cell r="D673" t="str">
            <v>NEIVA</v>
          </cell>
          <cell r="E673" t="str">
            <v>LEJANA</v>
          </cell>
          <cell r="F673" t="str">
            <v>TERRESTRE</v>
          </cell>
          <cell r="G673" t="str">
            <v>NEIVA</v>
          </cell>
        </row>
        <row r="674">
          <cell r="A674">
            <v>41483</v>
          </cell>
          <cell r="B674" t="str">
            <v>NATAGA</v>
          </cell>
          <cell r="C674" t="str">
            <v>HUILA</v>
          </cell>
          <cell r="D674" t="str">
            <v>NEIVA</v>
          </cell>
          <cell r="E674" t="str">
            <v>LEJANA</v>
          </cell>
          <cell r="F674" t="str">
            <v>TERRESTRE</v>
          </cell>
          <cell r="G674" t="str">
            <v>NEIVA</v>
          </cell>
        </row>
        <row r="675">
          <cell r="A675">
            <v>41001</v>
          </cell>
          <cell r="B675" t="str">
            <v>NEIVA</v>
          </cell>
          <cell r="C675" t="str">
            <v>HUILA</v>
          </cell>
          <cell r="D675" t="str">
            <v>NEIVA</v>
          </cell>
          <cell r="E675" t="str">
            <v>PRINCIPAL</v>
          </cell>
          <cell r="F675" t="str">
            <v>TERRESTRE</v>
          </cell>
          <cell r="G675" t="str">
            <v>NEIVA</v>
          </cell>
        </row>
        <row r="676">
          <cell r="A676">
            <v>41503</v>
          </cell>
          <cell r="B676" t="str">
            <v>OPORAPA</v>
          </cell>
          <cell r="C676" t="str">
            <v>HUILA</v>
          </cell>
          <cell r="D676" t="str">
            <v>NEIVA</v>
          </cell>
          <cell r="E676" t="str">
            <v>LEJANA</v>
          </cell>
          <cell r="F676" t="str">
            <v>TERRESTRE</v>
          </cell>
          <cell r="G676" t="str">
            <v>NEIVA</v>
          </cell>
        </row>
        <row r="677">
          <cell r="A677">
            <v>41518</v>
          </cell>
          <cell r="B677" t="str">
            <v>PAICOL</v>
          </cell>
          <cell r="C677" t="str">
            <v>HUILA</v>
          </cell>
          <cell r="D677" t="str">
            <v>NEIVA</v>
          </cell>
          <cell r="E677" t="str">
            <v>INTERMEDIA</v>
          </cell>
          <cell r="F677" t="str">
            <v>TERRESTRE</v>
          </cell>
          <cell r="G677" t="str">
            <v>NEIVA</v>
          </cell>
        </row>
        <row r="678">
          <cell r="A678">
            <v>41524</v>
          </cell>
          <cell r="B678" t="str">
            <v>PALERMO</v>
          </cell>
          <cell r="C678" t="str">
            <v>HUILA</v>
          </cell>
          <cell r="D678" t="str">
            <v>NEIVA</v>
          </cell>
          <cell r="E678" t="str">
            <v>PRINCIPAL</v>
          </cell>
          <cell r="F678" t="str">
            <v>TERRESTRE</v>
          </cell>
          <cell r="G678" t="str">
            <v>NEIVA</v>
          </cell>
        </row>
        <row r="679">
          <cell r="A679">
            <v>41548</v>
          </cell>
          <cell r="B679" t="str">
            <v>PITAL</v>
          </cell>
          <cell r="C679" t="str">
            <v>HUILA</v>
          </cell>
          <cell r="D679" t="str">
            <v>NEIVA</v>
          </cell>
          <cell r="E679" t="str">
            <v>LEJANA</v>
          </cell>
          <cell r="F679" t="str">
            <v>TERRESTRE</v>
          </cell>
          <cell r="G679" t="str">
            <v>NEIVA</v>
          </cell>
        </row>
        <row r="680">
          <cell r="A680">
            <v>41551</v>
          </cell>
          <cell r="B680" t="str">
            <v>PITALITO</v>
          </cell>
          <cell r="C680" t="str">
            <v>HUILA</v>
          </cell>
          <cell r="D680" t="str">
            <v>NEIVA</v>
          </cell>
          <cell r="E680" t="str">
            <v>LEJANA</v>
          </cell>
          <cell r="F680" t="str">
            <v>TERRESTRE</v>
          </cell>
          <cell r="G680" t="str">
            <v>NEIVA</v>
          </cell>
        </row>
        <row r="681">
          <cell r="A681">
            <v>41615</v>
          </cell>
          <cell r="B681" t="str">
            <v>RIVERA</v>
          </cell>
          <cell r="C681" t="str">
            <v>HUILA</v>
          </cell>
          <cell r="D681" t="str">
            <v>NEIVA</v>
          </cell>
          <cell r="E681" t="str">
            <v>PRINCIPAL</v>
          </cell>
          <cell r="F681" t="str">
            <v>TERRESTRE</v>
          </cell>
          <cell r="G681" t="str">
            <v>NEIVA</v>
          </cell>
        </row>
        <row r="682">
          <cell r="A682">
            <v>41660</v>
          </cell>
          <cell r="B682" t="str">
            <v>SALADOBLANCO</v>
          </cell>
          <cell r="C682" t="str">
            <v>HUILA</v>
          </cell>
          <cell r="D682" t="str">
            <v>NEIVA</v>
          </cell>
          <cell r="E682" t="str">
            <v>LEJANA</v>
          </cell>
          <cell r="F682" t="str">
            <v>TERRESTRE</v>
          </cell>
          <cell r="G682" t="str">
            <v>NEIVA</v>
          </cell>
        </row>
        <row r="683">
          <cell r="A683">
            <v>41668</v>
          </cell>
          <cell r="B683" t="str">
            <v>SAN AGUSTIN</v>
          </cell>
          <cell r="C683" t="str">
            <v>HUILA</v>
          </cell>
          <cell r="D683" t="str">
            <v>NEIVA</v>
          </cell>
          <cell r="E683" t="str">
            <v>LEJANA</v>
          </cell>
          <cell r="F683" t="str">
            <v>TERRESTRE</v>
          </cell>
          <cell r="G683" t="str">
            <v>NEIVA</v>
          </cell>
        </row>
        <row r="684">
          <cell r="A684">
            <v>41770</v>
          </cell>
          <cell r="B684" t="str">
            <v>SUAZA</v>
          </cell>
          <cell r="C684" t="str">
            <v>HUILA</v>
          </cell>
          <cell r="D684" t="str">
            <v>NEIVA</v>
          </cell>
          <cell r="E684" t="str">
            <v>LEJANA</v>
          </cell>
          <cell r="F684" t="str">
            <v>TERRESTRE</v>
          </cell>
          <cell r="G684" t="str">
            <v>NEIVA</v>
          </cell>
        </row>
        <row r="685">
          <cell r="A685">
            <v>41791</v>
          </cell>
          <cell r="B685" t="str">
            <v>TARQUI</v>
          </cell>
          <cell r="C685" t="str">
            <v>HUILA</v>
          </cell>
          <cell r="D685" t="str">
            <v>NEIVA</v>
          </cell>
          <cell r="E685" t="str">
            <v>LEJANA</v>
          </cell>
          <cell r="F685" t="str">
            <v>TERRESTRE</v>
          </cell>
          <cell r="G685" t="str">
            <v>NEIVA</v>
          </cell>
        </row>
        <row r="686">
          <cell r="A686">
            <v>41799</v>
          </cell>
          <cell r="B686" t="str">
            <v>TELLO</v>
          </cell>
          <cell r="C686" t="str">
            <v>HUILA</v>
          </cell>
          <cell r="D686" t="str">
            <v>NEIVA</v>
          </cell>
          <cell r="E686" t="str">
            <v>INTERMEDIA</v>
          </cell>
          <cell r="F686" t="str">
            <v>TERRESTRE</v>
          </cell>
          <cell r="G686" t="str">
            <v>NEIVA</v>
          </cell>
        </row>
        <row r="687">
          <cell r="A687">
            <v>41801</v>
          </cell>
          <cell r="B687" t="str">
            <v>TERUEL</v>
          </cell>
          <cell r="C687" t="str">
            <v>HUILA</v>
          </cell>
          <cell r="D687" t="str">
            <v>NEIVA</v>
          </cell>
          <cell r="E687" t="str">
            <v>INTERMEDIA</v>
          </cell>
          <cell r="F687" t="str">
            <v>TERRESTRE</v>
          </cell>
          <cell r="G687" t="str">
            <v>NEIVA</v>
          </cell>
        </row>
        <row r="688">
          <cell r="A688">
            <v>41797</v>
          </cell>
          <cell r="B688" t="str">
            <v>TESALIA</v>
          </cell>
          <cell r="C688" t="str">
            <v>HUILA</v>
          </cell>
          <cell r="D688" t="str">
            <v>NEIVA</v>
          </cell>
          <cell r="E688" t="str">
            <v>INTERMEDIA</v>
          </cell>
          <cell r="F688" t="str">
            <v>TERRESTRE</v>
          </cell>
          <cell r="G688" t="str">
            <v>NEIVA</v>
          </cell>
        </row>
        <row r="689">
          <cell r="A689">
            <v>41807</v>
          </cell>
          <cell r="B689" t="str">
            <v>TIMANA</v>
          </cell>
          <cell r="C689" t="str">
            <v>HUILA</v>
          </cell>
          <cell r="D689" t="str">
            <v>NEIVA</v>
          </cell>
          <cell r="E689" t="str">
            <v>LEJANA</v>
          </cell>
          <cell r="F689" t="str">
            <v>TERRESTRE</v>
          </cell>
          <cell r="G689" t="str">
            <v>NEIVA</v>
          </cell>
        </row>
        <row r="690">
          <cell r="A690">
            <v>41872</v>
          </cell>
          <cell r="B690" t="str">
            <v>VILLAVIEJA</v>
          </cell>
          <cell r="C690" t="str">
            <v>HUILA</v>
          </cell>
          <cell r="D690" t="str">
            <v>NEIVA</v>
          </cell>
          <cell r="E690" t="str">
            <v>INTERMEDIA</v>
          </cell>
          <cell r="F690" t="str">
            <v>TERRESTRE</v>
          </cell>
          <cell r="G690" t="str">
            <v>NEIVA</v>
          </cell>
        </row>
        <row r="691">
          <cell r="A691">
            <v>41885</v>
          </cell>
          <cell r="B691" t="str">
            <v>YAGUARA</v>
          </cell>
          <cell r="C691" t="str">
            <v>HUILA</v>
          </cell>
          <cell r="D691" t="str">
            <v>NEIVA</v>
          </cell>
          <cell r="E691" t="str">
            <v>INTERMEDIA</v>
          </cell>
          <cell r="F691" t="str">
            <v>TERRESTRE</v>
          </cell>
          <cell r="G691" t="str">
            <v>NEIVA</v>
          </cell>
        </row>
        <row r="692">
          <cell r="A692">
            <v>44035</v>
          </cell>
          <cell r="B692" t="str">
            <v>ALBANIA</v>
          </cell>
          <cell r="C692" t="str">
            <v>LA GUAJIRA</v>
          </cell>
          <cell r="D692" t="str">
            <v>VALLEDUPAR</v>
          </cell>
          <cell r="E692" t="str">
            <v>LEJANA</v>
          </cell>
          <cell r="F692" t="str">
            <v>TERRESTRE</v>
          </cell>
          <cell r="G692" t="str">
            <v>VALLEDUPAR</v>
          </cell>
        </row>
        <row r="693">
          <cell r="A693">
            <v>44560</v>
          </cell>
          <cell r="B693" t="str">
            <v>MANAURE</v>
          </cell>
          <cell r="C693" t="str">
            <v>LA GUAJIRA</v>
          </cell>
          <cell r="D693" t="str">
            <v>SANTA MARTA</v>
          </cell>
          <cell r="E693" t="str">
            <v>LEJANA</v>
          </cell>
          <cell r="F693" t="str">
            <v>TERRESTRE</v>
          </cell>
          <cell r="G693" t="str">
            <v>SANTA MARTA</v>
          </cell>
        </row>
        <row r="694">
          <cell r="A694">
            <v>44874</v>
          </cell>
          <cell r="B694" t="str">
            <v>VILLANUEVA</v>
          </cell>
          <cell r="C694" t="str">
            <v>LA GUAJIRA</v>
          </cell>
          <cell r="D694" t="str">
            <v>VALLEDUPAR</v>
          </cell>
          <cell r="E694" t="str">
            <v>INTERMEDIA</v>
          </cell>
          <cell r="F694" t="str">
            <v>TERRESTRE</v>
          </cell>
          <cell r="G694" t="str">
            <v>VALLEDUPAR</v>
          </cell>
        </row>
        <row r="695">
          <cell r="A695">
            <v>44078</v>
          </cell>
          <cell r="B695" t="str">
            <v>BARRANCAS</v>
          </cell>
          <cell r="C695" t="str">
            <v>LA GUAJIRA</v>
          </cell>
          <cell r="D695" t="str">
            <v>VALLEDUPAR</v>
          </cell>
          <cell r="E695" t="str">
            <v>INTERMEDIA</v>
          </cell>
          <cell r="F695" t="str">
            <v>TERRESTRE</v>
          </cell>
          <cell r="G695" t="str">
            <v>VALLEDUPAR</v>
          </cell>
        </row>
        <row r="696">
          <cell r="A696">
            <v>44090</v>
          </cell>
          <cell r="B696" t="str">
            <v>DIBULLA</v>
          </cell>
          <cell r="C696" t="str">
            <v>LA GUAJIRA</v>
          </cell>
          <cell r="D696" t="str">
            <v>SANTA MARTA</v>
          </cell>
          <cell r="E696" t="str">
            <v>LEJANA</v>
          </cell>
          <cell r="F696" t="str">
            <v>TERRESTRE</v>
          </cell>
          <cell r="G696" t="str">
            <v>SANTA MARTA</v>
          </cell>
        </row>
        <row r="697">
          <cell r="A697">
            <v>44098</v>
          </cell>
          <cell r="B697" t="str">
            <v>DISTRACCION</v>
          </cell>
          <cell r="C697" t="str">
            <v>LA GUAJIRA</v>
          </cell>
          <cell r="D697" t="str">
            <v>VALLEDUPAR</v>
          </cell>
          <cell r="E697" t="str">
            <v>INTERMEDIA</v>
          </cell>
          <cell r="F697" t="str">
            <v>TERRESTRE</v>
          </cell>
          <cell r="G697" t="str">
            <v>VALLEDUPAR</v>
          </cell>
        </row>
        <row r="698">
          <cell r="A698">
            <v>44110</v>
          </cell>
          <cell r="B698" t="str">
            <v>EL MOLINO</v>
          </cell>
          <cell r="C698" t="str">
            <v>LA GUAJIRA</v>
          </cell>
          <cell r="D698" t="str">
            <v>VALLEDUPAR</v>
          </cell>
          <cell r="E698" t="str">
            <v>INTERMEDIA</v>
          </cell>
          <cell r="F698" t="str">
            <v>TERRESTRE</v>
          </cell>
          <cell r="G698" t="str">
            <v>VALLEDUPAR</v>
          </cell>
        </row>
        <row r="699">
          <cell r="A699">
            <v>44279</v>
          </cell>
          <cell r="B699" t="str">
            <v>FONSECA</v>
          </cell>
          <cell r="C699" t="str">
            <v>LA GUAJIRA</v>
          </cell>
          <cell r="D699" t="str">
            <v>VALLEDUPAR</v>
          </cell>
          <cell r="E699" t="str">
            <v>INTERMEDIA</v>
          </cell>
          <cell r="F699" t="str">
            <v>TERRESTRE</v>
          </cell>
          <cell r="G699" t="str">
            <v>VALLEDUPAR</v>
          </cell>
        </row>
        <row r="700">
          <cell r="A700">
            <v>44378</v>
          </cell>
          <cell r="B700" t="str">
            <v>HATONUEVO</v>
          </cell>
          <cell r="C700" t="str">
            <v>LA GUAJIRA</v>
          </cell>
          <cell r="D700" t="str">
            <v>VALLEDUPAR</v>
          </cell>
          <cell r="E700" t="str">
            <v>LEJANA</v>
          </cell>
          <cell r="F700" t="str">
            <v>TERRESTRE</v>
          </cell>
          <cell r="G700" t="str">
            <v>VALLEDUPAR</v>
          </cell>
        </row>
        <row r="701">
          <cell r="A701">
            <v>44420</v>
          </cell>
          <cell r="B701" t="str">
            <v>LA JAGUA DEL PILAR</v>
          </cell>
          <cell r="C701" t="str">
            <v>LA GUAJIRA</v>
          </cell>
          <cell r="D701" t="str">
            <v>VALLEDUPAR</v>
          </cell>
          <cell r="E701" t="str">
            <v>INTERMEDIA</v>
          </cell>
          <cell r="F701" t="str">
            <v>TERRESTRE</v>
          </cell>
          <cell r="G701" t="str">
            <v>VALLEDUPAR</v>
          </cell>
        </row>
        <row r="702">
          <cell r="A702">
            <v>44430</v>
          </cell>
          <cell r="B702" t="str">
            <v>MAICAO</v>
          </cell>
          <cell r="C702" t="str">
            <v>LA GUAJIRA</v>
          </cell>
          <cell r="D702" t="str">
            <v>SANTA MARTA</v>
          </cell>
          <cell r="E702" t="str">
            <v>LEJANA</v>
          </cell>
          <cell r="F702" t="str">
            <v>TERRESTRE</v>
          </cell>
          <cell r="G702" t="str">
            <v>SANTA MARTA</v>
          </cell>
        </row>
        <row r="703">
          <cell r="A703">
            <v>44001</v>
          </cell>
          <cell r="B703" t="str">
            <v>RIOHACHA</v>
          </cell>
          <cell r="C703" t="str">
            <v>LA GUAJIRA</v>
          </cell>
          <cell r="D703" t="str">
            <v>SANTA MARTA</v>
          </cell>
          <cell r="E703" t="str">
            <v>LEJANA</v>
          </cell>
          <cell r="F703" t="str">
            <v>TERRESTRE</v>
          </cell>
          <cell r="G703" t="str">
            <v>SANTA MARTA</v>
          </cell>
        </row>
        <row r="704">
          <cell r="A704">
            <v>44650</v>
          </cell>
          <cell r="B704" t="str">
            <v>SAN JUAN DEL CESAR</v>
          </cell>
          <cell r="C704" t="str">
            <v>LA GUAJIRA</v>
          </cell>
          <cell r="D704" t="str">
            <v>VALLEDUPAR</v>
          </cell>
          <cell r="E704" t="str">
            <v>INTERMEDIA</v>
          </cell>
          <cell r="F704" t="str">
            <v>TERRESTRE</v>
          </cell>
          <cell r="G704" t="str">
            <v>VALLEDUPAR</v>
          </cell>
        </row>
        <row r="705">
          <cell r="A705">
            <v>44847</v>
          </cell>
          <cell r="B705" t="str">
            <v>URIBIA</v>
          </cell>
          <cell r="C705" t="str">
            <v>LA GUAJIRA</v>
          </cell>
          <cell r="D705" t="str">
            <v>SANTA MARTA</v>
          </cell>
          <cell r="E705" t="str">
            <v>LEJANA</v>
          </cell>
          <cell r="F705" t="str">
            <v>TERRESTRE</v>
          </cell>
          <cell r="G705" t="str">
            <v>SANTA MARTA</v>
          </cell>
        </row>
        <row r="706">
          <cell r="A706">
            <v>44855</v>
          </cell>
          <cell r="B706" t="str">
            <v>URUMITA</v>
          </cell>
          <cell r="C706" t="str">
            <v>LA GUAJIRA</v>
          </cell>
          <cell r="D706" t="str">
            <v>VALLEDUPAR</v>
          </cell>
          <cell r="E706" t="str">
            <v>INTERMEDIA</v>
          </cell>
          <cell r="F706" t="str">
            <v>TERRESTRE</v>
          </cell>
          <cell r="G706" t="str">
            <v>VALLEDUPAR</v>
          </cell>
        </row>
        <row r="707">
          <cell r="A707">
            <v>47189</v>
          </cell>
          <cell r="B707" t="str">
            <v>CIENAGA</v>
          </cell>
          <cell r="C707" t="str">
            <v>MAGDALENA</v>
          </cell>
          <cell r="D707" t="str">
            <v>SANTA MARTA</v>
          </cell>
          <cell r="E707" t="str">
            <v>INTERMEDIA</v>
          </cell>
          <cell r="F707" t="str">
            <v>TERRESTRE</v>
          </cell>
          <cell r="G707" t="str">
            <v>SANTA MARTA</v>
          </cell>
        </row>
        <row r="708">
          <cell r="A708">
            <v>47205</v>
          </cell>
          <cell r="B708" t="str">
            <v>CONCORDIA</v>
          </cell>
          <cell r="C708" t="str">
            <v>MAGDALENA</v>
          </cell>
          <cell r="D708" t="str">
            <v>BARRANQUILLA</v>
          </cell>
          <cell r="E708" t="str">
            <v>LEJANA</v>
          </cell>
          <cell r="F708" t="str">
            <v>TERRESTRE</v>
          </cell>
          <cell r="G708" t="str">
            <v>BARRANQUILLA</v>
          </cell>
        </row>
        <row r="709">
          <cell r="A709">
            <v>47318</v>
          </cell>
          <cell r="B709" t="str">
            <v>GUAMAL</v>
          </cell>
          <cell r="C709" t="str">
            <v>MAGDALENA</v>
          </cell>
          <cell r="D709" t="str">
            <v>SANTA MARTA</v>
          </cell>
          <cell r="E709" t="str">
            <v>LEJANA</v>
          </cell>
          <cell r="F709" t="str">
            <v>TERRESTRE</v>
          </cell>
          <cell r="G709" t="str">
            <v>SANTA MARTA</v>
          </cell>
        </row>
        <row r="710">
          <cell r="A710">
            <v>47675</v>
          </cell>
          <cell r="B710" t="str">
            <v>SALAMINA</v>
          </cell>
          <cell r="C710" t="str">
            <v>MAGDALENA</v>
          </cell>
          <cell r="D710" t="str">
            <v>BARRANQUILLA</v>
          </cell>
          <cell r="E710" t="str">
            <v>INTERMEDIA</v>
          </cell>
          <cell r="F710" t="str">
            <v>TERRESTRE</v>
          </cell>
          <cell r="G710" t="str">
            <v>BARRANQUILLA</v>
          </cell>
        </row>
        <row r="711">
          <cell r="A711">
            <v>47030</v>
          </cell>
          <cell r="B711" t="str">
            <v>ALGARROBO</v>
          </cell>
          <cell r="C711" t="str">
            <v>MAGDALENA</v>
          </cell>
          <cell r="D711" t="str">
            <v>SANTA MARTA</v>
          </cell>
          <cell r="E711" t="str">
            <v>LEJANA</v>
          </cell>
          <cell r="F711" t="str">
            <v>TERRESTRE</v>
          </cell>
          <cell r="G711" t="str">
            <v>SANTA MARTA</v>
          </cell>
        </row>
        <row r="712">
          <cell r="A712">
            <v>47053</v>
          </cell>
          <cell r="B712" t="str">
            <v>ARACATACA</v>
          </cell>
          <cell r="C712" t="str">
            <v>MAGDALENA</v>
          </cell>
          <cell r="D712" t="str">
            <v>SANTA MARTA</v>
          </cell>
          <cell r="E712" t="str">
            <v>LEJANA</v>
          </cell>
          <cell r="F712" t="str">
            <v>TERRESTRE</v>
          </cell>
          <cell r="G712" t="str">
            <v>SANTA MARTA</v>
          </cell>
        </row>
        <row r="713">
          <cell r="A713">
            <v>47058</v>
          </cell>
          <cell r="B713" t="str">
            <v>ARIGUANI</v>
          </cell>
          <cell r="C713" t="str">
            <v>MAGDALENA</v>
          </cell>
          <cell r="D713" t="str">
            <v>VALLEDUPAR</v>
          </cell>
          <cell r="E713" t="str">
            <v>LEJANA</v>
          </cell>
          <cell r="F713" t="str">
            <v>TERRESTRE</v>
          </cell>
          <cell r="G713" t="str">
            <v>VALLEDUPAR</v>
          </cell>
        </row>
        <row r="714">
          <cell r="A714">
            <v>47161</v>
          </cell>
          <cell r="B714" t="str">
            <v>CERRO SAN ANTONIO</v>
          </cell>
          <cell r="C714" t="str">
            <v>MAGDALENA</v>
          </cell>
          <cell r="D714" t="str">
            <v>BARRANQUILLA</v>
          </cell>
          <cell r="E714" t="str">
            <v>LEJANA</v>
          </cell>
          <cell r="F714" t="str">
            <v>TERRESTRE</v>
          </cell>
          <cell r="G714" t="str">
            <v>BARRANQUILLA</v>
          </cell>
        </row>
        <row r="715">
          <cell r="A715">
            <v>47170</v>
          </cell>
          <cell r="B715" t="str">
            <v>CHIBOLO</v>
          </cell>
          <cell r="C715" t="str">
            <v>MAGDALENA</v>
          </cell>
          <cell r="D715" t="str">
            <v>SANTA MARTA</v>
          </cell>
          <cell r="E715" t="str">
            <v>LEJANA</v>
          </cell>
          <cell r="F715" t="str">
            <v>TERRESTRE</v>
          </cell>
          <cell r="G715" t="str">
            <v>SANTA MARTA</v>
          </cell>
        </row>
        <row r="716">
          <cell r="A716">
            <v>47245</v>
          </cell>
          <cell r="B716" t="str">
            <v>EL BANCO</v>
          </cell>
          <cell r="C716" t="str">
            <v>MAGDALENA</v>
          </cell>
          <cell r="D716" t="str">
            <v>SANTA MARTA</v>
          </cell>
          <cell r="E716" t="str">
            <v>LEJANA</v>
          </cell>
          <cell r="F716" t="str">
            <v>TERRESTRE</v>
          </cell>
          <cell r="G716" t="str">
            <v>SANTA MARTA</v>
          </cell>
        </row>
        <row r="717">
          <cell r="A717">
            <v>47258</v>
          </cell>
          <cell r="B717" t="str">
            <v>EL PIÑON</v>
          </cell>
          <cell r="C717" t="str">
            <v>MAGDALENA</v>
          </cell>
          <cell r="D717" t="str">
            <v>BARRANQUILLA</v>
          </cell>
          <cell r="E717" t="str">
            <v>LEJANA</v>
          </cell>
          <cell r="F717" t="str">
            <v>TERRESTRE</v>
          </cell>
          <cell r="G717" t="str">
            <v>BARRANQUILLA</v>
          </cell>
        </row>
        <row r="718">
          <cell r="A718">
            <v>47268</v>
          </cell>
          <cell r="B718" t="str">
            <v>EL RETEN</v>
          </cell>
          <cell r="C718" t="str">
            <v>MAGDALENA</v>
          </cell>
          <cell r="D718" t="str">
            <v>SANTA MARTA</v>
          </cell>
          <cell r="E718" t="str">
            <v>LEJANA</v>
          </cell>
          <cell r="F718" t="str">
            <v>TERRESTRE</v>
          </cell>
          <cell r="G718" t="str">
            <v>SANTA MARTA</v>
          </cell>
        </row>
        <row r="719">
          <cell r="A719">
            <v>47288</v>
          </cell>
          <cell r="B719" t="str">
            <v>FUNDACION</v>
          </cell>
          <cell r="C719" t="str">
            <v>MAGDALENA</v>
          </cell>
          <cell r="D719" t="str">
            <v>SANTA MARTA</v>
          </cell>
          <cell r="E719" t="str">
            <v>LEJANA</v>
          </cell>
          <cell r="F719" t="str">
            <v>TERRESTRE</v>
          </cell>
          <cell r="G719" t="str">
            <v>SANTA MARTA</v>
          </cell>
        </row>
        <row r="720">
          <cell r="A720">
            <v>47460</v>
          </cell>
          <cell r="B720" t="str">
            <v>NUEVA GRANADA</v>
          </cell>
          <cell r="C720" t="str">
            <v>MAGDALENA</v>
          </cell>
          <cell r="D720" t="str">
            <v>VALLEDUPAR</v>
          </cell>
          <cell r="E720" t="str">
            <v>LEJANA</v>
          </cell>
          <cell r="F720" t="str">
            <v>TERRESTRE</v>
          </cell>
          <cell r="G720" t="str">
            <v>VALLEDUPAR</v>
          </cell>
        </row>
        <row r="721">
          <cell r="A721">
            <v>47541</v>
          </cell>
          <cell r="B721" t="str">
            <v>PEDRAZA</v>
          </cell>
          <cell r="C721" t="str">
            <v>MAGDALENA</v>
          </cell>
          <cell r="D721" t="str">
            <v>BARRANQUILLA</v>
          </cell>
          <cell r="E721" t="str">
            <v>LEJANA</v>
          </cell>
          <cell r="F721" t="str">
            <v>TERRESTRE</v>
          </cell>
          <cell r="G721" t="str">
            <v>BARRANQUILLA</v>
          </cell>
        </row>
        <row r="722">
          <cell r="A722">
            <v>47545</v>
          </cell>
          <cell r="B722" t="str">
            <v>PIJIÑO DEL CARMEN</v>
          </cell>
          <cell r="C722" t="str">
            <v>MAGDALENA</v>
          </cell>
          <cell r="D722" t="str">
            <v>SANTA MARTA</v>
          </cell>
          <cell r="E722" t="str">
            <v>LEJANA</v>
          </cell>
          <cell r="F722" t="str">
            <v>TERRESTRE</v>
          </cell>
          <cell r="G722" t="str">
            <v>SANTA MARTA</v>
          </cell>
        </row>
        <row r="723">
          <cell r="A723">
            <v>47551</v>
          </cell>
          <cell r="B723" t="str">
            <v>PIVIJAY</v>
          </cell>
          <cell r="C723" t="str">
            <v>MAGDALENA</v>
          </cell>
          <cell r="D723" t="str">
            <v>SANTA MARTA</v>
          </cell>
          <cell r="E723" t="str">
            <v>LEJANA</v>
          </cell>
          <cell r="F723" t="str">
            <v>TERRESTRE</v>
          </cell>
          <cell r="G723" t="str">
            <v>SANTA MARTA</v>
          </cell>
        </row>
        <row r="724">
          <cell r="A724">
            <v>47555</v>
          </cell>
          <cell r="B724" t="str">
            <v>PLATO</v>
          </cell>
          <cell r="C724" t="str">
            <v>MAGDALENA</v>
          </cell>
          <cell r="D724" t="str">
            <v>SANTA MARTA</v>
          </cell>
          <cell r="E724" t="str">
            <v>LEJANA</v>
          </cell>
          <cell r="F724" t="str">
            <v>TERRESTRE</v>
          </cell>
          <cell r="G724" t="str">
            <v>SANTA MARTA</v>
          </cell>
        </row>
        <row r="725">
          <cell r="A725">
            <v>47570</v>
          </cell>
          <cell r="B725" t="str">
            <v>PUEBLOVIEJO</v>
          </cell>
          <cell r="C725" t="str">
            <v>MAGDALENA</v>
          </cell>
          <cell r="D725" t="str">
            <v>SANTA MARTA</v>
          </cell>
          <cell r="E725" t="str">
            <v>INTERMEDIA</v>
          </cell>
          <cell r="F725" t="str">
            <v>TERRESTRE</v>
          </cell>
          <cell r="G725" t="str">
            <v>SANTA MARTA</v>
          </cell>
        </row>
        <row r="726">
          <cell r="A726">
            <v>47605</v>
          </cell>
          <cell r="B726" t="str">
            <v>REMOLINO</v>
          </cell>
          <cell r="C726" t="str">
            <v>MAGDALENA</v>
          </cell>
          <cell r="D726" t="str">
            <v>BARRANQUILLA</v>
          </cell>
          <cell r="E726" t="str">
            <v>LEJANA</v>
          </cell>
          <cell r="F726" t="str">
            <v>TERRESTRE</v>
          </cell>
          <cell r="G726" t="str">
            <v>BARRANQUILLA</v>
          </cell>
        </row>
        <row r="727">
          <cell r="A727">
            <v>47660</v>
          </cell>
          <cell r="B727" t="str">
            <v>SABANAS DE SAN ANGEL</v>
          </cell>
          <cell r="C727" t="str">
            <v>MAGDALENA</v>
          </cell>
          <cell r="D727" t="str">
            <v>SANTA MARTA</v>
          </cell>
          <cell r="E727" t="str">
            <v>LEJANA</v>
          </cell>
          <cell r="F727" t="str">
            <v>TERRESTRE</v>
          </cell>
          <cell r="G727" t="str">
            <v>SANTA MARTA</v>
          </cell>
        </row>
        <row r="728">
          <cell r="A728">
            <v>47692</v>
          </cell>
          <cell r="B728" t="str">
            <v>SAN SEBASTIAN DE BUENAVISTA</v>
          </cell>
          <cell r="C728" t="str">
            <v>MAGDALENA</v>
          </cell>
          <cell r="D728" t="str">
            <v>SANTA MARTA</v>
          </cell>
          <cell r="E728" t="str">
            <v>LEJANA</v>
          </cell>
          <cell r="F728" t="str">
            <v>TERRESTRE</v>
          </cell>
          <cell r="G728" t="str">
            <v>SANTA MARTA</v>
          </cell>
        </row>
        <row r="729">
          <cell r="A729">
            <v>47703</v>
          </cell>
          <cell r="B729" t="str">
            <v>SAN ZENON</v>
          </cell>
          <cell r="C729" t="str">
            <v>MAGDALENA</v>
          </cell>
          <cell r="D729" t="str">
            <v>SANTA MARTA</v>
          </cell>
          <cell r="E729" t="str">
            <v>LEJANA</v>
          </cell>
          <cell r="F729" t="str">
            <v>TERRESTRE</v>
          </cell>
          <cell r="G729" t="str">
            <v>SANTA MARTA</v>
          </cell>
        </row>
        <row r="730">
          <cell r="A730">
            <v>47707</v>
          </cell>
          <cell r="B730" t="str">
            <v>SANTA ANA</v>
          </cell>
          <cell r="C730" t="str">
            <v>MAGDALENA</v>
          </cell>
          <cell r="D730" t="str">
            <v>SANTA MARTA</v>
          </cell>
          <cell r="E730" t="str">
            <v>LEJANA</v>
          </cell>
          <cell r="F730" t="str">
            <v>TERRESTRE</v>
          </cell>
          <cell r="G730" t="str">
            <v>SANTA MARTA</v>
          </cell>
        </row>
        <row r="731">
          <cell r="A731">
            <v>47720</v>
          </cell>
          <cell r="B731" t="str">
            <v>SANTA BARBARA DE PINTO</v>
          </cell>
          <cell r="C731" t="str">
            <v>MAGDALENA</v>
          </cell>
          <cell r="D731" t="str">
            <v>SANTA MARTA</v>
          </cell>
          <cell r="E731" t="str">
            <v>LEJANA</v>
          </cell>
          <cell r="F731" t="str">
            <v>TERRESTRE</v>
          </cell>
          <cell r="G731" t="str">
            <v>SANTA MARTA</v>
          </cell>
        </row>
        <row r="732">
          <cell r="A732">
            <v>47001</v>
          </cell>
          <cell r="B732" t="str">
            <v>SANTA MARTA</v>
          </cell>
          <cell r="C732" t="str">
            <v>MAGDALENA</v>
          </cell>
          <cell r="D732" t="str">
            <v>SANTA MARTA</v>
          </cell>
          <cell r="E732" t="str">
            <v>PRINCIPAL</v>
          </cell>
          <cell r="F732" t="str">
            <v>TERRESTRE</v>
          </cell>
          <cell r="G732" t="str">
            <v>SANTA MARTA</v>
          </cell>
        </row>
        <row r="733">
          <cell r="A733">
            <v>47745</v>
          </cell>
          <cell r="B733" t="str">
            <v>SITIONUEVO</v>
          </cell>
          <cell r="C733" t="str">
            <v>MAGDALENA</v>
          </cell>
          <cell r="D733" t="str">
            <v>BARRANQUILLA</v>
          </cell>
          <cell r="E733" t="str">
            <v>INTERMEDIA</v>
          </cell>
          <cell r="F733" t="str">
            <v>TERRESTRE</v>
          </cell>
          <cell r="G733" t="str">
            <v>BARRANQUILLA</v>
          </cell>
        </row>
        <row r="734">
          <cell r="A734">
            <v>47798</v>
          </cell>
          <cell r="B734" t="str">
            <v>TENERIFE</v>
          </cell>
          <cell r="C734" t="str">
            <v>MAGDALENA</v>
          </cell>
          <cell r="D734" t="str">
            <v>SANTA MARTA</v>
          </cell>
          <cell r="E734" t="str">
            <v>LEJANA</v>
          </cell>
          <cell r="F734" t="str">
            <v>TERRESTRE</v>
          </cell>
          <cell r="G734" t="str">
            <v>SANTA MARTA</v>
          </cell>
        </row>
        <row r="735">
          <cell r="A735">
            <v>47960</v>
          </cell>
          <cell r="B735" t="str">
            <v>ZAPAYAN</v>
          </cell>
          <cell r="C735" t="str">
            <v>MAGDALENA</v>
          </cell>
          <cell r="D735" t="str">
            <v>BARRANQUILLA</v>
          </cell>
          <cell r="E735" t="str">
            <v>LEJANA</v>
          </cell>
          <cell r="F735" t="str">
            <v>FLUVIAL</v>
          </cell>
          <cell r="G735" t="str">
            <v>BARRANQUILLA</v>
          </cell>
        </row>
        <row r="736">
          <cell r="A736">
            <v>47980</v>
          </cell>
          <cell r="B736" t="str">
            <v>ZONA BANANERA</v>
          </cell>
          <cell r="C736" t="str">
            <v>MAGDALENA</v>
          </cell>
          <cell r="D736" t="str">
            <v>SANTA MARTA</v>
          </cell>
          <cell r="E736" t="str">
            <v>INTERMEDIA</v>
          </cell>
          <cell r="F736" t="str">
            <v>TERRESTRE</v>
          </cell>
          <cell r="G736" t="str">
            <v>SANTA MARTA</v>
          </cell>
        </row>
        <row r="737">
          <cell r="A737">
            <v>50313</v>
          </cell>
          <cell r="B737" t="str">
            <v>GRANADA</v>
          </cell>
          <cell r="C737" t="str">
            <v>META</v>
          </cell>
          <cell r="D737" t="str">
            <v>VILLAVICENCIO</v>
          </cell>
          <cell r="E737" t="str">
            <v>INTERMEDIA</v>
          </cell>
          <cell r="F737" t="str">
            <v>TERRESTRE</v>
          </cell>
          <cell r="G737" t="str">
            <v>VILLAVICENCIO</v>
          </cell>
        </row>
        <row r="738">
          <cell r="A738">
            <v>50318</v>
          </cell>
          <cell r="B738" t="str">
            <v>GUAMAL</v>
          </cell>
          <cell r="C738" t="str">
            <v>META</v>
          </cell>
          <cell r="D738" t="str">
            <v>VILLAVICENCIO</v>
          </cell>
          <cell r="E738" t="str">
            <v>INTERMEDIA</v>
          </cell>
          <cell r="F738" t="str">
            <v>TERRESTRE</v>
          </cell>
          <cell r="G738" t="str">
            <v>VILLAVICENCIO</v>
          </cell>
        </row>
        <row r="739">
          <cell r="A739">
            <v>50590</v>
          </cell>
          <cell r="B739" t="str">
            <v>PUERTO RICO</v>
          </cell>
          <cell r="C739" t="str">
            <v>META</v>
          </cell>
          <cell r="D739" t="str">
            <v>VILLAVICENCIO</v>
          </cell>
          <cell r="E739" t="str">
            <v>LEJANA</v>
          </cell>
          <cell r="F739" t="str">
            <v>TERRESTRE</v>
          </cell>
          <cell r="G739" t="str">
            <v>VILLAVICENCIO</v>
          </cell>
        </row>
        <row r="740">
          <cell r="A740">
            <v>50606</v>
          </cell>
          <cell r="B740" t="str">
            <v>RESTREPO</v>
          </cell>
          <cell r="C740" t="str">
            <v>META</v>
          </cell>
          <cell r="D740" t="str">
            <v>VILLAVICENCIO</v>
          </cell>
          <cell r="E740" t="str">
            <v>INTERMEDIA</v>
          </cell>
          <cell r="F740" t="str">
            <v>TERRESTRE</v>
          </cell>
          <cell r="G740" t="str">
            <v>VILLAVICENCIO</v>
          </cell>
        </row>
        <row r="741">
          <cell r="A741">
            <v>50689</v>
          </cell>
          <cell r="B741" t="str">
            <v>SAN MARTIN</v>
          </cell>
          <cell r="C741" t="str">
            <v>META</v>
          </cell>
          <cell r="D741" t="str">
            <v>VILLAVICENCIO</v>
          </cell>
          <cell r="E741" t="str">
            <v>INTERMEDIA</v>
          </cell>
          <cell r="F741" t="str">
            <v>TERRESTRE</v>
          </cell>
          <cell r="G741" t="str">
            <v>VILLAVICENCIO</v>
          </cell>
        </row>
        <row r="742">
          <cell r="A742">
            <v>50006</v>
          </cell>
          <cell r="B742" t="str">
            <v>ACACIAS</v>
          </cell>
          <cell r="C742" t="str">
            <v>META</v>
          </cell>
          <cell r="D742" t="str">
            <v>VILLAVICENCIO</v>
          </cell>
          <cell r="E742" t="str">
            <v>INTERMEDIA</v>
          </cell>
          <cell r="F742" t="str">
            <v>TERRESTRE</v>
          </cell>
          <cell r="G742" t="str">
            <v>VILLAVICENCIO</v>
          </cell>
        </row>
        <row r="743">
          <cell r="A743">
            <v>50110</v>
          </cell>
          <cell r="B743" t="str">
            <v>BARRANCA DE UPIA</v>
          </cell>
          <cell r="C743" t="str">
            <v>META</v>
          </cell>
          <cell r="D743" t="str">
            <v>VILLAVICENCIO</v>
          </cell>
          <cell r="E743" t="str">
            <v>INTERMEDIA</v>
          </cell>
          <cell r="F743" t="str">
            <v>TERRESTRE</v>
          </cell>
          <cell r="G743" t="str">
            <v>VILLAVICENCIO</v>
          </cell>
        </row>
        <row r="744">
          <cell r="A744">
            <v>50124</v>
          </cell>
          <cell r="B744" t="str">
            <v>CABUYARO</v>
          </cell>
          <cell r="C744" t="str">
            <v>META</v>
          </cell>
          <cell r="D744" t="str">
            <v>VILLAVICENCIO</v>
          </cell>
          <cell r="E744" t="str">
            <v>LEJANA</v>
          </cell>
          <cell r="F744" t="str">
            <v>TERRESTRE</v>
          </cell>
          <cell r="G744" t="str">
            <v>VILLAVICENCIO</v>
          </cell>
        </row>
        <row r="745">
          <cell r="A745">
            <v>50150</v>
          </cell>
          <cell r="B745" t="str">
            <v>CASTILLA LA NUEVA</v>
          </cell>
          <cell r="C745" t="str">
            <v>META</v>
          </cell>
          <cell r="D745" t="str">
            <v>VILLAVICENCIO</v>
          </cell>
          <cell r="E745" t="str">
            <v>INTERMEDIA</v>
          </cell>
          <cell r="F745" t="str">
            <v>TERRESTRE</v>
          </cell>
          <cell r="G745" t="str">
            <v>VILLAVICENCIO</v>
          </cell>
        </row>
        <row r="746">
          <cell r="A746">
            <v>50223</v>
          </cell>
          <cell r="B746" t="str">
            <v>CUBARRAL</v>
          </cell>
          <cell r="C746" t="str">
            <v>META</v>
          </cell>
          <cell r="D746" t="str">
            <v>VILLAVICENCIO</v>
          </cell>
          <cell r="E746" t="str">
            <v>INTERMEDIA</v>
          </cell>
          <cell r="F746" t="str">
            <v>TERRESTRE</v>
          </cell>
          <cell r="G746" t="str">
            <v>VILLAVICENCIO</v>
          </cell>
        </row>
        <row r="747">
          <cell r="A747">
            <v>50226</v>
          </cell>
          <cell r="B747" t="str">
            <v>CUMARAL</v>
          </cell>
          <cell r="C747" t="str">
            <v>META</v>
          </cell>
          <cell r="D747" t="str">
            <v>VILLAVICENCIO</v>
          </cell>
          <cell r="E747" t="str">
            <v>INTERMEDIA</v>
          </cell>
          <cell r="F747" t="str">
            <v>TERRESTRE</v>
          </cell>
          <cell r="G747" t="str">
            <v>VILLAVICENCIO</v>
          </cell>
        </row>
        <row r="748">
          <cell r="A748">
            <v>50245</v>
          </cell>
          <cell r="B748" t="str">
            <v>EL CALVARIO</v>
          </cell>
          <cell r="C748" t="str">
            <v>META</v>
          </cell>
          <cell r="D748" t="str">
            <v>VILLAVICENCIO</v>
          </cell>
          <cell r="E748" t="str">
            <v>LEJANA</v>
          </cell>
          <cell r="F748" t="str">
            <v>TERRESTRE</v>
          </cell>
          <cell r="G748" t="str">
            <v>VILLAVICENCIO</v>
          </cell>
        </row>
        <row r="749">
          <cell r="A749">
            <v>50251</v>
          </cell>
          <cell r="B749" t="str">
            <v>EL CASTILLO</v>
          </cell>
          <cell r="C749" t="str">
            <v>META</v>
          </cell>
          <cell r="D749" t="str">
            <v>VILLAVICENCIO</v>
          </cell>
          <cell r="E749" t="str">
            <v>INTERMEDIA</v>
          </cell>
          <cell r="F749" t="str">
            <v>TERRESTRE</v>
          </cell>
          <cell r="G749" t="str">
            <v>VILLAVICENCIO</v>
          </cell>
        </row>
        <row r="750">
          <cell r="A750">
            <v>50270</v>
          </cell>
          <cell r="B750" t="str">
            <v>EL DORADO</v>
          </cell>
          <cell r="C750" t="str">
            <v>META</v>
          </cell>
          <cell r="D750" t="str">
            <v>VILLAVICENCIO</v>
          </cell>
          <cell r="E750" t="str">
            <v>INTERMEDIA</v>
          </cell>
          <cell r="F750" t="str">
            <v>TERRESTRE</v>
          </cell>
          <cell r="G750" t="str">
            <v>VILLAVICENCIO</v>
          </cell>
        </row>
        <row r="751">
          <cell r="A751">
            <v>50287</v>
          </cell>
          <cell r="B751" t="str">
            <v>FUENTE DE ORO</v>
          </cell>
          <cell r="C751" t="str">
            <v>META</v>
          </cell>
          <cell r="D751" t="str">
            <v>VILLAVICENCIO</v>
          </cell>
          <cell r="E751" t="str">
            <v>LEJANA</v>
          </cell>
          <cell r="F751" t="str">
            <v>TERRESTRE</v>
          </cell>
          <cell r="G751" t="str">
            <v>VILLAVICENCIO</v>
          </cell>
        </row>
        <row r="752">
          <cell r="A752">
            <v>50350</v>
          </cell>
          <cell r="B752" t="str">
            <v>LA MACARENA</v>
          </cell>
          <cell r="C752" t="str">
            <v>META</v>
          </cell>
          <cell r="D752" t="str">
            <v>VILLAVICENCIO</v>
          </cell>
          <cell r="E752" t="str">
            <v>LEJANA</v>
          </cell>
          <cell r="F752" t="str">
            <v>AEREO</v>
          </cell>
          <cell r="G752" t="str">
            <v>VILLAVICENCIO</v>
          </cell>
        </row>
        <row r="753">
          <cell r="A753">
            <v>50400</v>
          </cell>
          <cell r="B753" t="str">
            <v>LEJANIAS</v>
          </cell>
          <cell r="C753" t="str">
            <v>META</v>
          </cell>
          <cell r="D753" t="str">
            <v>VILLAVICENCIO</v>
          </cell>
          <cell r="E753" t="str">
            <v>LEJANA</v>
          </cell>
          <cell r="F753" t="str">
            <v>TERRESTRE</v>
          </cell>
          <cell r="G753" t="str">
            <v>VILLAVICENCIO</v>
          </cell>
        </row>
        <row r="754">
          <cell r="A754">
            <v>50325</v>
          </cell>
          <cell r="B754" t="str">
            <v>MAPIRIPAN</v>
          </cell>
          <cell r="C754" t="str">
            <v>META</v>
          </cell>
          <cell r="D754" t="str">
            <v>VILLAVICENCIO</v>
          </cell>
          <cell r="E754" t="str">
            <v>LEJANA</v>
          </cell>
          <cell r="F754" t="str">
            <v>AEREO</v>
          </cell>
          <cell r="G754" t="str">
            <v>VILLAVICENCIO</v>
          </cell>
        </row>
        <row r="755">
          <cell r="A755">
            <v>50330</v>
          </cell>
          <cell r="B755" t="str">
            <v>MESETAS</v>
          </cell>
          <cell r="C755" t="str">
            <v>META</v>
          </cell>
          <cell r="D755" t="str">
            <v>VILLAVICENCIO</v>
          </cell>
          <cell r="E755" t="str">
            <v>LEJANA</v>
          </cell>
          <cell r="F755" t="str">
            <v>TERRESTRE</v>
          </cell>
          <cell r="G755" t="str">
            <v>VILLAVICENCIO</v>
          </cell>
        </row>
        <row r="756">
          <cell r="A756">
            <v>50450</v>
          </cell>
          <cell r="B756" t="str">
            <v>PUERTO CONCORDIA</v>
          </cell>
          <cell r="C756" t="str">
            <v>META</v>
          </cell>
          <cell r="D756" t="str">
            <v>VILLAVICENCIO</v>
          </cell>
          <cell r="E756" t="str">
            <v>LEJANA</v>
          </cell>
          <cell r="F756" t="str">
            <v>TERRESTRE</v>
          </cell>
          <cell r="G756" t="str">
            <v>VILLAVICENCIO</v>
          </cell>
        </row>
        <row r="757">
          <cell r="A757">
            <v>50568</v>
          </cell>
          <cell r="B757" t="str">
            <v>PUERTO GAITAN</v>
          </cell>
          <cell r="C757" t="str">
            <v>META</v>
          </cell>
          <cell r="D757" t="str">
            <v>VILLAVICENCIO</v>
          </cell>
          <cell r="E757" t="str">
            <v>LEJANA</v>
          </cell>
          <cell r="F757" t="str">
            <v>TERRESTRE</v>
          </cell>
          <cell r="G757" t="str">
            <v>VILLAVICENCIO</v>
          </cell>
        </row>
        <row r="758">
          <cell r="A758">
            <v>50577</v>
          </cell>
          <cell r="B758" t="str">
            <v>PUERTO LLERAS</v>
          </cell>
          <cell r="C758" t="str">
            <v>META</v>
          </cell>
          <cell r="D758" t="str">
            <v>VILLAVICENCIO</v>
          </cell>
          <cell r="E758" t="str">
            <v>LEJANA</v>
          </cell>
          <cell r="F758" t="str">
            <v>TERRESTRE</v>
          </cell>
          <cell r="G758" t="str">
            <v>VILLAVICENCIO</v>
          </cell>
        </row>
        <row r="759">
          <cell r="A759">
            <v>50573</v>
          </cell>
          <cell r="B759" t="str">
            <v>PUERTO LOPEZ</v>
          </cell>
          <cell r="C759" t="str">
            <v>META</v>
          </cell>
          <cell r="D759" t="str">
            <v>VILLAVICENCIO</v>
          </cell>
          <cell r="E759" t="str">
            <v>INTERMEDIA</v>
          </cell>
          <cell r="F759" t="str">
            <v>TERRESTRE</v>
          </cell>
          <cell r="G759" t="str">
            <v>VILLAVICENCIO</v>
          </cell>
        </row>
        <row r="760">
          <cell r="A760">
            <v>50680</v>
          </cell>
          <cell r="B760" t="str">
            <v>SAN CARLOS DE GUAROA</v>
          </cell>
          <cell r="C760" t="str">
            <v>META</v>
          </cell>
          <cell r="D760" t="str">
            <v>VILLAVICENCIO</v>
          </cell>
          <cell r="E760" t="str">
            <v>INTERMEDIA</v>
          </cell>
          <cell r="F760" t="str">
            <v>TERRESTRE</v>
          </cell>
          <cell r="G760" t="str">
            <v>VILLAVICENCIO</v>
          </cell>
        </row>
        <row r="761">
          <cell r="A761">
            <v>50683</v>
          </cell>
          <cell r="B761" t="str">
            <v>SAN JUAN DE ARAMA</v>
          </cell>
          <cell r="C761" t="str">
            <v>META</v>
          </cell>
          <cell r="D761" t="str">
            <v>VILLAVICENCIO</v>
          </cell>
          <cell r="E761" t="str">
            <v>LEJANA</v>
          </cell>
          <cell r="F761" t="str">
            <v>TERRESTRE</v>
          </cell>
          <cell r="G761" t="str">
            <v>VILLAVICENCIO</v>
          </cell>
        </row>
        <row r="762">
          <cell r="A762">
            <v>50686</v>
          </cell>
          <cell r="B762" t="str">
            <v>SAN JUANITO</v>
          </cell>
          <cell r="C762" t="str">
            <v>META</v>
          </cell>
          <cell r="D762" t="str">
            <v>VILLAVICENCIO</v>
          </cell>
          <cell r="E762" t="str">
            <v>LEJANA</v>
          </cell>
          <cell r="F762" t="str">
            <v>TERRESTRE</v>
          </cell>
          <cell r="G762" t="str">
            <v>VILLAVICENCIO</v>
          </cell>
        </row>
        <row r="763">
          <cell r="A763">
            <v>50370</v>
          </cell>
          <cell r="B763" t="str">
            <v>URIBE</v>
          </cell>
          <cell r="C763" t="str">
            <v>META</v>
          </cell>
          <cell r="D763" t="str">
            <v>VILLAVICENCIO</v>
          </cell>
          <cell r="E763" t="str">
            <v>LEJANA</v>
          </cell>
          <cell r="F763" t="str">
            <v>AEREO</v>
          </cell>
          <cell r="G763" t="str">
            <v>VILLAVICENCIO</v>
          </cell>
        </row>
        <row r="764">
          <cell r="A764">
            <v>50001</v>
          </cell>
          <cell r="B764" t="str">
            <v>VILLAVICENCIO</v>
          </cell>
          <cell r="C764" t="str">
            <v>META</v>
          </cell>
          <cell r="D764" t="str">
            <v>VILLAVICENCIO</v>
          </cell>
          <cell r="E764" t="str">
            <v>PRINCIPAL</v>
          </cell>
          <cell r="F764" t="str">
            <v>TERRESTRE</v>
          </cell>
          <cell r="G764" t="str">
            <v>VILLAVICENCIO</v>
          </cell>
        </row>
        <row r="765">
          <cell r="A765">
            <v>50711</v>
          </cell>
          <cell r="B765" t="str">
            <v>VISTAHERMOSA</v>
          </cell>
          <cell r="C765" t="str">
            <v>META</v>
          </cell>
          <cell r="D765" t="str">
            <v>VILLAVICENCIO</v>
          </cell>
          <cell r="E765" t="str">
            <v>LEJANA</v>
          </cell>
          <cell r="F765" t="str">
            <v>TERRESTRE</v>
          </cell>
          <cell r="G765" t="str">
            <v>VILLAVICENCIO</v>
          </cell>
        </row>
        <row r="766">
          <cell r="A766">
            <v>52019</v>
          </cell>
          <cell r="B766" t="str">
            <v>ALBAN</v>
          </cell>
          <cell r="C766" t="str">
            <v>NARIÑO</v>
          </cell>
          <cell r="D766" t="str">
            <v>PASTO</v>
          </cell>
          <cell r="E766" t="str">
            <v>INTERMEDIA</v>
          </cell>
          <cell r="F766" t="str">
            <v>TERRESTRE</v>
          </cell>
          <cell r="G766" t="str">
            <v>PASTO</v>
          </cell>
        </row>
        <row r="767">
          <cell r="A767">
            <v>52083</v>
          </cell>
          <cell r="B767" t="str">
            <v>BELEN</v>
          </cell>
          <cell r="C767" t="str">
            <v>NARIÑO</v>
          </cell>
          <cell r="D767" t="str">
            <v>PASTO</v>
          </cell>
          <cell r="E767" t="str">
            <v>LEJANA</v>
          </cell>
          <cell r="F767" t="str">
            <v>TERRESTRE</v>
          </cell>
          <cell r="G767" t="str">
            <v>PASTO</v>
          </cell>
        </row>
        <row r="768">
          <cell r="A768">
            <v>52203</v>
          </cell>
          <cell r="B768" t="str">
            <v>COLON</v>
          </cell>
          <cell r="C768" t="str">
            <v>NARIÑO</v>
          </cell>
          <cell r="D768" t="str">
            <v>PASTO</v>
          </cell>
          <cell r="E768" t="str">
            <v>LEJANA</v>
          </cell>
          <cell r="F768" t="str">
            <v>TERRESTRE</v>
          </cell>
          <cell r="G768" t="str">
            <v>PASTO</v>
          </cell>
        </row>
        <row r="769">
          <cell r="A769">
            <v>52215</v>
          </cell>
          <cell r="B769" t="str">
            <v>CORDOBA</v>
          </cell>
          <cell r="C769" t="str">
            <v>NARIÑO</v>
          </cell>
          <cell r="D769" t="str">
            <v>PASTO</v>
          </cell>
          <cell r="E769" t="str">
            <v>INTERMEDIA</v>
          </cell>
          <cell r="F769" t="str">
            <v>TERRESTRE</v>
          </cell>
          <cell r="G769" t="str">
            <v>PASTO</v>
          </cell>
        </row>
        <row r="770">
          <cell r="A770">
            <v>52260</v>
          </cell>
          <cell r="B770" t="str">
            <v>EL TAMBO</v>
          </cell>
          <cell r="C770" t="str">
            <v>NARIÑO</v>
          </cell>
          <cell r="D770" t="str">
            <v>PASTO</v>
          </cell>
          <cell r="E770" t="str">
            <v>INTERMEDIA</v>
          </cell>
          <cell r="F770" t="str">
            <v>TERRESTRE</v>
          </cell>
          <cell r="G770" t="str">
            <v>PASTO</v>
          </cell>
        </row>
        <row r="771">
          <cell r="A771">
            <v>52399</v>
          </cell>
          <cell r="B771" t="str">
            <v>LA UNION</v>
          </cell>
          <cell r="C771" t="str">
            <v>NARIÑO</v>
          </cell>
          <cell r="D771" t="str">
            <v>PASTO</v>
          </cell>
          <cell r="E771" t="str">
            <v>LEJANA</v>
          </cell>
          <cell r="F771" t="str">
            <v>TERRESTRE</v>
          </cell>
          <cell r="G771" t="str">
            <v>PASTO</v>
          </cell>
        </row>
        <row r="772">
          <cell r="A772">
            <v>52473</v>
          </cell>
          <cell r="B772" t="str">
            <v>MOSQUERA</v>
          </cell>
          <cell r="C772" t="str">
            <v>NARIÑO</v>
          </cell>
          <cell r="D772" t="str">
            <v>PASTO</v>
          </cell>
          <cell r="E772" t="str">
            <v>LEJANA</v>
          </cell>
          <cell r="F772" t="str">
            <v>TERRESTRE</v>
          </cell>
          <cell r="G772" t="str">
            <v>PASTO</v>
          </cell>
        </row>
        <row r="773">
          <cell r="A773">
            <v>52480</v>
          </cell>
          <cell r="B773" t="str">
            <v>NARIÑO</v>
          </cell>
          <cell r="C773" t="str">
            <v>NARIÑO</v>
          </cell>
          <cell r="D773" t="str">
            <v>PASTO</v>
          </cell>
          <cell r="E773" t="str">
            <v>INTERMEDIA</v>
          </cell>
          <cell r="F773" t="str">
            <v>TERRESTRE</v>
          </cell>
          <cell r="G773" t="str">
            <v>PASTO</v>
          </cell>
        </row>
        <row r="774">
          <cell r="A774">
            <v>52565</v>
          </cell>
          <cell r="B774" t="str">
            <v>PROVIDENCIA</v>
          </cell>
          <cell r="C774" t="str">
            <v>NARIÑO</v>
          </cell>
          <cell r="D774" t="str">
            <v>PASTO</v>
          </cell>
          <cell r="E774" t="str">
            <v>LEJANA</v>
          </cell>
          <cell r="F774" t="str">
            <v>TERRESTRE</v>
          </cell>
          <cell r="G774" t="str">
            <v>PASTO</v>
          </cell>
        </row>
        <row r="775">
          <cell r="A775">
            <v>52612</v>
          </cell>
          <cell r="B775" t="str">
            <v>RICAURTE</v>
          </cell>
          <cell r="C775" t="str">
            <v>NARIÑO</v>
          </cell>
          <cell r="D775" t="str">
            <v>PASTO</v>
          </cell>
          <cell r="E775" t="str">
            <v>LEJANA</v>
          </cell>
          <cell r="F775" t="str">
            <v>TERRESTRE</v>
          </cell>
          <cell r="G775" t="str">
            <v>PASTO</v>
          </cell>
        </row>
        <row r="776">
          <cell r="A776">
            <v>52685</v>
          </cell>
          <cell r="B776" t="str">
            <v>SAN BERNARDO</v>
          </cell>
          <cell r="C776" t="str">
            <v>NARIÑO</v>
          </cell>
          <cell r="D776" t="str">
            <v>PASTO</v>
          </cell>
          <cell r="E776" t="str">
            <v>INTERMEDIA</v>
          </cell>
          <cell r="F776" t="str">
            <v>TERRESTRE</v>
          </cell>
          <cell r="G776" t="str">
            <v>PASTO</v>
          </cell>
        </row>
        <row r="777">
          <cell r="A777">
            <v>52693</v>
          </cell>
          <cell r="B777" t="str">
            <v>SAN PABLO</v>
          </cell>
          <cell r="C777" t="str">
            <v>NARIÑO</v>
          </cell>
          <cell r="D777" t="str">
            <v>PASTO</v>
          </cell>
          <cell r="E777" t="str">
            <v>LEJANA</v>
          </cell>
          <cell r="F777" t="str">
            <v>TERRESTRE</v>
          </cell>
          <cell r="G777" t="str">
            <v>PASTO</v>
          </cell>
        </row>
        <row r="778">
          <cell r="A778">
            <v>52696</v>
          </cell>
          <cell r="B778" t="str">
            <v>SANTA BARBARA</v>
          </cell>
          <cell r="C778" t="str">
            <v>NARIÑO</v>
          </cell>
          <cell r="D778" t="str">
            <v>PASTO</v>
          </cell>
          <cell r="E778" t="str">
            <v>LEJANA</v>
          </cell>
          <cell r="F778" t="str">
            <v>TERRESTRE/FLUVIAL</v>
          </cell>
          <cell r="G778" t="str">
            <v>PASTO</v>
          </cell>
        </row>
        <row r="779">
          <cell r="A779">
            <v>52022</v>
          </cell>
          <cell r="B779" t="str">
            <v>ALDANA</v>
          </cell>
          <cell r="C779" t="str">
            <v>NARIÑO</v>
          </cell>
          <cell r="D779" t="str">
            <v>PASTO</v>
          </cell>
          <cell r="E779" t="str">
            <v>INTERMEDIA</v>
          </cell>
          <cell r="F779" t="str">
            <v>TERRESTRE</v>
          </cell>
          <cell r="G779" t="str">
            <v>PASTO</v>
          </cell>
        </row>
        <row r="780">
          <cell r="A780">
            <v>52036</v>
          </cell>
          <cell r="B780" t="str">
            <v>ANCUYA</v>
          </cell>
          <cell r="C780" t="str">
            <v>NARIÑO</v>
          </cell>
          <cell r="D780" t="str">
            <v>PASTO</v>
          </cell>
          <cell r="E780" t="str">
            <v>INTERMEDIA</v>
          </cell>
          <cell r="F780" t="str">
            <v>TERRESTRE</v>
          </cell>
          <cell r="G780" t="str">
            <v>PASTO</v>
          </cell>
        </row>
        <row r="781">
          <cell r="A781">
            <v>52051</v>
          </cell>
          <cell r="B781" t="str">
            <v>ARBOLEDA</v>
          </cell>
          <cell r="C781" t="str">
            <v>NARIÑO</v>
          </cell>
          <cell r="D781" t="str">
            <v>PASTO</v>
          </cell>
          <cell r="E781" t="str">
            <v>INTERMEDIA</v>
          </cell>
          <cell r="F781" t="str">
            <v>TERRESTRE</v>
          </cell>
          <cell r="G781" t="str">
            <v>PASTO</v>
          </cell>
        </row>
        <row r="782">
          <cell r="A782">
            <v>52079</v>
          </cell>
          <cell r="B782" t="str">
            <v>BARBACOAS</v>
          </cell>
          <cell r="C782" t="str">
            <v>NARIÑO</v>
          </cell>
          <cell r="D782" t="str">
            <v>PASTO</v>
          </cell>
          <cell r="E782" t="str">
            <v>LEJANA</v>
          </cell>
          <cell r="F782" t="str">
            <v>TERRESTRE</v>
          </cell>
          <cell r="G782" t="str">
            <v>PASTO</v>
          </cell>
        </row>
        <row r="783">
          <cell r="A783">
            <v>52110</v>
          </cell>
          <cell r="B783" t="str">
            <v>BUESACO</v>
          </cell>
          <cell r="C783" t="str">
            <v>NARIÑO</v>
          </cell>
          <cell r="D783" t="str">
            <v>PASTO</v>
          </cell>
          <cell r="E783" t="str">
            <v>INTERMEDIA</v>
          </cell>
          <cell r="F783" t="str">
            <v>TERRESTRE</v>
          </cell>
          <cell r="G783" t="str">
            <v>PASTO</v>
          </cell>
        </row>
        <row r="784">
          <cell r="A784">
            <v>52240</v>
          </cell>
          <cell r="B784" t="str">
            <v>CHACHAGUI</v>
          </cell>
          <cell r="C784" t="str">
            <v>NARIÑO</v>
          </cell>
          <cell r="D784" t="str">
            <v>PASTO</v>
          </cell>
          <cell r="E784" t="str">
            <v>INTERMEDIA</v>
          </cell>
          <cell r="F784" t="str">
            <v>TERRESTRE</v>
          </cell>
          <cell r="G784" t="str">
            <v>PASTO</v>
          </cell>
        </row>
        <row r="785">
          <cell r="A785">
            <v>52207</v>
          </cell>
          <cell r="B785" t="str">
            <v>CONSACA</v>
          </cell>
          <cell r="C785" t="str">
            <v>NARIÑO</v>
          </cell>
          <cell r="D785" t="str">
            <v>PASTO</v>
          </cell>
          <cell r="E785" t="str">
            <v>INTERMEDIA</v>
          </cell>
          <cell r="F785" t="str">
            <v>TERRESTRE</v>
          </cell>
          <cell r="G785" t="str">
            <v>PASTO</v>
          </cell>
        </row>
        <row r="786">
          <cell r="A786">
            <v>52210</v>
          </cell>
          <cell r="B786" t="str">
            <v>CONTADERO</v>
          </cell>
          <cell r="C786" t="str">
            <v>NARIÑO</v>
          </cell>
          <cell r="D786" t="str">
            <v>PASTO</v>
          </cell>
          <cell r="E786" t="str">
            <v>INTERMEDIA</v>
          </cell>
          <cell r="F786" t="str">
            <v>TERRESTRE</v>
          </cell>
          <cell r="G786" t="str">
            <v>PASTO</v>
          </cell>
        </row>
        <row r="787">
          <cell r="A787">
            <v>52224</v>
          </cell>
          <cell r="B787" t="str">
            <v>CUASPUD</v>
          </cell>
          <cell r="C787" t="str">
            <v>NARIÑO</v>
          </cell>
          <cell r="D787" t="str">
            <v>PASTO</v>
          </cell>
          <cell r="E787" t="str">
            <v>INTERMEDIA</v>
          </cell>
          <cell r="F787" t="str">
            <v>TERRESTRE</v>
          </cell>
          <cell r="G787" t="str">
            <v>PASTO</v>
          </cell>
        </row>
        <row r="788">
          <cell r="A788">
            <v>52227</v>
          </cell>
          <cell r="B788" t="str">
            <v>CUMBAL</v>
          </cell>
          <cell r="C788" t="str">
            <v>NARIÑO</v>
          </cell>
          <cell r="D788" t="str">
            <v>PASTO</v>
          </cell>
          <cell r="E788" t="str">
            <v>LEJANA</v>
          </cell>
          <cell r="F788" t="str">
            <v>TERRESTRE</v>
          </cell>
          <cell r="G788" t="str">
            <v>PASTO</v>
          </cell>
        </row>
        <row r="789">
          <cell r="A789">
            <v>52233</v>
          </cell>
          <cell r="B789" t="str">
            <v>CUMBITARA</v>
          </cell>
          <cell r="C789" t="str">
            <v>NARIÑO</v>
          </cell>
          <cell r="D789" t="str">
            <v>PASTO</v>
          </cell>
          <cell r="E789" t="str">
            <v>INTERMEDIA</v>
          </cell>
          <cell r="F789" t="str">
            <v>TERRESTRE</v>
          </cell>
          <cell r="G789" t="str">
            <v>PASTO</v>
          </cell>
        </row>
        <row r="790">
          <cell r="A790">
            <v>52250</v>
          </cell>
          <cell r="B790" t="str">
            <v>EL CHARCO</v>
          </cell>
          <cell r="C790" t="str">
            <v>NARIÑO</v>
          </cell>
          <cell r="D790" t="str">
            <v>PASTO</v>
          </cell>
          <cell r="E790" t="str">
            <v>LEJANA</v>
          </cell>
          <cell r="F790" t="str">
            <v>FLUVIAL</v>
          </cell>
          <cell r="G790" t="str">
            <v>PASTO</v>
          </cell>
        </row>
        <row r="791">
          <cell r="A791">
            <v>52254</v>
          </cell>
          <cell r="B791" t="str">
            <v>EL PEÑOL</v>
          </cell>
          <cell r="C791" t="str">
            <v>NARIÑO</v>
          </cell>
          <cell r="D791" t="str">
            <v>PASTO</v>
          </cell>
          <cell r="E791" t="str">
            <v>INTERMEDIA</v>
          </cell>
          <cell r="F791" t="str">
            <v>TERRESTRE</v>
          </cell>
          <cell r="G791" t="str">
            <v>PASTO</v>
          </cell>
        </row>
        <row r="792">
          <cell r="A792">
            <v>52256</v>
          </cell>
          <cell r="B792" t="str">
            <v>EL ROSARIO</v>
          </cell>
          <cell r="C792" t="str">
            <v>NARIÑO</v>
          </cell>
          <cell r="D792" t="str">
            <v>PASTO</v>
          </cell>
          <cell r="E792" t="str">
            <v>INTERMEDIA</v>
          </cell>
          <cell r="F792" t="str">
            <v>TERRESTRE</v>
          </cell>
          <cell r="G792" t="str">
            <v>PASTO</v>
          </cell>
        </row>
        <row r="793">
          <cell r="A793">
            <v>52258</v>
          </cell>
          <cell r="B793" t="str">
            <v>EL TABLON DE GOMEZ</v>
          </cell>
          <cell r="C793" t="str">
            <v>NARIÑO</v>
          </cell>
          <cell r="D793" t="str">
            <v>PASTO</v>
          </cell>
          <cell r="E793" t="str">
            <v>INTERMEDIA</v>
          </cell>
          <cell r="F793" t="str">
            <v>TERRESTRE</v>
          </cell>
          <cell r="G793" t="str">
            <v>PASTO</v>
          </cell>
        </row>
        <row r="794">
          <cell r="A794">
            <v>52520</v>
          </cell>
          <cell r="B794" t="str">
            <v>FRANCISCO PIZARRO</v>
          </cell>
          <cell r="C794" t="str">
            <v>NARIÑO</v>
          </cell>
          <cell r="D794" t="str">
            <v>PASTO</v>
          </cell>
          <cell r="E794" t="str">
            <v>LEJANA</v>
          </cell>
          <cell r="F794" t="str">
            <v>FLUVIAL</v>
          </cell>
          <cell r="G794" t="str">
            <v>PASTO</v>
          </cell>
        </row>
        <row r="795">
          <cell r="A795">
            <v>52287</v>
          </cell>
          <cell r="B795" t="str">
            <v>FUNES</v>
          </cell>
          <cell r="C795" t="str">
            <v>NARIÑO</v>
          </cell>
          <cell r="D795" t="str">
            <v>PASTO</v>
          </cell>
          <cell r="E795" t="str">
            <v>INTERMEDIA</v>
          </cell>
          <cell r="F795" t="str">
            <v>TERRESTRE</v>
          </cell>
          <cell r="G795" t="str">
            <v>PASTO</v>
          </cell>
        </row>
        <row r="796">
          <cell r="A796">
            <v>52317</v>
          </cell>
          <cell r="B796" t="str">
            <v>GUACHUCAL</v>
          </cell>
          <cell r="C796" t="str">
            <v>NARIÑO</v>
          </cell>
          <cell r="D796" t="str">
            <v>PASTO</v>
          </cell>
          <cell r="E796" t="str">
            <v>INTERMEDIA</v>
          </cell>
          <cell r="F796" t="str">
            <v>TERRESTRE</v>
          </cell>
          <cell r="G796" t="str">
            <v>PASTO</v>
          </cell>
        </row>
        <row r="797">
          <cell r="A797">
            <v>52320</v>
          </cell>
          <cell r="B797" t="str">
            <v>GUAITARILLA</v>
          </cell>
          <cell r="C797" t="str">
            <v>NARIÑO</v>
          </cell>
          <cell r="D797" t="str">
            <v>PASTO</v>
          </cell>
          <cell r="E797" t="str">
            <v>INTERMEDIA</v>
          </cell>
          <cell r="F797" t="str">
            <v>TERRESTRE</v>
          </cell>
          <cell r="G797" t="str">
            <v>PASTO</v>
          </cell>
        </row>
        <row r="798">
          <cell r="A798">
            <v>52323</v>
          </cell>
          <cell r="B798" t="str">
            <v>GUALMATAN</v>
          </cell>
          <cell r="C798" t="str">
            <v>NARIÑO</v>
          </cell>
          <cell r="D798" t="str">
            <v>PASTO</v>
          </cell>
          <cell r="E798" t="str">
            <v>INTERMEDIA</v>
          </cell>
          <cell r="F798" t="str">
            <v>TERRESTRE</v>
          </cell>
          <cell r="G798" t="str">
            <v>PASTO</v>
          </cell>
        </row>
        <row r="799">
          <cell r="A799">
            <v>52352</v>
          </cell>
          <cell r="B799" t="str">
            <v>ILES</v>
          </cell>
          <cell r="C799" t="str">
            <v>NARIÑO</v>
          </cell>
          <cell r="D799" t="str">
            <v>PASTO</v>
          </cell>
          <cell r="E799" t="str">
            <v>INTERMEDIA</v>
          </cell>
          <cell r="F799" t="str">
            <v>TERRESTRE</v>
          </cell>
          <cell r="G799" t="str">
            <v>PASTO</v>
          </cell>
        </row>
        <row r="800">
          <cell r="A800">
            <v>52354</v>
          </cell>
          <cell r="B800" t="str">
            <v>IMUES</v>
          </cell>
          <cell r="C800" t="str">
            <v>NARIÑO</v>
          </cell>
          <cell r="D800" t="str">
            <v>PASTO</v>
          </cell>
          <cell r="E800" t="str">
            <v>INTERMEDIA</v>
          </cell>
          <cell r="F800" t="str">
            <v>TERRESTRE</v>
          </cell>
          <cell r="G800" t="str">
            <v>PASTO</v>
          </cell>
        </row>
        <row r="801">
          <cell r="A801">
            <v>52356</v>
          </cell>
          <cell r="B801" t="str">
            <v>IPIALES</v>
          </cell>
          <cell r="C801" t="str">
            <v>NARIÑO</v>
          </cell>
          <cell r="D801" t="str">
            <v>PASTO</v>
          </cell>
          <cell r="E801" t="str">
            <v>INTERMEDIA</v>
          </cell>
          <cell r="F801" t="str">
            <v>TERRESTRE</v>
          </cell>
          <cell r="G801" t="str">
            <v>PASTO</v>
          </cell>
        </row>
        <row r="802">
          <cell r="A802">
            <v>52378</v>
          </cell>
          <cell r="B802" t="str">
            <v>LA CRUZ</v>
          </cell>
          <cell r="C802" t="str">
            <v>NARIÑO</v>
          </cell>
          <cell r="D802" t="str">
            <v>PASTO</v>
          </cell>
          <cell r="E802" t="str">
            <v>LEJANA</v>
          </cell>
          <cell r="F802" t="str">
            <v>TERRESTRE</v>
          </cell>
          <cell r="G802" t="str">
            <v>PASTO</v>
          </cell>
        </row>
        <row r="803">
          <cell r="A803">
            <v>52381</v>
          </cell>
          <cell r="B803" t="str">
            <v>LA FLORIDA</v>
          </cell>
          <cell r="C803" t="str">
            <v>NARIÑO</v>
          </cell>
          <cell r="D803" t="str">
            <v>PASTO</v>
          </cell>
          <cell r="E803" t="str">
            <v>INTERMEDIA</v>
          </cell>
          <cell r="F803" t="str">
            <v>TERRESTRE</v>
          </cell>
          <cell r="G803" t="str">
            <v>PASTO</v>
          </cell>
        </row>
        <row r="804">
          <cell r="A804">
            <v>52385</v>
          </cell>
          <cell r="B804" t="str">
            <v>LA LLANADA</v>
          </cell>
          <cell r="C804" t="str">
            <v>NARIÑO</v>
          </cell>
          <cell r="D804" t="str">
            <v>PASTO</v>
          </cell>
          <cell r="E804" t="str">
            <v>LEJANA</v>
          </cell>
          <cell r="F804" t="str">
            <v>TERRESTRE</v>
          </cell>
          <cell r="G804" t="str">
            <v>PASTO</v>
          </cell>
        </row>
        <row r="805">
          <cell r="A805">
            <v>52390</v>
          </cell>
          <cell r="B805" t="str">
            <v>LA TOLA</v>
          </cell>
          <cell r="C805" t="str">
            <v>NARIÑO</v>
          </cell>
          <cell r="D805" t="str">
            <v>PASTO</v>
          </cell>
          <cell r="E805" t="str">
            <v>LEJANA</v>
          </cell>
          <cell r="F805" t="str">
            <v>FLUVIAL</v>
          </cell>
          <cell r="G805" t="str">
            <v>PASTO</v>
          </cell>
        </row>
        <row r="806">
          <cell r="A806">
            <v>52405</v>
          </cell>
          <cell r="B806" t="str">
            <v>LEIVA</v>
          </cell>
          <cell r="C806" t="str">
            <v>NARIÑO</v>
          </cell>
          <cell r="D806" t="str">
            <v>PASTO</v>
          </cell>
          <cell r="E806" t="str">
            <v>LEJANA</v>
          </cell>
          <cell r="F806" t="str">
            <v>TERRESTRE</v>
          </cell>
          <cell r="G806" t="str">
            <v>PASTO</v>
          </cell>
        </row>
        <row r="807">
          <cell r="A807">
            <v>52411</v>
          </cell>
          <cell r="B807" t="str">
            <v>LINARES</v>
          </cell>
          <cell r="C807" t="str">
            <v>NARIÑO</v>
          </cell>
          <cell r="D807" t="str">
            <v>PASTO</v>
          </cell>
          <cell r="E807" t="str">
            <v>LEJANA</v>
          </cell>
          <cell r="F807" t="str">
            <v>TERRESTRE</v>
          </cell>
          <cell r="G807" t="str">
            <v>PASTO</v>
          </cell>
        </row>
        <row r="808">
          <cell r="A808">
            <v>52418</v>
          </cell>
          <cell r="B808" t="str">
            <v>LOS ANDES</v>
          </cell>
          <cell r="C808" t="str">
            <v>NARIÑO</v>
          </cell>
          <cell r="D808" t="str">
            <v>PASTO</v>
          </cell>
          <cell r="E808" t="str">
            <v>LEJANA</v>
          </cell>
          <cell r="F808" t="str">
            <v>TERRESTRE</v>
          </cell>
          <cell r="G808" t="str">
            <v>PASTO</v>
          </cell>
        </row>
        <row r="809">
          <cell r="A809">
            <v>52427</v>
          </cell>
          <cell r="B809" t="str">
            <v>MAGUI</v>
          </cell>
          <cell r="C809" t="str">
            <v>NARIÑO</v>
          </cell>
          <cell r="D809" t="str">
            <v>PASTO</v>
          </cell>
          <cell r="E809" t="str">
            <v>LEJANA</v>
          </cell>
          <cell r="F809" t="str">
            <v>FLUVIAL</v>
          </cell>
          <cell r="G809" t="str">
            <v>PASTO</v>
          </cell>
        </row>
        <row r="810">
          <cell r="A810">
            <v>52435</v>
          </cell>
          <cell r="B810" t="str">
            <v>MALLAMA</v>
          </cell>
          <cell r="C810" t="str">
            <v>NARIÑO</v>
          </cell>
          <cell r="D810" t="str">
            <v>PASTO</v>
          </cell>
          <cell r="E810" t="str">
            <v>LEJANA</v>
          </cell>
          <cell r="F810" t="str">
            <v>TERRESTRE</v>
          </cell>
          <cell r="G810" t="str">
            <v>PASTO</v>
          </cell>
        </row>
        <row r="811">
          <cell r="A811">
            <v>52490</v>
          </cell>
          <cell r="B811" t="str">
            <v>OLAYA HERRERA</v>
          </cell>
          <cell r="C811" t="str">
            <v>NARIÑO</v>
          </cell>
          <cell r="D811" t="str">
            <v>PASTO</v>
          </cell>
          <cell r="E811" t="str">
            <v>LEJANA</v>
          </cell>
          <cell r="F811" t="str">
            <v>FLUVIAL</v>
          </cell>
          <cell r="G811" t="str">
            <v>PASTO</v>
          </cell>
        </row>
        <row r="812">
          <cell r="A812">
            <v>52506</v>
          </cell>
          <cell r="B812" t="str">
            <v>OSPINA</v>
          </cell>
          <cell r="C812" t="str">
            <v>NARIÑO</v>
          </cell>
          <cell r="D812" t="str">
            <v>PASTO</v>
          </cell>
          <cell r="E812" t="str">
            <v>INTERMEDIA</v>
          </cell>
          <cell r="F812" t="str">
            <v>TERRESTRE</v>
          </cell>
          <cell r="G812" t="str">
            <v>PASTO</v>
          </cell>
        </row>
        <row r="813">
          <cell r="A813">
            <v>52001</v>
          </cell>
          <cell r="B813" t="str">
            <v>PASTO</v>
          </cell>
          <cell r="C813" t="str">
            <v>NARIÑO</v>
          </cell>
          <cell r="D813" t="str">
            <v>PASTO</v>
          </cell>
          <cell r="E813" t="str">
            <v>PRINCIPAL</v>
          </cell>
          <cell r="F813" t="str">
            <v>TERRESTRE</v>
          </cell>
          <cell r="G813" t="str">
            <v>PASTO</v>
          </cell>
        </row>
        <row r="814">
          <cell r="A814">
            <v>52540</v>
          </cell>
          <cell r="B814" t="str">
            <v>POLICARPA</v>
          </cell>
          <cell r="C814" t="str">
            <v>NARIÑO</v>
          </cell>
          <cell r="D814" t="str">
            <v>PASTO</v>
          </cell>
          <cell r="E814" t="str">
            <v>LEJANA</v>
          </cell>
          <cell r="F814" t="str">
            <v>TERRESTRE</v>
          </cell>
          <cell r="G814" t="str">
            <v>PASTO</v>
          </cell>
        </row>
        <row r="815">
          <cell r="A815">
            <v>52560</v>
          </cell>
          <cell r="B815" t="str">
            <v>POTOSI</v>
          </cell>
          <cell r="C815" t="str">
            <v>NARIÑO</v>
          </cell>
          <cell r="D815" t="str">
            <v>PASTO</v>
          </cell>
          <cell r="E815" t="str">
            <v>INTERMEDIA</v>
          </cell>
          <cell r="F815" t="str">
            <v>TERRESTRE</v>
          </cell>
          <cell r="G815" t="str">
            <v>PASTO</v>
          </cell>
        </row>
        <row r="816">
          <cell r="A816">
            <v>52573</v>
          </cell>
          <cell r="B816" t="str">
            <v>PUERRES</v>
          </cell>
          <cell r="C816" t="str">
            <v>NARIÑO</v>
          </cell>
          <cell r="D816" t="str">
            <v>PASTO</v>
          </cell>
          <cell r="E816" t="str">
            <v>INTERMEDIA</v>
          </cell>
          <cell r="F816" t="str">
            <v>TERRESTRE</v>
          </cell>
          <cell r="G816" t="str">
            <v>PASTO</v>
          </cell>
        </row>
        <row r="817">
          <cell r="A817">
            <v>52585</v>
          </cell>
          <cell r="B817" t="str">
            <v>PUPIALES</v>
          </cell>
          <cell r="C817" t="str">
            <v>NARIÑO</v>
          </cell>
          <cell r="D817" t="str">
            <v>PASTO</v>
          </cell>
          <cell r="E817" t="str">
            <v>INTERMEDIA</v>
          </cell>
          <cell r="F817" t="str">
            <v>TERRESTRE</v>
          </cell>
          <cell r="G817" t="str">
            <v>PASTO</v>
          </cell>
        </row>
        <row r="818">
          <cell r="A818">
            <v>52621</v>
          </cell>
          <cell r="B818" t="str">
            <v>ROBERTO PAYAN</v>
          </cell>
          <cell r="C818" t="str">
            <v>NARIÑO</v>
          </cell>
          <cell r="D818" t="str">
            <v>PASTO</v>
          </cell>
          <cell r="E818" t="str">
            <v>LEJANA</v>
          </cell>
          <cell r="F818" t="str">
            <v>FLUVIAL</v>
          </cell>
          <cell r="G818" t="str">
            <v>PASTO</v>
          </cell>
        </row>
        <row r="819">
          <cell r="A819">
            <v>52678</v>
          </cell>
          <cell r="B819" t="str">
            <v>SAMANIEGO</v>
          </cell>
          <cell r="C819" t="str">
            <v>NARIÑO</v>
          </cell>
          <cell r="D819" t="str">
            <v>PASTO</v>
          </cell>
          <cell r="E819" t="str">
            <v>LEJANA</v>
          </cell>
          <cell r="F819" t="str">
            <v>TERRESTRE</v>
          </cell>
          <cell r="G819" t="str">
            <v>PASTO</v>
          </cell>
        </row>
        <row r="820">
          <cell r="A820">
            <v>52835</v>
          </cell>
          <cell r="B820" t="str">
            <v>SAN ANDRES DE TUMACO</v>
          </cell>
          <cell r="C820" t="str">
            <v>NARIÑO</v>
          </cell>
          <cell r="D820" t="str">
            <v>PASTO</v>
          </cell>
          <cell r="E820" t="str">
            <v>LEJANA</v>
          </cell>
          <cell r="F820" t="str">
            <v>TERRESTRE</v>
          </cell>
          <cell r="G820" t="str">
            <v>PASTO</v>
          </cell>
        </row>
        <row r="821">
          <cell r="A821">
            <v>52687</v>
          </cell>
          <cell r="B821" t="str">
            <v>SAN LORENZO</v>
          </cell>
          <cell r="C821" t="str">
            <v>NARIÑO</v>
          </cell>
          <cell r="D821" t="str">
            <v>PASTO</v>
          </cell>
          <cell r="E821" t="str">
            <v>INTERMEDIA</v>
          </cell>
          <cell r="F821" t="str">
            <v>TERRESTRE</v>
          </cell>
          <cell r="G821" t="str">
            <v>PASTO</v>
          </cell>
        </row>
        <row r="822">
          <cell r="A822">
            <v>52694</v>
          </cell>
          <cell r="B822" t="str">
            <v>SAN PEDRO DE CARTAGO</v>
          </cell>
          <cell r="C822" t="str">
            <v>NARIÑO</v>
          </cell>
          <cell r="D822" t="str">
            <v>PASTO</v>
          </cell>
          <cell r="E822" t="str">
            <v>INTERMEDIA</v>
          </cell>
          <cell r="F822" t="str">
            <v>TERRESTRE</v>
          </cell>
          <cell r="G822" t="str">
            <v>PASTO</v>
          </cell>
        </row>
        <row r="823">
          <cell r="A823">
            <v>52683</v>
          </cell>
          <cell r="B823" t="str">
            <v>SANDONA</v>
          </cell>
          <cell r="C823" t="str">
            <v>NARIÑO</v>
          </cell>
          <cell r="D823" t="str">
            <v>PASTO</v>
          </cell>
          <cell r="E823" t="str">
            <v>INTERMEDIA</v>
          </cell>
          <cell r="F823" t="str">
            <v>TERRESTRE</v>
          </cell>
          <cell r="G823" t="str">
            <v>PASTO</v>
          </cell>
        </row>
        <row r="824">
          <cell r="A824">
            <v>52699</v>
          </cell>
          <cell r="B824" t="str">
            <v>SANTACRUZ</v>
          </cell>
          <cell r="C824" t="str">
            <v>NARIÑO</v>
          </cell>
          <cell r="D824" t="str">
            <v>PASTO</v>
          </cell>
          <cell r="E824" t="str">
            <v>LEJANA</v>
          </cell>
          <cell r="F824" t="str">
            <v>TERRESTRE</v>
          </cell>
          <cell r="G824" t="str">
            <v>PASTO</v>
          </cell>
        </row>
        <row r="825">
          <cell r="A825">
            <v>52720</v>
          </cell>
          <cell r="B825" t="str">
            <v>SAPUYES</v>
          </cell>
          <cell r="C825" t="str">
            <v>NARIÑO</v>
          </cell>
          <cell r="D825" t="str">
            <v>PASTO</v>
          </cell>
          <cell r="E825" t="str">
            <v>INTERMEDIA</v>
          </cell>
          <cell r="F825" t="str">
            <v>TERRESTRE</v>
          </cell>
          <cell r="G825" t="str">
            <v>PASTO</v>
          </cell>
        </row>
        <row r="826">
          <cell r="A826">
            <v>52786</v>
          </cell>
          <cell r="B826" t="str">
            <v>TAMINANGO</v>
          </cell>
          <cell r="C826" t="str">
            <v>NARIÑO</v>
          </cell>
          <cell r="D826" t="str">
            <v>PASTO</v>
          </cell>
          <cell r="E826" t="str">
            <v>INTERMEDIA</v>
          </cell>
          <cell r="F826" t="str">
            <v>TERRESTRE</v>
          </cell>
          <cell r="G826" t="str">
            <v>PASTO</v>
          </cell>
        </row>
        <row r="827">
          <cell r="A827">
            <v>52788</v>
          </cell>
          <cell r="B827" t="str">
            <v>TANGUA</v>
          </cell>
          <cell r="C827" t="str">
            <v>NARIÑO</v>
          </cell>
          <cell r="D827" t="str">
            <v>PASTO</v>
          </cell>
          <cell r="E827" t="str">
            <v>INTERMEDIA</v>
          </cell>
          <cell r="F827" t="str">
            <v>TERRESTRE</v>
          </cell>
          <cell r="G827" t="str">
            <v>PASTO</v>
          </cell>
        </row>
        <row r="828">
          <cell r="A828">
            <v>52838</v>
          </cell>
          <cell r="B828" t="str">
            <v>TUQUERRES</v>
          </cell>
          <cell r="C828" t="str">
            <v>NARIÑO</v>
          </cell>
          <cell r="D828" t="str">
            <v>PASTO</v>
          </cell>
          <cell r="E828" t="str">
            <v>INTERMEDIA</v>
          </cell>
          <cell r="F828" t="str">
            <v>TERRESTRE</v>
          </cell>
          <cell r="G828" t="str">
            <v>PASTO</v>
          </cell>
        </row>
        <row r="829">
          <cell r="A829">
            <v>52885</v>
          </cell>
          <cell r="B829" t="str">
            <v>YACUANQUER</v>
          </cell>
          <cell r="C829" t="str">
            <v>NARIÑO</v>
          </cell>
          <cell r="D829" t="str">
            <v>PASTO</v>
          </cell>
          <cell r="E829" t="str">
            <v>INTERMEDIA</v>
          </cell>
          <cell r="F829" t="str">
            <v>TERRESTRE</v>
          </cell>
          <cell r="G829" t="str">
            <v>PASTO</v>
          </cell>
        </row>
        <row r="830">
          <cell r="A830">
            <v>54553</v>
          </cell>
          <cell r="B830" t="str">
            <v>PUERTO SANTANDER</v>
          </cell>
          <cell r="C830" t="str">
            <v>NORTE DE SANTANDER</v>
          </cell>
          <cell r="D830" t="str">
            <v>CUCUTA</v>
          </cell>
          <cell r="E830" t="str">
            <v>INTERMEDIA</v>
          </cell>
          <cell r="F830" t="str">
            <v>TERRESTRE</v>
          </cell>
          <cell r="G830" t="str">
            <v>CUCUTA</v>
          </cell>
        </row>
        <row r="831">
          <cell r="A831">
            <v>54673</v>
          </cell>
          <cell r="B831" t="str">
            <v>SAN CAYETANO</v>
          </cell>
          <cell r="C831" t="str">
            <v>NORTE DE SANTANDER</v>
          </cell>
          <cell r="D831" t="str">
            <v>CUCUTA</v>
          </cell>
          <cell r="E831" t="str">
            <v>INTERMEDIA</v>
          </cell>
          <cell r="F831" t="str">
            <v>TERRESTRE</v>
          </cell>
          <cell r="G831" t="str">
            <v>CUCUTA</v>
          </cell>
        </row>
        <row r="832">
          <cell r="A832">
            <v>54680</v>
          </cell>
          <cell r="B832" t="str">
            <v>SANTIAGO</v>
          </cell>
          <cell r="C832" t="str">
            <v>NORTE DE SANTANDER</v>
          </cell>
          <cell r="D832" t="str">
            <v>CUCUTA</v>
          </cell>
          <cell r="E832" t="str">
            <v>INTERMEDIA</v>
          </cell>
          <cell r="F832" t="str">
            <v>TERRESTRE</v>
          </cell>
          <cell r="G832" t="str">
            <v>CUCUTA</v>
          </cell>
        </row>
        <row r="833">
          <cell r="A833">
            <v>54820</v>
          </cell>
          <cell r="B833" t="str">
            <v>TOLEDO</v>
          </cell>
          <cell r="C833" t="str">
            <v>NORTE DE SANTANDER</v>
          </cell>
          <cell r="D833" t="str">
            <v>CUCUTA</v>
          </cell>
          <cell r="E833" t="str">
            <v>LEJANA</v>
          </cell>
          <cell r="F833" t="str">
            <v>TERRESTRE</v>
          </cell>
          <cell r="G833" t="str">
            <v>CUCUTA</v>
          </cell>
        </row>
        <row r="834">
          <cell r="A834">
            <v>54003</v>
          </cell>
          <cell r="B834" t="str">
            <v>ABREGO</v>
          </cell>
          <cell r="C834" t="str">
            <v>NORTE DE SANTANDER</v>
          </cell>
          <cell r="D834" t="str">
            <v>CUCUTA</v>
          </cell>
          <cell r="E834" t="str">
            <v>LEJANA</v>
          </cell>
          <cell r="F834" t="str">
            <v>TERRESTRE</v>
          </cell>
          <cell r="G834" t="str">
            <v>CUCUTA</v>
          </cell>
        </row>
        <row r="835">
          <cell r="A835">
            <v>54051</v>
          </cell>
          <cell r="B835" t="str">
            <v>ARBOLEDAS</v>
          </cell>
          <cell r="C835" t="str">
            <v>NORTE DE SANTANDER</v>
          </cell>
          <cell r="D835" t="str">
            <v>CUCUTA</v>
          </cell>
          <cell r="E835" t="str">
            <v>LEJANA</v>
          </cell>
          <cell r="F835" t="str">
            <v>TERRESTRE</v>
          </cell>
          <cell r="G835" t="str">
            <v>CUCUTA</v>
          </cell>
        </row>
        <row r="836">
          <cell r="A836">
            <v>54099</v>
          </cell>
          <cell r="B836" t="str">
            <v>BOCHALEMA</v>
          </cell>
          <cell r="C836" t="str">
            <v>NORTE DE SANTANDER</v>
          </cell>
          <cell r="D836" t="str">
            <v>CUCUTA</v>
          </cell>
          <cell r="E836" t="str">
            <v>INTERMEDIA</v>
          </cell>
          <cell r="F836" t="str">
            <v>TERRESTRE</v>
          </cell>
          <cell r="G836" t="str">
            <v>CUCUTA</v>
          </cell>
        </row>
        <row r="837">
          <cell r="A837">
            <v>54109</v>
          </cell>
          <cell r="B837" t="str">
            <v>BUCARASICA</v>
          </cell>
          <cell r="C837" t="str">
            <v>NORTE DE SANTANDER</v>
          </cell>
          <cell r="D837" t="str">
            <v>CUCUTA</v>
          </cell>
          <cell r="E837" t="str">
            <v>LEJANA</v>
          </cell>
          <cell r="F837" t="str">
            <v>TERRESTRE</v>
          </cell>
          <cell r="G837" t="str">
            <v>CUCUTA</v>
          </cell>
        </row>
        <row r="838">
          <cell r="A838">
            <v>54128</v>
          </cell>
          <cell r="B838" t="str">
            <v>CACHIRA</v>
          </cell>
          <cell r="C838" t="str">
            <v>NORTE DE SANTANDER</v>
          </cell>
          <cell r="D838" t="str">
            <v>CUCUTA</v>
          </cell>
          <cell r="E838" t="str">
            <v>LEJANA</v>
          </cell>
          <cell r="F838" t="str">
            <v>TERRESTRE</v>
          </cell>
          <cell r="G838" t="str">
            <v>CUCUTA</v>
          </cell>
        </row>
        <row r="839">
          <cell r="A839">
            <v>54125</v>
          </cell>
          <cell r="B839" t="str">
            <v>CACOTA</v>
          </cell>
          <cell r="C839" t="str">
            <v>NORTE DE SANTANDER</v>
          </cell>
          <cell r="D839" t="str">
            <v>CUCUTA</v>
          </cell>
          <cell r="E839" t="str">
            <v>LEJANA</v>
          </cell>
          <cell r="F839" t="str">
            <v>TERRESTRE</v>
          </cell>
          <cell r="G839" t="str">
            <v>CUCUTA</v>
          </cell>
        </row>
        <row r="840">
          <cell r="A840">
            <v>54172</v>
          </cell>
          <cell r="B840" t="str">
            <v>CHINACOTA</v>
          </cell>
          <cell r="C840" t="str">
            <v>NORTE DE SANTANDER</v>
          </cell>
          <cell r="D840" t="str">
            <v>CUCUTA</v>
          </cell>
          <cell r="E840" t="str">
            <v>INTERMEDIA</v>
          </cell>
          <cell r="F840" t="str">
            <v>TERRESTRE</v>
          </cell>
          <cell r="G840" t="str">
            <v>CUCUTA</v>
          </cell>
        </row>
        <row r="841">
          <cell r="A841">
            <v>54174</v>
          </cell>
          <cell r="B841" t="str">
            <v>CHITAGA</v>
          </cell>
          <cell r="C841" t="str">
            <v>NORTE DE SANTANDER</v>
          </cell>
          <cell r="D841" t="str">
            <v>CUCUTA</v>
          </cell>
          <cell r="E841" t="str">
            <v>LEJANA</v>
          </cell>
          <cell r="F841" t="str">
            <v>TERRESTRE</v>
          </cell>
          <cell r="G841" t="str">
            <v>CUCUTA</v>
          </cell>
        </row>
        <row r="842">
          <cell r="A842">
            <v>54206</v>
          </cell>
          <cell r="B842" t="str">
            <v>CONVENCION</v>
          </cell>
          <cell r="C842" t="str">
            <v>NORTE DE SANTANDER</v>
          </cell>
          <cell r="D842" t="str">
            <v>CUCUTA</v>
          </cell>
          <cell r="E842" t="str">
            <v>LEJANA</v>
          </cell>
          <cell r="F842" t="str">
            <v>TERRESTRE</v>
          </cell>
          <cell r="G842" t="str">
            <v>CUCUTA</v>
          </cell>
        </row>
        <row r="843">
          <cell r="A843">
            <v>54001</v>
          </cell>
          <cell r="B843" t="str">
            <v>CUCUTA</v>
          </cell>
          <cell r="C843" t="str">
            <v>NORTE DE SANTANDER</v>
          </cell>
          <cell r="D843" t="str">
            <v>CUCUTA</v>
          </cell>
          <cell r="E843" t="str">
            <v>PRINCIPAL</v>
          </cell>
          <cell r="F843" t="str">
            <v>TERRESTRE</v>
          </cell>
          <cell r="G843" t="str">
            <v>CUCUTA</v>
          </cell>
        </row>
        <row r="844">
          <cell r="A844">
            <v>54223</v>
          </cell>
          <cell r="B844" t="str">
            <v>CUCUTILLA</v>
          </cell>
          <cell r="C844" t="str">
            <v>NORTE DE SANTANDER</v>
          </cell>
          <cell r="D844" t="str">
            <v>CUCUTA</v>
          </cell>
          <cell r="E844" t="str">
            <v>LEJANA</v>
          </cell>
          <cell r="F844" t="str">
            <v>TERRESTRE</v>
          </cell>
          <cell r="G844" t="str">
            <v>CUCUTA</v>
          </cell>
        </row>
        <row r="845">
          <cell r="A845">
            <v>54239</v>
          </cell>
          <cell r="B845" t="str">
            <v>DURANIA</v>
          </cell>
          <cell r="C845" t="str">
            <v>NORTE DE SANTANDER</v>
          </cell>
          <cell r="D845" t="str">
            <v>CUCUTA</v>
          </cell>
          <cell r="E845" t="str">
            <v>INTERMEDIA</v>
          </cell>
          <cell r="F845" t="str">
            <v>TERRESTRE</v>
          </cell>
          <cell r="G845" t="str">
            <v>CUCUTA</v>
          </cell>
        </row>
        <row r="846">
          <cell r="A846">
            <v>54245</v>
          </cell>
          <cell r="B846" t="str">
            <v>EL CARMEN</v>
          </cell>
          <cell r="C846" t="str">
            <v>NORTE DE SANTANDER</v>
          </cell>
          <cell r="D846" t="str">
            <v>CUCUTA</v>
          </cell>
          <cell r="E846" t="str">
            <v>LEJANA</v>
          </cell>
          <cell r="F846" t="str">
            <v>TERRESTRE</v>
          </cell>
          <cell r="G846" t="str">
            <v>CUCUTA</v>
          </cell>
        </row>
        <row r="847">
          <cell r="A847">
            <v>54250</v>
          </cell>
          <cell r="B847" t="str">
            <v>EL TARRA</v>
          </cell>
          <cell r="C847" t="str">
            <v>NORTE DE SANTANDER</v>
          </cell>
          <cell r="D847" t="str">
            <v>CUCUTA</v>
          </cell>
          <cell r="E847" t="str">
            <v>LEJANA</v>
          </cell>
          <cell r="F847" t="str">
            <v>TERRESTRE</v>
          </cell>
          <cell r="G847" t="str">
            <v>CUCUTA</v>
          </cell>
        </row>
        <row r="848">
          <cell r="A848">
            <v>54261</v>
          </cell>
          <cell r="B848" t="str">
            <v>EL ZULIA</v>
          </cell>
          <cell r="C848" t="str">
            <v>NORTE DE SANTANDER</v>
          </cell>
          <cell r="D848" t="str">
            <v>CUCUTA</v>
          </cell>
          <cell r="E848" t="str">
            <v>INTERMEDIA</v>
          </cell>
          <cell r="F848" t="str">
            <v>TERRESTRE</v>
          </cell>
          <cell r="G848" t="str">
            <v>CUCUTA</v>
          </cell>
        </row>
        <row r="849">
          <cell r="A849">
            <v>54313</v>
          </cell>
          <cell r="B849" t="str">
            <v>GRAMALOTE</v>
          </cell>
          <cell r="C849" t="str">
            <v>NORTE DE SANTANDER</v>
          </cell>
          <cell r="D849" t="str">
            <v>CUCUTA</v>
          </cell>
          <cell r="E849" t="str">
            <v>INTERMEDIA</v>
          </cell>
          <cell r="F849" t="str">
            <v>TERRESTRE</v>
          </cell>
          <cell r="G849" t="str">
            <v>CUCUTA</v>
          </cell>
        </row>
        <row r="850">
          <cell r="A850">
            <v>54344</v>
          </cell>
          <cell r="B850" t="str">
            <v>HACARI</v>
          </cell>
          <cell r="C850" t="str">
            <v>NORTE DE SANTANDER</v>
          </cell>
          <cell r="D850" t="str">
            <v>CUCUTA</v>
          </cell>
          <cell r="E850" t="str">
            <v>LEJANA</v>
          </cell>
          <cell r="F850" t="str">
            <v>TERRESTRE</v>
          </cell>
          <cell r="G850" t="str">
            <v>CUCUTA</v>
          </cell>
        </row>
        <row r="851">
          <cell r="A851">
            <v>54347</v>
          </cell>
          <cell r="B851" t="str">
            <v>HERRAN</v>
          </cell>
          <cell r="C851" t="str">
            <v>NORTE DE SANTANDER</v>
          </cell>
          <cell r="D851" t="str">
            <v>CUCUTA</v>
          </cell>
          <cell r="E851" t="str">
            <v>LEJANA</v>
          </cell>
          <cell r="F851" t="str">
            <v>TERRESTRE</v>
          </cell>
          <cell r="G851" t="str">
            <v>CUCUTA</v>
          </cell>
        </row>
        <row r="852">
          <cell r="A852">
            <v>54385</v>
          </cell>
          <cell r="B852" t="str">
            <v>LA ESPERANZA</v>
          </cell>
          <cell r="C852" t="str">
            <v>NORTE DE SANTANDER</v>
          </cell>
          <cell r="D852" t="str">
            <v>BUCARAMANGA</v>
          </cell>
          <cell r="E852" t="str">
            <v>LEJANA</v>
          </cell>
          <cell r="F852" t="str">
            <v>TERRESTRE</v>
          </cell>
          <cell r="G852" t="str">
            <v>BUCARAMANGA</v>
          </cell>
        </row>
        <row r="853">
          <cell r="A853">
            <v>54398</v>
          </cell>
          <cell r="B853" t="str">
            <v>LA PLAYA</v>
          </cell>
          <cell r="C853" t="str">
            <v>NORTE DE SANTANDER</v>
          </cell>
          <cell r="D853" t="str">
            <v>CUCUTA</v>
          </cell>
          <cell r="E853" t="str">
            <v>LEJANA</v>
          </cell>
          <cell r="F853" t="str">
            <v>TERRESTRE</v>
          </cell>
          <cell r="G853" t="str">
            <v>CUCUTA</v>
          </cell>
        </row>
        <row r="854">
          <cell r="A854">
            <v>54377</v>
          </cell>
          <cell r="B854" t="str">
            <v>LABATECA</v>
          </cell>
          <cell r="C854" t="str">
            <v>NORTE DE SANTANDER</v>
          </cell>
          <cell r="D854" t="str">
            <v>CUCUTA</v>
          </cell>
          <cell r="E854" t="str">
            <v>LEJANA</v>
          </cell>
          <cell r="F854" t="str">
            <v>TERRESTRE</v>
          </cell>
          <cell r="G854" t="str">
            <v>CUCUTA</v>
          </cell>
        </row>
        <row r="855">
          <cell r="A855">
            <v>54405</v>
          </cell>
          <cell r="B855" t="str">
            <v>LOS PATIOS</v>
          </cell>
          <cell r="C855" t="str">
            <v>NORTE DE SANTANDER</v>
          </cell>
          <cell r="D855" t="str">
            <v>CUCUTA</v>
          </cell>
          <cell r="E855" t="str">
            <v>PRINCIPAL</v>
          </cell>
          <cell r="F855" t="str">
            <v>TERRESTRE</v>
          </cell>
          <cell r="G855" t="str">
            <v>CUCUTA</v>
          </cell>
        </row>
        <row r="856">
          <cell r="A856">
            <v>54418</v>
          </cell>
          <cell r="B856" t="str">
            <v>LOURDES</v>
          </cell>
          <cell r="C856" t="str">
            <v>NORTE DE SANTANDER</v>
          </cell>
          <cell r="D856" t="str">
            <v>CUCUTA</v>
          </cell>
          <cell r="E856" t="str">
            <v>LEJANA</v>
          </cell>
          <cell r="F856" t="str">
            <v>TERRESTRE</v>
          </cell>
          <cell r="G856" t="str">
            <v>CUCUTA</v>
          </cell>
        </row>
        <row r="857">
          <cell r="A857">
            <v>54480</v>
          </cell>
          <cell r="B857" t="str">
            <v>MUTISCUA</v>
          </cell>
          <cell r="C857" t="str">
            <v>NORTE DE SANTANDER</v>
          </cell>
          <cell r="D857" t="str">
            <v>CUCUTA</v>
          </cell>
          <cell r="E857" t="str">
            <v>LEJANA</v>
          </cell>
          <cell r="F857" t="str">
            <v>TERRESTRE</v>
          </cell>
          <cell r="G857" t="str">
            <v>CUCUTA</v>
          </cell>
        </row>
        <row r="858">
          <cell r="A858">
            <v>54498</v>
          </cell>
          <cell r="B858" t="str">
            <v>OCAÑA</v>
          </cell>
          <cell r="C858" t="str">
            <v>NORTE DE SANTANDER</v>
          </cell>
          <cell r="D858" t="str">
            <v>CUCUTA</v>
          </cell>
          <cell r="E858" t="str">
            <v>LEJANA</v>
          </cell>
          <cell r="F858" t="str">
            <v>TERRESTRE</v>
          </cell>
          <cell r="G858" t="str">
            <v>CUCUTA</v>
          </cell>
        </row>
        <row r="859">
          <cell r="A859">
            <v>54518</v>
          </cell>
          <cell r="B859" t="str">
            <v>PAMPLONA</v>
          </cell>
          <cell r="C859" t="str">
            <v>NORTE DE SANTANDER</v>
          </cell>
          <cell r="D859" t="str">
            <v>CUCUTA</v>
          </cell>
          <cell r="E859" t="str">
            <v>LEJANA</v>
          </cell>
          <cell r="F859" t="str">
            <v>TERRESTRE</v>
          </cell>
          <cell r="G859" t="str">
            <v>CUCUTA</v>
          </cell>
        </row>
        <row r="860">
          <cell r="A860">
            <v>54520</v>
          </cell>
          <cell r="B860" t="str">
            <v>PAMPLONITA</v>
          </cell>
          <cell r="C860" t="str">
            <v>NORTE DE SANTANDER</v>
          </cell>
          <cell r="D860" t="str">
            <v>CUCUTA</v>
          </cell>
          <cell r="E860" t="str">
            <v>LEJANA</v>
          </cell>
          <cell r="F860" t="str">
            <v>TERRESTRE</v>
          </cell>
          <cell r="G860" t="str">
            <v>CUCUTA</v>
          </cell>
        </row>
        <row r="861">
          <cell r="A861">
            <v>54599</v>
          </cell>
          <cell r="B861" t="str">
            <v>RAGONVALIA</v>
          </cell>
          <cell r="C861" t="str">
            <v>NORTE DE SANTANDER</v>
          </cell>
          <cell r="D861" t="str">
            <v>CUCUTA</v>
          </cell>
          <cell r="E861" t="str">
            <v>LEJANA</v>
          </cell>
          <cell r="F861" t="str">
            <v>TERRESTRE</v>
          </cell>
          <cell r="G861" t="str">
            <v>CUCUTA</v>
          </cell>
        </row>
        <row r="862">
          <cell r="A862">
            <v>54660</v>
          </cell>
          <cell r="B862" t="str">
            <v>SALAZAR</v>
          </cell>
          <cell r="C862" t="str">
            <v>NORTE DE SANTANDER</v>
          </cell>
          <cell r="D862" t="str">
            <v>CUCUTA</v>
          </cell>
          <cell r="E862" t="str">
            <v>INTERMEDIA</v>
          </cell>
          <cell r="F862" t="str">
            <v>TERRESTRE</v>
          </cell>
          <cell r="G862" t="str">
            <v>CUCUTA</v>
          </cell>
        </row>
        <row r="863">
          <cell r="A863">
            <v>54670</v>
          </cell>
          <cell r="B863" t="str">
            <v>SAN CALIXTO</v>
          </cell>
          <cell r="C863" t="str">
            <v>NORTE DE SANTANDER</v>
          </cell>
          <cell r="D863" t="str">
            <v>CUCUTA</v>
          </cell>
          <cell r="E863" t="str">
            <v>LEJANA</v>
          </cell>
          <cell r="F863" t="str">
            <v>TERRESTRE</v>
          </cell>
          <cell r="G863" t="str">
            <v>CUCUTA</v>
          </cell>
        </row>
        <row r="864">
          <cell r="A864">
            <v>54720</v>
          </cell>
          <cell r="B864" t="str">
            <v>SARDINATA</v>
          </cell>
          <cell r="C864" t="str">
            <v>NORTE DE SANTANDER</v>
          </cell>
          <cell r="D864" t="str">
            <v>CUCUTA</v>
          </cell>
          <cell r="E864" t="str">
            <v>INTERMEDIA</v>
          </cell>
          <cell r="F864" t="str">
            <v>TERRESTRE</v>
          </cell>
          <cell r="G864" t="str">
            <v>CUCUTA</v>
          </cell>
        </row>
        <row r="865">
          <cell r="A865">
            <v>54743</v>
          </cell>
          <cell r="B865" t="str">
            <v>SILOS</v>
          </cell>
          <cell r="C865" t="str">
            <v>NORTE DE SANTANDER</v>
          </cell>
          <cell r="D865" t="str">
            <v>CUCUTA</v>
          </cell>
          <cell r="E865" t="str">
            <v>LEJANA</v>
          </cell>
          <cell r="F865" t="str">
            <v>TERRESTRE</v>
          </cell>
          <cell r="G865" t="str">
            <v>CUCUTA</v>
          </cell>
        </row>
        <row r="866">
          <cell r="A866">
            <v>54800</v>
          </cell>
          <cell r="B866" t="str">
            <v>TEORAMA</v>
          </cell>
          <cell r="C866" t="str">
            <v>NORTE DE SANTANDER</v>
          </cell>
          <cell r="D866" t="str">
            <v>CUCUTA</v>
          </cell>
          <cell r="E866" t="str">
            <v>LEJANA</v>
          </cell>
          <cell r="F866" t="str">
            <v>TERRESTRE</v>
          </cell>
          <cell r="G866" t="str">
            <v>CUCUTA</v>
          </cell>
        </row>
        <row r="867">
          <cell r="A867">
            <v>54810</v>
          </cell>
          <cell r="B867" t="str">
            <v>TIBU</v>
          </cell>
          <cell r="C867" t="str">
            <v>NORTE DE SANTANDER</v>
          </cell>
          <cell r="D867" t="str">
            <v>CUCUTA</v>
          </cell>
          <cell r="E867" t="str">
            <v>LEJANA</v>
          </cell>
          <cell r="F867" t="str">
            <v>TERRESTRE</v>
          </cell>
          <cell r="G867" t="str">
            <v>CUCUTA</v>
          </cell>
        </row>
        <row r="868">
          <cell r="A868">
            <v>54871</v>
          </cell>
          <cell r="B868" t="str">
            <v>VILLA CARO</v>
          </cell>
          <cell r="C868" t="str">
            <v>NORTE DE SANTANDER</v>
          </cell>
          <cell r="D868" t="str">
            <v>CUCUTA</v>
          </cell>
          <cell r="E868" t="str">
            <v>LEJANA</v>
          </cell>
          <cell r="F868" t="str">
            <v>TERRESTRE</v>
          </cell>
          <cell r="G868" t="str">
            <v>CUCUTA</v>
          </cell>
        </row>
        <row r="869">
          <cell r="A869">
            <v>54874</v>
          </cell>
          <cell r="B869" t="str">
            <v>VILLA DEL ROSARIO</v>
          </cell>
          <cell r="C869" t="str">
            <v>NORTE DE SANTANDER</v>
          </cell>
          <cell r="D869" t="str">
            <v>CUCUTA</v>
          </cell>
          <cell r="E869" t="str">
            <v>PRINCIPAL</v>
          </cell>
          <cell r="F869" t="str">
            <v>TERRESTRE</v>
          </cell>
          <cell r="G869" t="str">
            <v>CUCUTA</v>
          </cell>
        </row>
        <row r="870">
          <cell r="A870">
            <v>86219</v>
          </cell>
          <cell r="B870" t="str">
            <v>COLON</v>
          </cell>
          <cell r="C870" t="str">
            <v>PUTUMAYO</v>
          </cell>
          <cell r="D870" t="str">
            <v>PASTO</v>
          </cell>
          <cell r="E870" t="str">
            <v>INTERMEDIA</v>
          </cell>
          <cell r="F870" t="str">
            <v>TERRESTRE</v>
          </cell>
          <cell r="G870" t="str">
            <v>PASTO</v>
          </cell>
        </row>
        <row r="871">
          <cell r="A871">
            <v>86755</v>
          </cell>
          <cell r="B871" t="str">
            <v>SAN FRANCISCO</v>
          </cell>
          <cell r="C871" t="str">
            <v>PUTUMAYO</v>
          </cell>
          <cell r="D871" t="str">
            <v>PASTO</v>
          </cell>
          <cell r="E871" t="str">
            <v>LEJANA</v>
          </cell>
          <cell r="F871" t="str">
            <v>TERRESTRE</v>
          </cell>
          <cell r="G871" t="str">
            <v>PASTO</v>
          </cell>
        </row>
        <row r="872">
          <cell r="A872">
            <v>86757</v>
          </cell>
          <cell r="B872" t="str">
            <v>SAN MIGUEL</v>
          </cell>
          <cell r="C872" t="str">
            <v>PUTUMAYO</v>
          </cell>
          <cell r="D872" t="str">
            <v>PASTO</v>
          </cell>
          <cell r="E872" t="str">
            <v>LEJANA</v>
          </cell>
          <cell r="F872" t="str">
            <v>TERRESTRE</v>
          </cell>
          <cell r="G872" t="str">
            <v>PASTO</v>
          </cell>
        </row>
        <row r="873">
          <cell r="A873">
            <v>86760</v>
          </cell>
          <cell r="B873" t="str">
            <v>SANTIAGO</v>
          </cell>
          <cell r="C873" t="str">
            <v>PUTUMAYO</v>
          </cell>
          <cell r="D873" t="str">
            <v>PASTO</v>
          </cell>
          <cell r="E873" t="str">
            <v>INTERMEDIA</v>
          </cell>
          <cell r="F873" t="str">
            <v>TERRESTRE</v>
          </cell>
          <cell r="G873" t="str">
            <v>PASTO</v>
          </cell>
        </row>
        <row r="874">
          <cell r="A874">
            <v>86573</v>
          </cell>
          <cell r="B874" t="str">
            <v>LEGUIZAMO</v>
          </cell>
          <cell r="C874" t="str">
            <v>PUTUMAYO</v>
          </cell>
          <cell r="D874" t="str">
            <v>PASTO</v>
          </cell>
          <cell r="E874" t="str">
            <v>LEJANA</v>
          </cell>
          <cell r="F874" t="str">
            <v>AEREO</v>
          </cell>
          <cell r="G874" t="str">
            <v>PASTO</v>
          </cell>
        </row>
        <row r="875">
          <cell r="A875">
            <v>86001</v>
          </cell>
          <cell r="B875" t="str">
            <v>MOCOA</v>
          </cell>
          <cell r="C875" t="str">
            <v>PUTUMAYO</v>
          </cell>
          <cell r="D875" t="str">
            <v>PASTO</v>
          </cell>
          <cell r="E875" t="str">
            <v>LEJANA</v>
          </cell>
          <cell r="F875" t="str">
            <v>TERRESTRE</v>
          </cell>
          <cell r="G875" t="str">
            <v>PASTO</v>
          </cell>
        </row>
        <row r="876">
          <cell r="A876">
            <v>86320</v>
          </cell>
          <cell r="B876" t="str">
            <v>ORITO</v>
          </cell>
          <cell r="C876" t="str">
            <v>PUTUMAYO</v>
          </cell>
          <cell r="D876" t="str">
            <v>PASTO</v>
          </cell>
          <cell r="E876" t="str">
            <v>LEJANA</v>
          </cell>
          <cell r="F876" t="str">
            <v>TERRESTRE</v>
          </cell>
          <cell r="G876" t="str">
            <v>PASTO</v>
          </cell>
        </row>
        <row r="877">
          <cell r="A877">
            <v>86568</v>
          </cell>
          <cell r="B877" t="str">
            <v>PUERTO ASIS</v>
          </cell>
          <cell r="C877" t="str">
            <v>PUTUMAYO</v>
          </cell>
          <cell r="D877" t="str">
            <v>PASTO</v>
          </cell>
          <cell r="E877" t="str">
            <v>LEJANA</v>
          </cell>
          <cell r="F877" t="str">
            <v>TERRESTRE</v>
          </cell>
          <cell r="G877" t="str">
            <v>PASTO</v>
          </cell>
        </row>
        <row r="878">
          <cell r="A878">
            <v>86569</v>
          </cell>
          <cell r="B878" t="str">
            <v>PUERTO CAICEDO</v>
          </cell>
          <cell r="C878" t="str">
            <v>PUTUMAYO</v>
          </cell>
          <cell r="D878" t="str">
            <v>PASTO</v>
          </cell>
          <cell r="E878" t="str">
            <v>LEJANA</v>
          </cell>
          <cell r="F878" t="str">
            <v>TERRESTRE</v>
          </cell>
          <cell r="G878" t="str">
            <v>PASTO</v>
          </cell>
        </row>
        <row r="879">
          <cell r="A879">
            <v>86571</v>
          </cell>
          <cell r="B879" t="str">
            <v>PUERTO GUZMAN</v>
          </cell>
          <cell r="C879" t="str">
            <v>PUTUMAYO</v>
          </cell>
          <cell r="D879" t="str">
            <v>PASTO</v>
          </cell>
          <cell r="E879" t="str">
            <v>LEJANA</v>
          </cell>
          <cell r="F879" t="str">
            <v>TERRESTRE</v>
          </cell>
          <cell r="G879" t="str">
            <v>PASTO</v>
          </cell>
        </row>
        <row r="880">
          <cell r="A880">
            <v>86749</v>
          </cell>
          <cell r="B880" t="str">
            <v>SIBUNDOY</v>
          </cell>
          <cell r="C880" t="str">
            <v>PUTUMAYO</v>
          </cell>
          <cell r="D880" t="str">
            <v>PASTO</v>
          </cell>
          <cell r="E880" t="str">
            <v>LEJANA</v>
          </cell>
          <cell r="F880" t="str">
            <v>TERRESTRE</v>
          </cell>
          <cell r="G880" t="str">
            <v>PASTO</v>
          </cell>
        </row>
        <row r="881">
          <cell r="A881">
            <v>86865</v>
          </cell>
          <cell r="B881" t="str">
            <v>VALLE DEL GUAMUEZ</v>
          </cell>
          <cell r="C881" t="str">
            <v>PUTUMAYO</v>
          </cell>
          <cell r="D881" t="str">
            <v>PASTO</v>
          </cell>
          <cell r="E881" t="str">
            <v>LEJANA</v>
          </cell>
          <cell r="F881" t="str">
            <v>TERRESTRE</v>
          </cell>
          <cell r="G881" t="str">
            <v>PASTO</v>
          </cell>
        </row>
        <row r="882">
          <cell r="A882">
            <v>86885</v>
          </cell>
          <cell r="B882" t="str">
            <v>VILLAGARZON</v>
          </cell>
          <cell r="C882" t="str">
            <v>PUTUMAYO</v>
          </cell>
          <cell r="D882" t="str">
            <v>PASTO</v>
          </cell>
          <cell r="E882" t="str">
            <v>LEJANA</v>
          </cell>
          <cell r="F882" t="str">
            <v>TERRESTRE</v>
          </cell>
          <cell r="G882" t="str">
            <v>PASTO</v>
          </cell>
        </row>
        <row r="883">
          <cell r="A883">
            <v>63001</v>
          </cell>
          <cell r="B883" t="str">
            <v>ARMENIA</v>
          </cell>
          <cell r="C883" t="str">
            <v>QUINDIO</v>
          </cell>
          <cell r="D883" t="str">
            <v>PEREIRA</v>
          </cell>
          <cell r="E883" t="str">
            <v>INTERMEDIA</v>
          </cell>
          <cell r="F883" t="str">
            <v>TERRESTRE</v>
          </cell>
          <cell r="G883" t="str">
            <v>ARMENIA</v>
          </cell>
        </row>
        <row r="884">
          <cell r="A884">
            <v>63111</v>
          </cell>
          <cell r="B884" t="str">
            <v>BUENAVISTA</v>
          </cell>
          <cell r="C884" t="str">
            <v>QUINDIO</v>
          </cell>
          <cell r="D884" t="str">
            <v>PEREIRA</v>
          </cell>
          <cell r="E884" t="str">
            <v>INTERMEDIA</v>
          </cell>
          <cell r="F884" t="str">
            <v>TERRESTRE</v>
          </cell>
          <cell r="G884" t="str">
            <v>ARMENIA</v>
          </cell>
        </row>
        <row r="885">
          <cell r="A885">
            <v>63212</v>
          </cell>
          <cell r="B885" t="str">
            <v>CORDOBA</v>
          </cell>
          <cell r="C885" t="str">
            <v>QUINDIO</v>
          </cell>
          <cell r="D885" t="str">
            <v>PEREIRA</v>
          </cell>
          <cell r="E885" t="str">
            <v>INTERMEDIA</v>
          </cell>
          <cell r="F885" t="str">
            <v>TERRESTRE</v>
          </cell>
          <cell r="G885" t="str">
            <v>ARMENIA</v>
          </cell>
        </row>
        <row r="886">
          <cell r="A886">
            <v>63130</v>
          </cell>
          <cell r="B886" t="str">
            <v>CALARCA</v>
          </cell>
          <cell r="C886" t="str">
            <v>QUINDIO</v>
          </cell>
          <cell r="D886" t="str">
            <v>PEREIRA</v>
          </cell>
          <cell r="E886" t="str">
            <v>INTERMEDIA</v>
          </cell>
          <cell r="F886" t="str">
            <v>TERRESTRE</v>
          </cell>
          <cell r="G886" t="str">
            <v>ARMENIA</v>
          </cell>
        </row>
        <row r="887">
          <cell r="A887">
            <v>63190</v>
          </cell>
          <cell r="B887" t="str">
            <v>CIRCASIA</v>
          </cell>
          <cell r="C887" t="str">
            <v>QUINDIO</v>
          </cell>
          <cell r="D887" t="str">
            <v>PEREIRA</v>
          </cell>
          <cell r="E887" t="str">
            <v>INTERMEDIA</v>
          </cell>
          <cell r="F887" t="str">
            <v>TERRESTRE</v>
          </cell>
          <cell r="G887" t="str">
            <v>ARMENIA</v>
          </cell>
        </row>
        <row r="888">
          <cell r="A888">
            <v>63272</v>
          </cell>
          <cell r="B888" t="str">
            <v>FILANDIA</v>
          </cell>
          <cell r="C888" t="str">
            <v>QUINDIO</v>
          </cell>
          <cell r="D888" t="str">
            <v>PEREIRA</v>
          </cell>
          <cell r="E888" t="str">
            <v>INTERMEDIA</v>
          </cell>
          <cell r="F888" t="str">
            <v>TERRESTRE</v>
          </cell>
          <cell r="G888" t="str">
            <v>ARMENIA</v>
          </cell>
        </row>
        <row r="889">
          <cell r="A889">
            <v>63302</v>
          </cell>
          <cell r="B889" t="str">
            <v>GENOVA</v>
          </cell>
          <cell r="C889" t="str">
            <v>QUINDIO</v>
          </cell>
          <cell r="D889" t="str">
            <v>PEREIRA</v>
          </cell>
          <cell r="E889" t="str">
            <v>LEJANA</v>
          </cell>
          <cell r="F889" t="str">
            <v>TERRESTRE</v>
          </cell>
          <cell r="G889" t="str">
            <v>ARMENIA</v>
          </cell>
        </row>
        <row r="890">
          <cell r="A890">
            <v>63401</v>
          </cell>
          <cell r="B890" t="str">
            <v>LA TEBAIDA</v>
          </cell>
          <cell r="C890" t="str">
            <v>QUINDIO</v>
          </cell>
          <cell r="D890" t="str">
            <v>PEREIRA</v>
          </cell>
          <cell r="E890" t="str">
            <v>INTERMEDIA</v>
          </cell>
          <cell r="F890" t="str">
            <v>TERRESTRE</v>
          </cell>
          <cell r="G890" t="str">
            <v>ARMENIA</v>
          </cell>
        </row>
        <row r="891">
          <cell r="A891">
            <v>63470</v>
          </cell>
          <cell r="B891" t="str">
            <v>MONTENEGRO</v>
          </cell>
          <cell r="C891" t="str">
            <v>QUINDIO</v>
          </cell>
          <cell r="D891" t="str">
            <v>PEREIRA</v>
          </cell>
          <cell r="E891" t="str">
            <v>INTERMEDIA</v>
          </cell>
          <cell r="F891" t="str">
            <v>TERRESTRE</v>
          </cell>
          <cell r="G891" t="str">
            <v>ARMENIA</v>
          </cell>
        </row>
        <row r="892">
          <cell r="A892">
            <v>63548</v>
          </cell>
          <cell r="B892" t="str">
            <v>PIJAO</v>
          </cell>
          <cell r="C892" t="str">
            <v>QUINDIO</v>
          </cell>
          <cell r="D892" t="str">
            <v>PEREIRA</v>
          </cell>
          <cell r="E892" t="str">
            <v>LEJANA</v>
          </cell>
          <cell r="F892" t="str">
            <v>TERRESTRE</v>
          </cell>
          <cell r="G892" t="str">
            <v>ARMENIA</v>
          </cell>
        </row>
        <row r="893">
          <cell r="A893">
            <v>63594</v>
          </cell>
          <cell r="B893" t="str">
            <v>QUIMBAYA</v>
          </cell>
          <cell r="C893" t="str">
            <v>QUINDIO</v>
          </cell>
          <cell r="D893" t="str">
            <v>PEREIRA</v>
          </cell>
          <cell r="E893" t="str">
            <v>INTERMEDIA</v>
          </cell>
          <cell r="F893" t="str">
            <v>TERRESTRE</v>
          </cell>
          <cell r="G893" t="str">
            <v>ARMENIA</v>
          </cell>
        </row>
        <row r="894">
          <cell r="A894">
            <v>63690</v>
          </cell>
          <cell r="B894" t="str">
            <v>SALENTO</v>
          </cell>
          <cell r="C894" t="str">
            <v>QUINDIO</v>
          </cell>
          <cell r="D894" t="str">
            <v>PEREIRA</v>
          </cell>
          <cell r="E894" t="str">
            <v>INTERMEDIA</v>
          </cell>
          <cell r="F894" t="str">
            <v>TERRESTRE</v>
          </cell>
          <cell r="G894" t="str">
            <v>PEREIRA</v>
          </cell>
        </row>
        <row r="895">
          <cell r="A895">
            <v>66075</v>
          </cell>
          <cell r="B895" t="str">
            <v>BALBOA</v>
          </cell>
          <cell r="C895" t="str">
            <v>RISARALDA</v>
          </cell>
          <cell r="D895" t="str">
            <v>PEREIRA</v>
          </cell>
          <cell r="E895" t="str">
            <v>INTERMEDIA</v>
          </cell>
          <cell r="F895" t="str">
            <v>TERRESTRE</v>
          </cell>
          <cell r="G895" t="str">
            <v>PEREIRA</v>
          </cell>
        </row>
        <row r="896">
          <cell r="A896">
            <v>66045</v>
          </cell>
          <cell r="B896" t="str">
            <v>APIA</v>
          </cell>
          <cell r="C896" t="str">
            <v>RISARALDA</v>
          </cell>
          <cell r="D896" t="str">
            <v>PEREIRA</v>
          </cell>
          <cell r="E896" t="str">
            <v>INTERMEDIA</v>
          </cell>
          <cell r="F896" t="str">
            <v>TERRESTRE</v>
          </cell>
          <cell r="G896" t="str">
            <v>PEREIRA</v>
          </cell>
        </row>
        <row r="897">
          <cell r="A897">
            <v>66088</v>
          </cell>
          <cell r="B897" t="str">
            <v>BELEN DE UMBRIA</v>
          </cell>
          <cell r="C897" t="str">
            <v>RISARALDA</v>
          </cell>
          <cell r="D897" t="str">
            <v>PEREIRA</v>
          </cell>
          <cell r="E897" t="str">
            <v>INTERMEDIA</v>
          </cell>
          <cell r="F897" t="str">
            <v>TERRESTRE</v>
          </cell>
          <cell r="G897" t="str">
            <v>PEREIRA</v>
          </cell>
        </row>
        <row r="898">
          <cell r="A898">
            <v>66170</v>
          </cell>
          <cell r="B898" t="str">
            <v>DOSQUEBRADAS</v>
          </cell>
          <cell r="C898" t="str">
            <v>RISARALDA</v>
          </cell>
          <cell r="D898" t="str">
            <v>PEREIRA</v>
          </cell>
          <cell r="E898" t="str">
            <v>PRINCIPAL</v>
          </cell>
          <cell r="F898" t="str">
            <v>TERRESTRE</v>
          </cell>
          <cell r="G898" t="str">
            <v>PEREIRA</v>
          </cell>
        </row>
        <row r="899">
          <cell r="A899">
            <v>66318</v>
          </cell>
          <cell r="B899" t="str">
            <v>GUATICA</v>
          </cell>
          <cell r="C899" t="str">
            <v>RISARALDA</v>
          </cell>
          <cell r="D899" t="str">
            <v>PEREIRA</v>
          </cell>
          <cell r="E899" t="str">
            <v>INTERMEDIA</v>
          </cell>
          <cell r="F899" t="str">
            <v>TERRESTRE</v>
          </cell>
          <cell r="G899" t="str">
            <v>MANIZALES</v>
          </cell>
        </row>
        <row r="900">
          <cell r="A900">
            <v>66383</v>
          </cell>
          <cell r="B900" t="str">
            <v>LA CELIA</v>
          </cell>
          <cell r="C900" t="str">
            <v>RISARALDA</v>
          </cell>
          <cell r="D900" t="str">
            <v>PEREIRA</v>
          </cell>
          <cell r="E900" t="str">
            <v>INTERMEDIA</v>
          </cell>
          <cell r="F900" t="str">
            <v>TERRESTRE</v>
          </cell>
          <cell r="G900" t="str">
            <v>PEREIRA</v>
          </cell>
        </row>
        <row r="901">
          <cell r="A901">
            <v>66400</v>
          </cell>
          <cell r="B901" t="str">
            <v>LA VIRGINIA</v>
          </cell>
          <cell r="C901" t="str">
            <v>RISARALDA</v>
          </cell>
          <cell r="D901" t="str">
            <v>PEREIRA</v>
          </cell>
          <cell r="E901" t="str">
            <v>PRINCIPAL</v>
          </cell>
          <cell r="F901" t="str">
            <v>TERRESTRE</v>
          </cell>
          <cell r="G901" t="str">
            <v>PEREIRA</v>
          </cell>
        </row>
        <row r="902">
          <cell r="A902">
            <v>66440</v>
          </cell>
          <cell r="B902" t="str">
            <v>MARSELLA</v>
          </cell>
          <cell r="C902" t="str">
            <v>RISARALDA</v>
          </cell>
          <cell r="D902" t="str">
            <v>PEREIRA</v>
          </cell>
          <cell r="E902" t="str">
            <v>INTERMEDIA</v>
          </cell>
          <cell r="F902" t="str">
            <v>TERRESTRE</v>
          </cell>
          <cell r="G902" t="str">
            <v>PEREIRA</v>
          </cell>
        </row>
        <row r="903">
          <cell r="A903">
            <v>66456</v>
          </cell>
          <cell r="B903" t="str">
            <v>MISTRATO</v>
          </cell>
          <cell r="C903" t="str">
            <v>RISARALDA</v>
          </cell>
          <cell r="D903" t="str">
            <v>PEREIRA</v>
          </cell>
          <cell r="E903" t="str">
            <v>INTERMEDIA</v>
          </cell>
          <cell r="F903" t="str">
            <v>TERRESTRE</v>
          </cell>
          <cell r="G903" t="str">
            <v>PEREIRA</v>
          </cell>
        </row>
        <row r="904">
          <cell r="A904">
            <v>66001</v>
          </cell>
          <cell r="B904" t="str">
            <v>PEREIRA</v>
          </cell>
          <cell r="C904" t="str">
            <v>RISARALDA</v>
          </cell>
          <cell r="D904" t="str">
            <v>PEREIRA</v>
          </cell>
          <cell r="E904" t="str">
            <v>PRINCIPAL</v>
          </cell>
          <cell r="F904" t="str">
            <v>TERRESTRE</v>
          </cell>
          <cell r="G904" t="str">
            <v>PEREIRA</v>
          </cell>
        </row>
        <row r="905">
          <cell r="A905">
            <v>66572</v>
          </cell>
          <cell r="B905" t="str">
            <v>PUEBLO RICO</v>
          </cell>
          <cell r="C905" t="str">
            <v>RISARALDA</v>
          </cell>
          <cell r="D905" t="str">
            <v>PEREIRA</v>
          </cell>
          <cell r="E905" t="str">
            <v>INTERMEDIA</v>
          </cell>
          <cell r="F905" t="str">
            <v>TERRESTRE</v>
          </cell>
          <cell r="G905" t="str">
            <v>PEREIRA</v>
          </cell>
        </row>
        <row r="906">
          <cell r="A906">
            <v>66594</v>
          </cell>
          <cell r="B906" t="str">
            <v>QUINCHIA</v>
          </cell>
          <cell r="C906" t="str">
            <v>RISARALDA</v>
          </cell>
          <cell r="D906" t="str">
            <v>PEREIRA</v>
          </cell>
          <cell r="E906" t="str">
            <v>INTERMEDIA</v>
          </cell>
          <cell r="F906" t="str">
            <v>TERRESTRE</v>
          </cell>
          <cell r="G906" t="str">
            <v>PEREIRA</v>
          </cell>
        </row>
        <row r="907">
          <cell r="A907">
            <v>66682</v>
          </cell>
          <cell r="B907" t="str">
            <v>SANTA ROSA DE CABAL</v>
          </cell>
          <cell r="C907" t="str">
            <v>RISARALDA</v>
          </cell>
          <cell r="D907" t="str">
            <v>PEREIRA</v>
          </cell>
          <cell r="E907" t="str">
            <v>PRINCIPAL</v>
          </cell>
          <cell r="F907" t="str">
            <v>TERRESTRE</v>
          </cell>
          <cell r="G907" t="str">
            <v>PEREIRA</v>
          </cell>
        </row>
        <row r="908">
          <cell r="A908">
            <v>66687</v>
          </cell>
          <cell r="B908" t="str">
            <v>SANTUARIO</v>
          </cell>
          <cell r="C908" t="str">
            <v>RISARALDA</v>
          </cell>
          <cell r="D908" t="str">
            <v>PEREIRA</v>
          </cell>
          <cell r="E908" t="str">
            <v>INTERMEDIA</v>
          </cell>
          <cell r="F908" t="str">
            <v>TERRESTRE</v>
          </cell>
          <cell r="G908" t="str">
            <v>PEREIRA</v>
          </cell>
        </row>
        <row r="909">
          <cell r="A909">
            <v>88564</v>
          </cell>
          <cell r="B909" t="str">
            <v>PROVIDENCIA</v>
          </cell>
          <cell r="C909" t="str">
            <v>ARCHIPIELAGO DE SAN ANDRES Y PROVIDENCIA</v>
          </cell>
          <cell r="D909" t="str">
            <v>BARRANQUILLA</v>
          </cell>
          <cell r="E909" t="str">
            <v>LEJANA</v>
          </cell>
          <cell r="F909" t="str">
            <v>AEREO</v>
          </cell>
          <cell r="G909" t="str">
            <v>BARRANQUILLA</v>
          </cell>
        </row>
        <row r="910">
          <cell r="A910">
            <v>88001</v>
          </cell>
          <cell r="B910" t="str">
            <v>SAN ANDRES</v>
          </cell>
          <cell r="C910" t="str">
            <v>ARCHIPIELAGO DE SAN ANDRES Y PROVIDENCIA</v>
          </cell>
          <cell r="D910" t="str">
            <v>BARRANQUILLA</v>
          </cell>
          <cell r="E910" t="str">
            <v>LEJANA</v>
          </cell>
          <cell r="F910" t="str">
            <v>AEREO</v>
          </cell>
          <cell r="G910" t="str">
            <v>BARRANQUILLA</v>
          </cell>
        </row>
        <row r="911">
          <cell r="A911">
            <v>68020</v>
          </cell>
          <cell r="B911" t="str">
            <v>ALBANIA</v>
          </cell>
          <cell r="C911" t="str">
            <v>SANTANDER</v>
          </cell>
          <cell r="D911" t="str">
            <v>TUNJA</v>
          </cell>
          <cell r="E911" t="str">
            <v>LEJANA</v>
          </cell>
          <cell r="F911" t="str">
            <v>TERRESTRE</v>
          </cell>
          <cell r="G911" t="str">
            <v>TUNJA</v>
          </cell>
        </row>
        <row r="912">
          <cell r="A912">
            <v>68077</v>
          </cell>
          <cell r="B912" t="str">
            <v>BARBOSA</v>
          </cell>
          <cell r="C912" t="str">
            <v>SANTANDER</v>
          </cell>
          <cell r="D912" t="str">
            <v>TUNJA</v>
          </cell>
          <cell r="E912" t="str">
            <v>INTERMEDIA</v>
          </cell>
          <cell r="F912" t="str">
            <v>TERRESTRE</v>
          </cell>
          <cell r="G912" t="str">
            <v>BUCARAMANGA</v>
          </cell>
        </row>
        <row r="913">
          <cell r="A913">
            <v>68092</v>
          </cell>
          <cell r="B913" t="str">
            <v>BETULIA</v>
          </cell>
          <cell r="C913" t="str">
            <v>SANTANDER</v>
          </cell>
          <cell r="D913" t="str">
            <v>BUCARAMANGA</v>
          </cell>
          <cell r="E913" t="str">
            <v>LEJANA</v>
          </cell>
          <cell r="F913" t="str">
            <v>TERRESTRE</v>
          </cell>
          <cell r="G913" t="str">
            <v>BUCARAMANGA</v>
          </cell>
        </row>
        <row r="914">
          <cell r="A914">
            <v>68101</v>
          </cell>
          <cell r="B914" t="str">
            <v>BOLIVAR</v>
          </cell>
          <cell r="C914" t="str">
            <v>SANTANDER</v>
          </cell>
          <cell r="D914" t="str">
            <v>TUNJA</v>
          </cell>
          <cell r="E914" t="str">
            <v>LEJANA</v>
          </cell>
          <cell r="F914" t="str">
            <v>TERRESTRE</v>
          </cell>
          <cell r="G914" t="str">
            <v>TUNJA</v>
          </cell>
        </row>
        <row r="915">
          <cell r="A915">
            <v>68121</v>
          </cell>
          <cell r="B915" t="str">
            <v>CABRERA</v>
          </cell>
          <cell r="C915" t="str">
            <v>SANTANDER</v>
          </cell>
          <cell r="D915" t="str">
            <v>BUCARAMANGA</v>
          </cell>
          <cell r="E915" t="str">
            <v>LEJANA</v>
          </cell>
          <cell r="F915" t="str">
            <v>TERRESTRE</v>
          </cell>
          <cell r="G915" t="str">
            <v>BUCARAMANGA</v>
          </cell>
        </row>
        <row r="916">
          <cell r="A916">
            <v>68176</v>
          </cell>
          <cell r="B916" t="str">
            <v>CHIMA</v>
          </cell>
          <cell r="C916" t="str">
            <v>SANTANDER</v>
          </cell>
          <cell r="D916" t="str">
            <v>BUCARAMANGA</v>
          </cell>
          <cell r="E916" t="str">
            <v>LEJANA</v>
          </cell>
          <cell r="F916" t="str">
            <v>TERRESTRE</v>
          </cell>
          <cell r="G916" t="str">
            <v>BUCARAMANGA</v>
          </cell>
        </row>
        <row r="917">
          <cell r="A917">
            <v>68207</v>
          </cell>
          <cell r="B917" t="str">
            <v>CONCEPCION</v>
          </cell>
          <cell r="C917" t="str">
            <v>SANTANDER</v>
          </cell>
          <cell r="D917" t="str">
            <v>BUCARAMANGA</v>
          </cell>
          <cell r="E917" t="str">
            <v>LEJANA</v>
          </cell>
          <cell r="F917" t="str">
            <v>TERRESTRE</v>
          </cell>
          <cell r="G917" t="str">
            <v>BUCARAMANGA</v>
          </cell>
        </row>
        <row r="918">
          <cell r="A918">
            <v>68250</v>
          </cell>
          <cell r="B918" t="str">
            <v>EL PEÑON</v>
          </cell>
          <cell r="C918" t="str">
            <v>SANTANDER</v>
          </cell>
          <cell r="D918" t="str">
            <v>BUCARAMANGA</v>
          </cell>
          <cell r="E918" t="str">
            <v>LEJANA</v>
          </cell>
          <cell r="F918" t="str">
            <v>TERRESTRE</v>
          </cell>
          <cell r="G918" t="str">
            <v>BUCARAMANGA</v>
          </cell>
        </row>
        <row r="919">
          <cell r="A919">
            <v>68320</v>
          </cell>
          <cell r="B919" t="str">
            <v>GUADALUPE</v>
          </cell>
          <cell r="C919" t="str">
            <v>SANTANDER</v>
          </cell>
          <cell r="D919" t="str">
            <v>BUCARAMANGA</v>
          </cell>
          <cell r="E919" t="str">
            <v>LEJANA</v>
          </cell>
          <cell r="F919" t="str">
            <v>TERRESTRE</v>
          </cell>
          <cell r="G919" t="str">
            <v>BUCARAMANGA</v>
          </cell>
        </row>
        <row r="920">
          <cell r="A920">
            <v>68397</v>
          </cell>
          <cell r="B920" t="str">
            <v>LA PAZ</v>
          </cell>
          <cell r="C920" t="str">
            <v>SANTANDER</v>
          </cell>
          <cell r="D920" t="str">
            <v>BUCARAMANGA</v>
          </cell>
          <cell r="E920" t="str">
            <v>LEJANA</v>
          </cell>
          <cell r="F920" t="str">
            <v>TERRESTRE</v>
          </cell>
          <cell r="G920" t="str">
            <v>BUCARAMANGA</v>
          </cell>
        </row>
        <row r="921">
          <cell r="A921">
            <v>68615</v>
          </cell>
          <cell r="B921" t="str">
            <v>RIONEGRO</v>
          </cell>
          <cell r="C921" t="str">
            <v>SANTANDER</v>
          </cell>
          <cell r="D921" t="str">
            <v>BUCARAMANGA</v>
          </cell>
          <cell r="E921" t="str">
            <v>INTERMEDIA</v>
          </cell>
          <cell r="F921" t="str">
            <v>TERRESTRE</v>
          </cell>
          <cell r="G921" t="str">
            <v>BUCARAMANGA</v>
          </cell>
        </row>
        <row r="922">
          <cell r="A922">
            <v>68669</v>
          </cell>
          <cell r="B922" t="str">
            <v>SAN ANDRES</v>
          </cell>
          <cell r="C922" t="str">
            <v>SANTANDER</v>
          </cell>
          <cell r="D922" t="str">
            <v>BUCARAMANGA</v>
          </cell>
          <cell r="E922" t="str">
            <v>LEJANA</v>
          </cell>
          <cell r="F922" t="str">
            <v>TERRESTRE</v>
          </cell>
          <cell r="G922" t="str">
            <v>BUCARAMANGA</v>
          </cell>
        </row>
        <row r="923">
          <cell r="A923">
            <v>68686</v>
          </cell>
          <cell r="B923" t="str">
            <v>SAN MIGUEL</v>
          </cell>
          <cell r="C923" t="str">
            <v>SANTANDER</v>
          </cell>
          <cell r="D923" t="str">
            <v>TUNJA</v>
          </cell>
          <cell r="E923" t="str">
            <v>LEJANA</v>
          </cell>
          <cell r="F923" t="str">
            <v>TERRESTRE</v>
          </cell>
          <cell r="G923" t="str">
            <v>TUNJA</v>
          </cell>
        </row>
        <row r="924">
          <cell r="A924">
            <v>68705</v>
          </cell>
          <cell r="B924" t="str">
            <v>SANTA BARBARA</v>
          </cell>
          <cell r="C924" t="str">
            <v>SANTANDER</v>
          </cell>
          <cell r="D924" t="str">
            <v>BUCARAMANGA</v>
          </cell>
          <cell r="E924" t="str">
            <v>INTERMEDIA</v>
          </cell>
          <cell r="F924" t="str">
            <v>TERRESTRE</v>
          </cell>
          <cell r="G924" t="str">
            <v>BUCARAMANGA</v>
          </cell>
        </row>
        <row r="925">
          <cell r="A925">
            <v>68773</v>
          </cell>
          <cell r="B925" t="str">
            <v>SUCRE</v>
          </cell>
          <cell r="C925" t="str">
            <v>SANTANDER</v>
          </cell>
          <cell r="D925" t="str">
            <v>TUNJA</v>
          </cell>
          <cell r="E925" t="str">
            <v>LEJANA</v>
          </cell>
          <cell r="F925" t="str">
            <v>TERRESTRE</v>
          </cell>
          <cell r="G925" t="str">
            <v>TUNJA</v>
          </cell>
        </row>
        <row r="926">
          <cell r="A926">
            <v>68872</v>
          </cell>
          <cell r="B926" t="str">
            <v>VILLANUEVA</v>
          </cell>
          <cell r="C926" t="str">
            <v>SANTANDER</v>
          </cell>
          <cell r="D926" t="str">
            <v>BUCARAMANGA</v>
          </cell>
          <cell r="E926" t="str">
            <v>LEJANA</v>
          </cell>
          <cell r="F926" t="str">
            <v>TERRESTRE</v>
          </cell>
          <cell r="G926" t="str">
            <v>BUCARAMANGA</v>
          </cell>
        </row>
        <row r="927">
          <cell r="A927">
            <v>68013</v>
          </cell>
          <cell r="B927" t="str">
            <v>AGUADA</v>
          </cell>
          <cell r="C927" t="str">
            <v>SANTANDER</v>
          </cell>
          <cell r="D927" t="str">
            <v>BUCARAMANGA</v>
          </cell>
          <cell r="E927" t="str">
            <v>LEJANA</v>
          </cell>
          <cell r="F927" t="str">
            <v>TERRESTRE</v>
          </cell>
          <cell r="G927" t="str">
            <v>BUCARAMANGA</v>
          </cell>
        </row>
        <row r="928">
          <cell r="A928">
            <v>68051</v>
          </cell>
          <cell r="B928" t="str">
            <v>ARATOCA</v>
          </cell>
          <cell r="C928" t="str">
            <v>SANTANDER</v>
          </cell>
          <cell r="D928" t="str">
            <v>BUCARAMANGA</v>
          </cell>
          <cell r="E928" t="str">
            <v>INTERMEDIA</v>
          </cell>
          <cell r="F928" t="str">
            <v>TERRESTRE</v>
          </cell>
          <cell r="G928" t="str">
            <v>BUCARAMANGA</v>
          </cell>
        </row>
        <row r="929">
          <cell r="A929">
            <v>68079</v>
          </cell>
          <cell r="B929" t="str">
            <v>BARICHARA</v>
          </cell>
          <cell r="C929" t="str">
            <v>SANTANDER</v>
          </cell>
          <cell r="D929" t="str">
            <v>BUCARAMANGA</v>
          </cell>
          <cell r="E929" t="str">
            <v>LEJANA</v>
          </cell>
          <cell r="F929" t="str">
            <v>TERRESTRE</v>
          </cell>
          <cell r="G929" t="str">
            <v>BUCARAMANGA</v>
          </cell>
        </row>
        <row r="930">
          <cell r="A930">
            <v>68081</v>
          </cell>
          <cell r="B930" t="str">
            <v>BARRANCABERMEJA</v>
          </cell>
          <cell r="C930" t="str">
            <v>SANTANDER</v>
          </cell>
          <cell r="D930" t="str">
            <v>BUCARAMANGA</v>
          </cell>
          <cell r="E930" t="str">
            <v>LEJANA</v>
          </cell>
          <cell r="F930" t="str">
            <v>TERRESTRE</v>
          </cell>
          <cell r="G930" t="str">
            <v>BUCARAMANGA</v>
          </cell>
        </row>
        <row r="931">
          <cell r="A931">
            <v>68001</v>
          </cell>
          <cell r="B931" t="str">
            <v>BUCARAMANGA</v>
          </cell>
          <cell r="C931" t="str">
            <v>SANTANDER</v>
          </cell>
          <cell r="D931" t="str">
            <v>BUCARAMANGA</v>
          </cell>
          <cell r="E931" t="str">
            <v>PRINCIPAL</v>
          </cell>
          <cell r="F931" t="str">
            <v>TERRESTRE</v>
          </cell>
          <cell r="G931" t="str">
            <v>BUCARAMANGA</v>
          </cell>
        </row>
        <row r="932">
          <cell r="A932">
            <v>68132</v>
          </cell>
          <cell r="B932" t="str">
            <v>CALIFORNIA</v>
          </cell>
          <cell r="C932" t="str">
            <v>SANTANDER</v>
          </cell>
          <cell r="D932" t="str">
            <v>BUCARAMANGA</v>
          </cell>
          <cell r="E932" t="str">
            <v>LEJANA</v>
          </cell>
          <cell r="F932" t="str">
            <v>TERRESTRE</v>
          </cell>
          <cell r="G932" t="str">
            <v>BUCARAMANGA</v>
          </cell>
        </row>
        <row r="933">
          <cell r="A933">
            <v>68147</v>
          </cell>
          <cell r="B933" t="str">
            <v>CAPITANEJO</v>
          </cell>
          <cell r="C933" t="str">
            <v>SANTANDER</v>
          </cell>
          <cell r="D933" t="str">
            <v>BUCARAMANGA</v>
          </cell>
          <cell r="E933" t="str">
            <v>LEJANA</v>
          </cell>
          <cell r="F933" t="str">
            <v>TERRESTRE</v>
          </cell>
          <cell r="G933" t="str">
            <v>BUCARAMANGA</v>
          </cell>
        </row>
        <row r="934">
          <cell r="A934">
            <v>68152</v>
          </cell>
          <cell r="B934" t="str">
            <v>CARCASI</v>
          </cell>
          <cell r="C934" t="str">
            <v>SANTANDER</v>
          </cell>
          <cell r="D934" t="str">
            <v>BUCARAMANGA</v>
          </cell>
          <cell r="E934" t="str">
            <v>LEJANA</v>
          </cell>
          <cell r="F934" t="str">
            <v>TERRESTRE</v>
          </cell>
          <cell r="G934" t="str">
            <v>BUCARAMANGA</v>
          </cell>
        </row>
        <row r="935">
          <cell r="A935">
            <v>68160</v>
          </cell>
          <cell r="B935" t="str">
            <v>CEPITA</v>
          </cell>
          <cell r="C935" t="str">
            <v>SANTANDER</v>
          </cell>
          <cell r="D935" t="str">
            <v>BUCARAMANGA</v>
          </cell>
          <cell r="E935" t="str">
            <v>LEJANA</v>
          </cell>
          <cell r="F935" t="str">
            <v>TERRESTRE</v>
          </cell>
          <cell r="G935" t="str">
            <v>BUCARAMANGA</v>
          </cell>
        </row>
        <row r="936">
          <cell r="A936">
            <v>68162</v>
          </cell>
          <cell r="B936" t="str">
            <v>CERRITO</v>
          </cell>
          <cell r="C936" t="str">
            <v>SANTANDER</v>
          </cell>
          <cell r="D936" t="str">
            <v>BUCARAMANGA</v>
          </cell>
          <cell r="E936" t="str">
            <v>LEJANA</v>
          </cell>
          <cell r="F936" t="str">
            <v>TERRESTRE</v>
          </cell>
          <cell r="G936" t="str">
            <v>BUCARAMANGA</v>
          </cell>
        </row>
        <row r="937">
          <cell r="A937">
            <v>68167</v>
          </cell>
          <cell r="B937" t="str">
            <v>CHARALA</v>
          </cell>
          <cell r="C937" t="str">
            <v>SANTANDER</v>
          </cell>
          <cell r="D937" t="str">
            <v>BUCARAMANGA</v>
          </cell>
          <cell r="E937" t="str">
            <v>LEJANA</v>
          </cell>
          <cell r="F937" t="str">
            <v>TERRESTRE</v>
          </cell>
          <cell r="G937" t="str">
            <v>BUCARAMANGA</v>
          </cell>
        </row>
        <row r="938">
          <cell r="A938">
            <v>68169</v>
          </cell>
          <cell r="B938" t="str">
            <v>CHARTA</v>
          </cell>
          <cell r="C938" t="str">
            <v>SANTANDER</v>
          </cell>
          <cell r="D938" t="str">
            <v>BUCARAMANGA</v>
          </cell>
          <cell r="E938" t="str">
            <v>INTERMEDIA</v>
          </cell>
          <cell r="F938" t="str">
            <v>TERRESTRE</v>
          </cell>
          <cell r="G938" t="str">
            <v>BUCARAMANGA</v>
          </cell>
        </row>
        <row r="939">
          <cell r="A939">
            <v>68179</v>
          </cell>
          <cell r="B939" t="str">
            <v>CHIPATA</v>
          </cell>
          <cell r="C939" t="str">
            <v>SANTANDER</v>
          </cell>
          <cell r="D939" t="str">
            <v>TUNJA</v>
          </cell>
          <cell r="E939" t="str">
            <v>LEJANA</v>
          </cell>
          <cell r="F939" t="str">
            <v>TERRESTRE</v>
          </cell>
          <cell r="G939" t="str">
            <v>TUNJA</v>
          </cell>
        </row>
        <row r="940">
          <cell r="A940">
            <v>68190</v>
          </cell>
          <cell r="B940" t="str">
            <v>CIMITARRA</v>
          </cell>
          <cell r="C940" t="str">
            <v>SANTANDER</v>
          </cell>
          <cell r="D940" t="str">
            <v>BUCARAMANGA</v>
          </cell>
          <cell r="E940" t="str">
            <v>LEJANA</v>
          </cell>
          <cell r="F940" t="str">
            <v>TERRESTRE</v>
          </cell>
          <cell r="G940" t="str">
            <v>BUCARAMANGA</v>
          </cell>
        </row>
        <row r="941">
          <cell r="A941">
            <v>68209</v>
          </cell>
          <cell r="B941" t="str">
            <v>CONFINES</v>
          </cell>
          <cell r="C941" t="str">
            <v>SANTANDER</v>
          </cell>
          <cell r="D941" t="str">
            <v>BUCARAMANGA</v>
          </cell>
          <cell r="E941" t="str">
            <v>LEJANA</v>
          </cell>
          <cell r="F941" t="str">
            <v>TERRESTRE</v>
          </cell>
          <cell r="G941" t="str">
            <v>BUCARAMANGA</v>
          </cell>
        </row>
        <row r="942">
          <cell r="A942">
            <v>68211</v>
          </cell>
          <cell r="B942" t="str">
            <v>CONTRATACION</v>
          </cell>
          <cell r="C942" t="str">
            <v>SANTANDER</v>
          </cell>
          <cell r="D942" t="str">
            <v>BUCARAMANGA</v>
          </cell>
          <cell r="E942" t="str">
            <v>LEJANA</v>
          </cell>
          <cell r="F942" t="str">
            <v>TERRESTRE</v>
          </cell>
          <cell r="G942" t="str">
            <v>BUCARAMANGA</v>
          </cell>
        </row>
        <row r="943">
          <cell r="A943">
            <v>68217</v>
          </cell>
          <cell r="B943" t="str">
            <v>COROMORO</v>
          </cell>
          <cell r="C943" t="str">
            <v>SANTANDER</v>
          </cell>
          <cell r="D943" t="str">
            <v>BUCARAMANGA</v>
          </cell>
          <cell r="E943" t="str">
            <v>LEJANA</v>
          </cell>
          <cell r="F943" t="str">
            <v>TERRESTRE</v>
          </cell>
          <cell r="G943" t="str">
            <v>BUCARAMANGA</v>
          </cell>
        </row>
        <row r="944">
          <cell r="A944">
            <v>68229</v>
          </cell>
          <cell r="B944" t="str">
            <v>CURITI</v>
          </cell>
          <cell r="C944" t="str">
            <v>SANTANDER</v>
          </cell>
          <cell r="D944" t="str">
            <v>BUCARAMANGA</v>
          </cell>
          <cell r="E944" t="str">
            <v>INTERMEDIA</v>
          </cell>
          <cell r="F944" t="str">
            <v>TERRESTRE</v>
          </cell>
          <cell r="G944" t="str">
            <v>BUCARAMANGA</v>
          </cell>
        </row>
        <row r="945">
          <cell r="A945">
            <v>68235</v>
          </cell>
          <cell r="B945" t="str">
            <v>EL CARMEN DE CHUCURI</v>
          </cell>
          <cell r="C945" t="str">
            <v>SANTANDER</v>
          </cell>
          <cell r="D945" t="str">
            <v>BUCARAMANGA</v>
          </cell>
          <cell r="E945" t="str">
            <v>LEJANA</v>
          </cell>
          <cell r="F945" t="str">
            <v>TERRESTRE</v>
          </cell>
          <cell r="G945" t="str">
            <v>BUCARAMANGA</v>
          </cell>
        </row>
        <row r="946">
          <cell r="A946">
            <v>68245</v>
          </cell>
          <cell r="B946" t="str">
            <v>EL GUACAMAYO</v>
          </cell>
          <cell r="C946" t="str">
            <v>SANTANDER</v>
          </cell>
          <cell r="D946" t="str">
            <v>BUCARAMANGA</v>
          </cell>
          <cell r="E946" t="str">
            <v>LEJANA</v>
          </cell>
          <cell r="F946" t="str">
            <v>TERRESTRE</v>
          </cell>
          <cell r="G946" t="str">
            <v>BUCARAMANGA</v>
          </cell>
        </row>
        <row r="947">
          <cell r="A947">
            <v>68255</v>
          </cell>
          <cell r="B947" t="str">
            <v>EL PLAYON</v>
          </cell>
          <cell r="C947" t="str">
            <v>SANTANDER</v>
          </cell>
          <cell r="D947" t="str">
            <v>BUCARAMANGA</v>
          </cell>
          <cell r="E947" t="str">
            <v>INTERMEDIA</v>
          </cell>
          <cell r="F947" t="str">
            <v>TERRESTRE</v>
          </cell>
          <cell r="G947" t="str">
            <v>BUCARAMANGA</v>
          </cell>
        </row>
        <row r="948">
          <cell r="A948">
            <v>68264</v>
          </cell>
          <cell r="B948" t="str">
            <v>ENCINO</v>
          </cell>
          <cell r="C948" t="str">
            <v>SANTANDER</v>
          </cell>
          <cell r="D948" t="str">
            <v>BUCARAMANGA</v>
          </cell>
          <cell r="E948" t="str">
            <v>LEJANA</v>
          </cell>
          <cell r="F948" t="str">
            <v>TERRESTRE</v>
          </cell>
          <cell r="G948" t="str">
            <v>BUCARAMANGA</v>
          </cell>
        </row>
        <row r="949">
          <cell r="A949">
            <v>68266</v>
          </cell>
          <cell r="B949" t="str">
            <v>ENCISO</v>
          </cell>
          <cell r="C949" t="str">
            <v>SANTANDER</v>
          </cell>
          <cell r="D949" t="str">
            <v>BUCARAMANGA</v>
          </cell>
          <cell r="E949" t="str">
            <v>LEJANA</v>
          </cell>
          <cell r="F949" t="str">
            <v>TERRESTRE</v>
          </cell>
          <cell r="G949" t="str">
            <v>BUCARAMANGA</v>
          </cell>
        </row>
        <row r="950">
          <cell r="A950">
            <v>68271</v>
          </cell>
          <cell r="B950" t="str">
            <v>FLORIAN</v>
          </cell>
          <cell r="C950" t="str">
            <v>SANTANDER</v>
          </cell>
          <cell r="D950" t="str">
            <v>TUNJA</v>
          </cell>
          <cell r="E950" t="str">
            <v>LEJANA</v>
          </cell>
          <cell r="F950" t="str">
            <v>TERRESTRE</v>
          </cell>
          <cell r="G950" t="str">
            <v>TUNJA</v>
          </cell>
        </row>
        <row r="951">
          <cell r="A951">
            <v>68276</v>
          </cell>
          <cell r="B951" t="str">
            <v>FLORIDABLANCA</v>
          </cell>
          <cell r="C951" t="str">
            <v>SANTANDER</v>
          </cell>
          <cell r="D951" t="str">
            <v>BUCARAMANGA</v>
          </cell>
          <cell r="E951" t="str">
            <v>PRINCIPAL</v>
          </cell>
          <cell r="F951" t="str">
            <v>TERRESTRE</v>
          </cell>
          <cell r="G951" t="str">
            <v>BUCARAMANGA</v>
          </cell>
        </row>
        <row r="952">
          <cell r="A952">
            <v>68296</v>
          </cell>
          <cell r="B952" t="str">
            <v>GALAN</v>
          </cell>
          <cell r="C952" t="str">
            <v>SANTANDER</v>
          </cell>
          <cell r="D952" t="str">
            <v>BUCARAMANGA</v>
          </cell>
          <cell r="E952" t="str">
            <v>LEJANA</v>
          </cell>
          <cell r="F952" t="str">
            <v>TERRESTRE</v>
          </cell>
          <cell r="G952" t="str">
            <v>BUCARAMANGA</v>
          </cell>
        </row>
        <row r="953">
          <cell r="A953">
            <v>68298</v>
          </cell>
          <cell r="B953" t="str">
            <v>GAMBITA</v>
          </cell>
          <cell r="C953" t="str">
            <v>SANTANDER</v>
          </cell>
          <cell r="D953" t="str">
            <v>BUCARAMANGA</v>
          </cell>
          <cell r="E953" t="str">
            <v>LEJANA</v>
          </cell>
          <cell r="F953" t="str">
            <v>TERRESTRE</v>
          </cell>
          <cell r="G953" t="str">
            <v>BUCARAMANGA</v>
          </cell>
        </row>
        <row r="954">
          <cell r="A954">
            <v>68307</v>
          </cell>
          <cell r="B954" t="str">
            <v>GIRON</v>
          </cell>
          <cell r="C954" t="str">
            <v>SANTANDER</v>
          </cell>
          <cell r="D954" t="str">
            <v>BUCARAMANGA</v>
          </cell>
          <cell r="E954" t="str">
            <v>PRINCIPAL</v>
          </cell>
          <cell r="F954" t="str">
            <v>TERRESTRE</v>
          </cell>
          <cell r="G954" t="str">
            <v>BUCARAMANGA</v>
          </cell>
        </row>
        <row r="955">
          <cell r="A955">
            <v>68318</v>
          </cell>
          <cell r="B955" t="str">
            <v>GUACA</v>
          </cell>
          <cell r="C955" t="str">
            <v>SANTANDER</v>
          </cell>
          <cell r="D955" t="str">
            <v>BUCARAMANGA</v>
          </cell>
          <cell r="E955" t="str">
            <v>LEJANA</v>
          </cell>
          <cell r="F955" t="str">
            <v>TERRESTRE</v>
          </cell>
          <cell r="G955" t="str">
            <v>BUCARAMANGA</v>
          </cell>
        </row>
        <row r="956">
          <cell r="A956">
            <v>68322</v>
          </cell>
          <cell r="B956" t="str">
            <v>GUAPOTA</v>
          </cell>
          <cell r="C956" t="str">
            <v>SANTANDER</v>
          </cell>
          <cell r="D956" t="str">
            <v>BUCARAMANGA</v>
          </cell>
          <cell r="E956" t="str">
            <v>LEJANA</v>
          </cell>
          <cell r="F956" t="str">
            <v>TERRESTRE</v>
          </cell>
          <cell r="G956" t="str">
            <v>BUCARAMANGA</v>
          </cell>
        </row>
        <row r="957">
          <cell r="A957">
            <v>68324</v>
          </cell>
          <cell r="B957" t="str">
            <v>GUAVATA</v>
          </cell>
          <cell r="C957" t="str">
            <v>SANTANDER</v>
          </cell>
          <cell r="D957" t="str">
            <v>BUCARAMANGA</v>
          </cell>
          <cell r="E957" t="str">
            <v>LEJANA</v>
          </cell>
          <cell r="F957" t="str">
            <v>TERRESTRE</v>
          </cell>
          <cell r="G957" t="str">
            <v>BUCARAMANGA</v>
          </cell>
        </row>
        <row r="958">
          <cell r="A958">
            <v>68327</v>
          </cell>
          <cell r="B958" t="str">
            <v>GUEPSA</v>
          </cell>
          <cell r="C958" t="str">
            <v>SANTANDER</v>
          </cell>
          <cell r="D958" t="str">
            <v>BUCARAMANGA</v>
          </cell>
          <cell r="E958" t="str">
            <v>LEJANA</v>
          </cell>
          <cell r="F958" t="str">
            <v>TERRESTRE</v>
          </cell>
          <cell r="G958" t="str">
            <v>BUCARAMANGA</v>
          </cell>
        </row>
        <row r="959">
          <cell r="A959">
            <v>68344</v>
          </cell>
          <cell r="B959" t="str">
            <v>HATO</v>
          </cell>
          <cell r="C959" t="str">
            <v>SANTANDER</v>
          </cell>
          <cell r="D959" t="str">
            <v>BUCARAMANGA</v>
          </cell>
          <cell r="E959" t="str">
            <v>LEJANA</v>
          </cell>
          <cell r="F959" t="str">
            <v>TERRESTRE</v>
          </cell>
          <cell r="G959" t="str">
            <v>BUCARAMANGA</v>
          </cell>
        </row>
        <row r="960">
          <cell r="A960">
            <v>68368</v>
          </cell>
          <cell r="B960" t="str">
            <v>JESUS MARIA</v>
          </cell>
          <cell r="C960" t="str">
            <v>SANTANDER</v>
          </cell>
          <cell r="D960" t="str">
            <v>TUNJA</v>
          </cell>
          <cell r="E960" t="str">
            <v>LEJANA</v>
          </cell>
          <cell r="F960" t="str">
            <v>TERRESTRE</v>
          </cell>
          <cell r="G960" t="str">
            <v>TUNJA</v>
          </cell>
        </row>
        <row r="961">
          <cell r="A961">
            <v>68370</v>
          </cell>
          <cell r="B961" t="str">
            <v>JORDAN</v>
          </cell>
          <cell r="C961" t="str">
            <v>SANTANDER</v>
          </cell>
          <cell r="D961" t="str">
            <v>BUCARAMANGA</v>
          </cell>
          <cell r="E961" t="str">
            <v>LEJANA</v>
          </cell>
          <cell r="F961" t="str">
            <v>TERRESTRE</v>
          </cell>
          <cell r="G961" t="str">
            <v>BUCARAMANGA</v>
          </cell>
        </row>
        <row r="962">
          <cell r="A962">
            <v>68377</v>
          </cell>
          <cell r="B962" t="str">
            <v>LA BELLEZA</v>
          </cell>
          <cell r="C962" t="str">
            <v>SANTANDER</v>
          </cell>
          <cell r="D962" t="str">
            <v>TUNJA</v>
          </cell>
          <cell r="E962" t="str">
            <v>LEJANA</v>
          </cell>
          <cell r="F962" t="str">
            <v>TERRESTRE</v>
          </cell>
          <cell r="G962" t="str">
            <v>TUNJA</v>
          </cell>
        </row>
        <row r="963">
          <cell r="A963">
            <v>68385</v>
          </cell>
          <cell r="B963" t="str">
            <v>LANDAZURI</v>
          </cell>
          <cell r="C963" t="str">
            <v>SANTANDER</v>
          </cell>
          <cell r="D963" t="str">
            <v>TUNJA</v>
          </cell>
          <cell r="E963" t="str">
            <v>LEJANA</v>
          </cell>
          <cell r="F963" t="str">
            <v>TERRESTRE</v>
          </cell>
          <cell r="G963" t="str">
            <v>TUNJA</v>
          </cell>
        </row>
        <row r="964">
          <cell r="A964">
            <v>68406</v>
          </cell>
          <cell r="B964" t="str">
            <v>LEBRIJA</v>
          </cell>
          <cell r="C964" t="str">
            <v>SANTANDER</v>
          </cell>
          <cell r="D964" t="str">
            <v>BUCARAMANGA</v>
          </cell>
          <cell r="E964" t="str">
            <v>INTERMEDIA</v>
          </cell>
          <cell r="F964" t="str">
            <v>TERRESTRE</v>
          </cell>
          <cell r="G964" t="str">
            <v>BUCARAMANGA</v>
          </cell>
        </row>
        <row r="965">
          <cell r="A965">
            <v>68418</v>
          </cell>
          <cell r="B965" t="str">
            <v>LOS SANTOS</v>
          </cell>
          <cell r="C965" t="str">
            <v>SANTANDER</v>
          </cell>
          <cell r="D965" t="str">
            <v>BUCARAMANGA</v>
          </cell>
          <cell r="E965" t="str">
            <v>INTERMEDIA</v>
          </cell>
          <cell r="F965" t="str">
            <v>TERRESTRE</v>
          </cell>
          <cell r="G965" t="str">
            <v>BUCARAMANGA</v>
          </cell>
        </row>
        <row r="966">
          <cell r="A966">
            <v>68425</v>
          </cell>
          <cell r="B966" t="str">
            <v>MACARAVITA</v>
          </cell>
          <cell r="C966" t="str">
            <v>SANTANDER</v>
          </cell>
          <cell r="D966" t="str">
            <v>BUCARAMANGA</v>
          </cell>
          <cell r="E966" t="str">
            <v>LEJANA</v>
          </cell>
          <cell r="F966" t="str">
            <v>TERRESTRE</v>
          </cell>
          <cell r="G966" t="str">
            <v>BUCARAMANGA</v>
          </cell>
        </row>
        <row r="967">
          <cell r="A967">
            <v>68432</v>
          </cell>
          <cell r="B967" t="str">
            <v>MALAGA</v>
          </cell>
          <cell r="C967" t="str">
            <v>SANTANDER</v>
          </cell>
          <cell r="D967" t="str">
            <v>BUCARAMANGA</v>
          </cell>
          <cell r="E967" t="str">
            <v>LEJANA</v>
          </cell>
          <cell r="F967" t="str">
            <v>TERRESTRE</v>
          </cell>
          <cell r="G967" t="str">
            <v>TUNJA</v>
          </cell>
        </row>
        <row r="968">
          <cell r="A968">
            <v>68444</v>
          </cell>
          <cell r="B968" t="str">
            <v>MATANZA</v>
          </cell>
          <cell r="C968" t="str">
            <v>SANTANDER</v>
          </cell>
          <cell r="D968" t="str">
            <v>BUCARAMANGA</v>
          </cell>
          <cell r="E968" t="str">
            <v>LEJANA</v>
          </cell>
          <cell r="F968" t="str">
            <v>TERRESTRE</v>
          </cell>
          <cell r="G968" t="str">
            <v>BUCARAMANGA</v>
          </cell>
        </row>
        <row r="969">
          <cell r="A969">
            <v>68464</v>
          </cell>
          <cell r="B969" t="str">
            <v>MOGOTES</v>
          </cell>
          <cell r="C969" t="str">
            <v>SANTANDER</v>
          </cell>
          <cell r="D969" t="str">
            <v>BUCARAMANGA</v>
          </cell>
          <cell r="E969" t="str">
            <v>LEJANA</v>
          </cell>
          <cell r="F969" t="str">
            <v>TERRESTRE</v>
          </cell>
          <cell r="G969" t="str">
            <v>BUCARAMANGA</v>
          </cell>
        </row>
        <row r="970">
          <cell r="A970">
            <v>68468</v>
          </cell>
          <cell r="B970" t="str">
            <v>MOLAGAVITA</v>
          </cell>
          <cell r="C970" t="str">
            <v>SANTANDER</v>
          </cell>
          <cell r="D970" t="str">
            <v>BUCARAMANGA</v>
          </cell>
          <cell r="E970" t="str">
            <v>LEJANA</v>
          </cell>
          <cell r="F970" t="str">
            <v>TERRESTRE</v>
          </cell>
          <cell r="G970" t="str">
            <v>BUCARAMANGA</v>
          </cell>
        </row>
        <row r="971">
          <cell r="A971">
            <v>68498</v>
          </cell>
          <cell r="B971" t="str">
            <v>OCAMONTE</v>
          </cell>
          <cell r="C971" t="str">
            <v>SANTANDER</v>
          </cell>
          <cell r="D971" t="str">
            <v>BUCARAMANGA</v>
          </cell>
          <cell r="E971" t="str">
            <v>LEJANA</v>
          </cell>
          <cell r="F971" t="str">
            <v>TERRESTRE</v>
          </cell>
          <cell r="G971" t="str">
            <v>BUCARAMANGA</v>
          </cell>
        </row>
        <row r="972">
          <cell r="A972">
            <v>68500</v>
          </cell>
          <cell r="B972" t="str">
            <v>OIBA</v>
          </cell>
          <cell r="C972" t="str">
            <v>SANTANDER</v>
          </cell>
          <cell r="D972" t="str">
            <v>BUCARAMANGA</v>
          </cell>
          <cell r="E972" t="str">
            <v>LEJANA</v>
          </cell>
          <cell r="F972" t="str">
            <v>TERRESTRE</v>
          </cell>
          <cell r="G972" t="str">
            <v>BUCARAMANGA</v>
          </cell>
        </row>
        <row r="973">
          <cell r="A973">
            <v>68502</v>
          </cell>
          <cell r="B973" t="str">
            <v>ONZAGA</v>
          </cell>
          <cell r="C973" t="str">
            <v>SANTANDER</v>
          </cell>
          <cell r="D973" t="str">
            <v>BUCARAMANGA</v>
          </cell>
          <cell r="E973" t="str">
            <v>LEJANA</v>
          </cell>
          <cell r="F973" t="str">
            <v>TERRESTRE</v>
          </cell>
          <cell r="G973" t="str">
            <v>BUCARAMANGA</v>
          </cell>
        </row>
        <row r="974">
          <cell r="A974">
            <v>68522</v>
          </cell>
          <cell r="B974" t="str">
            <v>PALMAR</v>
          </cell>
          <cell r="C974" t="str">
            <v>SANTANDER</v>
          </cell>
          <cell r="D974" t="str">
            <v>BUCARAMANGA</v>
          </cell>
          <cell r="E974" t="str">
            <v>LEJANA</v>
          </cell>
          <cell r="F974" t="str">
            <v>TERRESTRE</v>
          </cell>
          <cell r="G974" t="str">
            <v>BUCARAMANGA</v>
          </cell>
        </row>
        <row r="975">
          <cell r="A975">
            <v>68524</v>
          </cell>
          <cell r="B975" t="str">
            <v>PALMAS DEL SOCORRO</v>
          </cell>
          <cell r="C975" t="str">
            <v>SANTANDER</v>
          </cell>
          <cell r="D975" t="str">
            <v>BUCARAMANGA</v>
          </cell>
          <cell r="E975" t="str">
            <v>LEJANA</v>
          </cell>
          <cell r="F975" t="str">
            <v>TERRESTRE</v>
          </cell>
          <cell r="G975" t="str">
            <v>BUCARAMANGA</v>
          </cell>
        </row>
        <row r="976">
          <cell r="A976">
            <v>68533</v>
          </cell>
          <cell r="B976" t="str">
            <v>PARAMO</v>
          </cell>
          <cell r="C976" t="str">
            <v>SANTANDER</v>
          </cell>
          <cell r="D976" t="str">
            <v>BUCARAMANGA</v>
          </cell>
          <cell r="E976" t="str">
            <v>LEJANA</v>
          </cell>
          <cell r="F976" t="str">
            <v>TERRESTRE</v>
          </cell>
          <cell r="G976" t="str">
            <v>BUCARAMANGA</v>
          </cell>
        </row>
        <row r="977">
          <cell r="A977">
            <v>68547</v>
          </cell>
          <cell r="B977" t="str">
            <v>PIEDECUESTA</v>
          </cell>
          <cell r="C977" t="str">
            <v>SANTANDER</v>
          </cell>
          <cell r="D977" t="str">
            <v>BUCARAMANGA</v>
          </cell>
          <cell r="E977" t="str">
            <v>INTERMEDIA</v>
          </cell>
          <cell r="F977" t="str">
            <v>TERRESTRE</v>
          </cell>
          <cell r="G977" t="str">
            <v>BUCARAMANGA</v>
          </cell>
        </row>
        <row r="978">
          <cell r="A978">
            <v>68549</v>
          </cell>
          <cell r="B978" t="str">
            <v>PINCHOTE</v>
          </cell>
          <cell r="C978" t="str">
            <v>SANTANDER</v>
          </cell>
          <cell r="D978" t="str">
            <v>BUCARAMANGA</v>
          </cell>
          <cell r="E978" t="str">
            <v>LEJANA</v>
          </cell>
          <cell r="F978" t="str">
            <v>TERRESTRE</v>
          </cell>
          <cell r="G978" t="str">
            <v>BUCARAMANGA</v>
          </cell>
        </row>
        <row r="979">
          <cell r="A979">
            <v>68572</v>
          </cell>
          <cell r="B979" t="str">
            <v>PUENTE NACIONAL</v>
          </cell>
          <cell r="C979" t="str">
            <v>SANTANDER</v>
          </cell>
          <cell r="D979" t="str">
            <v>TUNJA</v>
          </cell>
          <cell r="E979" t="str">
            <v>INTERMEDIA</v>
          </cell>
          <cell r="F979" t="str">
            <v>TERRESTRE</v>
          </cell>
          <cell r="G979" t="str">
            <v>TUNJA</v>
          </cell>
        </row>
        <row r="980">
          <cell r="A980">
            <v>68573</v>
          </cell>
          <cell r="B980" t="str">
            <v>PUERTO PARRA</v>
          </cell>
          <cell r="C980" t="str">
            <v>SANTANDER</v>
          </cell>
          <cell r="D980" t="str">
            <v>BUCARAMANGA</v>
          </cell>
          <cell r="E980" t="str">
            <v>LEJANA</v>
          </cell>
          <cell r="F980" t="str">
            <v>TERRESTRE</v>
          </cell>
          <cell r="G980" t="str">
            <v>BUCARAMANGA</v>
          </cell>
        </row>
        <row r="981">
          <cell r="A981">
            <v>68575</v>
          </cell>
          <cell r="B981" t="str">
            <v>PUERTO WILCHES</v>
          </cell>
          <cell r="C981" t="str">
            <v>SANTANDER</v>
          </cell>
          <cell r="D981" t="str">
            <v>BUCARAMANGA</v>
          </cell>
          <cell r="E981" t="str">
            <v>LEJANA</v>
          </cell>
          <cell r="F981" t="str">
            <v>TERRESTRE</v>
          </cell>
          <cell r="G981" t="str">
            <v>BUCARAMANGA</v>
          </cell>
        </row>
        <row r="982">
          <cell r="A982">
            <v>68655</v>
          </cell>
          <cell r="B982" t="str">
            <v>SABANA DE TORRES</v>
          </cell>
          <cell r="C982" t="str">
            <v>SANTANDER</v>
          </cell>
          <cell r="D982" t="str">
            <v>BUCARAMANGA</v>
          </cell>
          <cell r="E982" t="str">
            <v>LEJANA</v>
          </cell>
          <cell r="F982" t="str">
            <v>TERRESTRE</v>
          </cell>
          <cell r="G982" t="str">
            <v>BUCARAMANGA</v>
          </cell>
        </row>
        <row r="983">
          <cell r="A983">
            <v>68673</v>
          </cell>
          <cell r="B983" t="str">
            <v>SAN BENITO</v>
          </cell>
          <cell r="C983" t="str">
            <v>SANTANDER</v>
          </cell>
          <cell r="D983" t="str">
            <v>BUCARAMANGA</v>
          </cell>
          <cell r="E983" t="str">
            <v>LEJANA</v>
          </cell>
          <cell r="F983" t="str">
            <v>TERRESTRE</v>
          </cell>
          <cell r="G983" t="str">
            <v>BUCARAMANGA</v>
          </cell>
        </row>
        <row r="984">
          <cell r="A984">
            <v>68679</v>
          </cell>
          <cell r="B984" t="str">
            <v>SAN GIL</v>
          </cell>
          <cell r="C984" t="str">
            <v>SANTANDER</v>
          </cell>
          <cell r="D984" t="str">
            <v>BUCARAMANGA</v>
          </cell>
          <cell r="E984" t="str">
            <v>INTERMEDIA</v>
          </cell>
          <cell r="F984" t="str">
            <v>TERRESTRE</v>
          </cell>
          <cell r="G984" t="str">
            <v>BUCARAMANGA</v>
          </cell>
        </row>
        <row r="985">
          <cell r="A985">
            <v>68682</v>
          </cell>
          <cell r="B985" t="str">
            <v>SAN JOAQUIN</v>
          </cell>
          <cell r="C985" t="str">
            <v>SANTANDER</v>
          </cell>
          <cell r="D985" t="str">
            <v>BUCARAMANGA</v>
          </cell>
          <cell r="E985" t="str">
            <v>LEJANA</v>
          </cell>
          <cell r="F985" t="str">
            <v>TERRESTRE</v>
          </cell>
          <cell r="G985" t="str">
            <v>BUCARAMANGA</v>
          </cell>
        </row>
        <row r="986">
          <cell r="A986">
            <v>68684</v>
          </cell>
          <cell r="B986" t="str">
            <v>SAN JOSE DE MIRANDA</v>
          </cell>
          <cell r="C986" t="str">
            <v>SANTANDER</v>
          </cell>
          <cell r="D986" t="str">
            <v>BUCARAMANGA</v>
          </cell>
          <cell r="E986" t="str">
            <v>LEJANA</v>
          </cell>
          <cell r="F986" t="str">
            <v>TERRESTRE</v>
          </cell>
          <cell r="G986" t="str">
            <v>BUCARAMANGA</v>
          </cell>
        </row>
        <row r="987">
          <cell r="A987">
            <v>68689</v>
          </cell>
          <cell r="B987" t="str">
            <v>SAN VICENTE DE CHUCURI</v>
          </cell>
          <cell r="C987" t="str">
            <v>SANTANDER</v>
          </cell>
          <cell r="D987" t="str">
            <v>BUCARAMANGA</v>
          </cell>
          <cell r="E987" t="str">
            <v>LEJANA</v>
          </cell>
          <cell r="F987" t="str">
            <v>TERRESTRE</v>
          </cell>
          <cell r="G987" t="str">
            <v>BUCARAMANGA</v>
          </cell>
        </row>
        <row r="988">
          <cell r="A988">
            <v>68720</v>
          </cell>
          <cell r="B988" t="str">
            <v>SANTA HELENA DEL OPON</v>
          </cell>
          <cell r="C988" t="str">
            <v>SANTANDER</v>
          </cell>
          <cell r="D988" t="str">
            <v>BUCARAMANGA</v>
          </cell>
          <cell r="E988" t="str">
            <v>LEJANA</v>
          </cell>
          <cell r="F988" t="str">
            <v>TERRESTRE</v>
          </cell>
          <cell r="G988" t="str">
            <v>BUCARAMANGA</v>
          </cell>
        </row>
        <row r="989">
          <cell r="A989">
            <v>68745</v>
          </cell>
          <cell r="B989" t="str">
            <v>SIMACOTA</v>
          </cell>
          <cell r="C989" t="str">
            <v>SANTANDER</v>
          </cell>
          <cell r="D989" t="str">
            <v>BUCARAMANGA</v>
          </cell>
          <cell r="E989" t="str">
            <v>LEJANA</v>
          </cell>
          <cell r="F989" t="str">
            <v>TERRESTRE</v>
          </cell>
          <cell r="G989" t="str">
            <v>BUCARAMANGA</v>
          </cell>
        </row>
        <row r="990">
          <cell r="A990">
            <v>68755</v>
          </cell>
          <cell r="B990" t="str">
            <v>SOCORRO</v>
          </cell>
          <cell r="C990" t="str">
            <v>SANTANDER</v>
          </cell>
          <cell r="D990" t="str">
            <v>BUCARAMANGA</v>
          </cell>
          <cell r="E990" t="str">
            <v>LEJANA</v>
          </cell>
          <cell r="F990" t="str">
            <v>TERRESTRE</v>
          </cell>
          <cell r="G990" t="str">
            <v>BUCARAMANGA</v>
          </cell>
        </row>
        <row r="991">
          <cell r="A991">
            <v>68770</v>
          </cell>
          <cell r="B991" t="str">
            <v>SUAITA</v>
          </cell>
          <cell r="C991" t="str">
            <v>SANTANDER</v>
          </cell>
          <cell r="D991" t="str">
            <v>BUCARAMANGA</v>
          </cell>
          <cell r="E991" t="str">
            <v>LEJANA</v>
          </cell>
          <cell r="F991" t="str">
            <v>TERRESTRE</v>
          </cell>
          <cell r="G991" t="str">
            <v>BUCARAMANGA</v>
          </cell>
        </row>
        <row r="992">
          <cell r="A992">
            <v>68780</v>
          </cell>
          <cell r="B992" t="str">
            <v>SURATA</v>
          </cell>
          <cell r="C992" t="str">
            <v>SANTANDER</v>
          </cell>
          <cell r="D992" t="str">
            <v>BUCARAMANGA</v>
          </cell>
          <cell r="E992" t="str">
            <v>LEJANA</v>
          </cell>
          <cell r="F992" t="str">
            <v>TERRESTRE</v>
          </cell>
          <cell r="G992" t="str">
            <v>BUCARAMANGA</v>
          </cell>
        </row>
        <row r="993">
          <cell r="A993">
            <v>68820</v>
          </cell>
          <cell r="B993" t="str">
            <v>TONA</v>
          </cell>
          <cell r="C993" t="str">
            <v>SANTANDER</v>
          </cell>
          <cell r="D993" t="str">
            <v>BUCARAMANGA</v>
          </cell>
          <cell r="E993" t="str">
            <v>INTERMEDIA</v>
          </cell>
          <cell r="F993" t="str">
            <v>TERRESTRE</v>
          </cell>
          <cell r="G993" t="str">
            <v>BUCARAMANGA</v>
          </cell>
        </row>
        <row r="994">
          <cell r="A994">
            <v>68855</v>
          </cell>
          <cell r="B994" t="str">
            <v>VALLE DE SAN JOSE</v>
          </cell>
          <cell r="C994" t="str">
            <v>SANTANDER</v>
          </cell>
          <cell r="D994" t="str">
            <v>BUCARAMANGA</v>
          </cell>
          <cell r="E994" t="str">
            <v>LEJANA</v>
          </cell>
          <cell r="F994" t="str">
            <v>TERRESTRE</v>
          </cell>
          <cell r="G994" t="str">
            <v>BUCARAMANGA</v>
          </cell>
        </row>
        <row r="995">
          <cell r="A995">
            <v>68861</v>
          </cell>
          <cell r="B995" t="str">
            <v>VELEZ</v>
          </cell>
          <cell r="C995" t="str">
            <v>SANTANDER</v>
          </cell>
          <cell r="D995" t="str">
            <v>TUNJA</v>
          </cell>
          <cell r="E995" t="str">
            <v>INTERMEDIA</v>
          </cell>
          <cell r="F995" t="str">
            <v>TERRESTRE</v>
          </cell>
          <cell r="G995" t="str">
            <v>TUNJA</v>
          </cell>
        </row>
        <row r="996">
          <cell r="A996">
            <v>68867</v>
          </cell>
          <cell r="B996" t="str">
            <v>VETAS</v>
          </cell>
          <cell r="C996" t="str">
            <v>SANTANDER</v>
          </cell>
          <cell r="D996" t="str">
            <v>CUCUTA</v>
          </cell>
          <cell r="E996" t="str">
            <v>LEJANA</v>
          </cell>
          <cell r="F996" t="str">
            <v>TERRESTRE</v>
          </cell>
          <cell r="G996" t="str">
            <v>BUCARAMANGA</v>
          </cell>
        </row>
        <row r="997">
          <cell r="A997">
            <v>68895</v>
          </cell>
          <cell r="B997" t="str">
            <v>ZAPATOCA</v>
          </cell>
          <cell r="C997" t="str">
            <v>SANTANDER</v>
          </cell>
          <cell r="D997" t="str">
            <v>BUCARAMANGA</v>
          </cell>
          <cell r="E997" t="str">
            <v>LEJANA</v>
          </cell>
          <cell r="F997" t="str">
            <v>TERRESTRE</v>
          </cell>
          <cell r="G997" t="str">
            <v>BUCARAMANGA</v>
          </cell>
        </row>
        <row r="998">
          <cell r="A998">
            <v>70110</v>
          </cell>
          <cell r="B998" t="str">
            <v>BUENAVISTA</v>
          </cell>
          <cell r="C998" t="str">
            <v>SUCRE</v>
          </cell>
          <cell r="D998" t="str">
            <v>SINCELEJO</v>
          </cell>
          <cell r="E998" t="str">
            <v>INTERMEDIA</v>
          </cell>
          <cell r="F998" t="str">
            <v>TERRESTRE</v>
          </cell>
          <cell r="G998" t="str">
            <v>SINCELEJO</v>
          </cell>
        </row>
        <row r="999">
          <cell r="A999">
            <v>70400</v>
          </cell>
          <cell r="B999" t="str">
            <v>LA UNION</v>
          </cell>
          <cell r="C999" t="str">
            <v>SUCRE</v>
          </cell>
          <cell r="D999" t="str">
            <v>SINCELEJO</v>
          </cell>
          <cell r="E999" t="str">
            <v>INTERMEDIA</v>
          </cell>
          <cell r="F999" t="str">
            <v>TERRESTRE</v>
          </cell>
          <cell r="G999" t="str">
            <v>SINCELEJO</v>
          </cell>
        </row>
        <row r="1000">
          <cell r="A1000">
            <v>70717</v>
          </cell>
          <cell r="B1000" t="str">
            <v>SAN PEDRO</v>
          </cell>
          <cell r="C1000" t="str">
            <v>SUCRE</v>
          </cell>
          <cell r="D1000" t="str">
            <v>SINCELEJO</v>
          </cell>
          <cell r="E1000" t="str">
            <v>INTERMEDIA</v>
          </cell>
          <cell r="F1000" t="str">
            <v>TERRESTRE</v>
          </cell>
          <cell r="G1000" t="str">
            <v>SINCELEJO</v>
          </cell>
        </row>
        <row r="1001">
          <cell r="A1001">
            <v>70771</v>
          </cell>
          <cell r="B1001" t="str">
            <v>SUCRE</v>
          </cell>
          <cell r="C1001" t="str">
            <v>SUCRE</v>
          </cell>
          <cell r="D1001" t="str">
            <v>SINCELEJO</v>
          </cell>
          <cell r="E1001" t="str">
            <v>LEJANA</v>
          </cell>
          <cell r="F1001" t="str">
            <v>TERRESTRE</v>
          </cell>
          <cell r="G1001" t="str">
            <v>SINCELEJO</v>
          </cell>
        </row>
        <row r="1002">
          <cell r="A1002">
            <v>70124</v>
          </cell>
          <cell r="B1002" t="str">
            <v>CAIMITO</v>
          </cell>
          <cell r="C1002" t="str">
            <v>SUCRE</v>
          </cell>
          <cell r="D1002" t="str">
            <v>SINCELEJO</v>
          </cell>
          <cell r="E1002" t="str">
            <v>LEJANA</v>
          </cell>
          <cell r="F1002" t="str">
            <v>TERRESTRE</v>
          </cell>
          <cell r="G1002" t="str">
            <v>SINCELEJO</v>
          </cell>
        </row>
        <row r="1003">
          <cell r="A1003">
            <v>70230</v>
          </cell>
          <cell r="B1003" t="str">
            <v>CHALAN</v>
          </cell>
          <cell r="C1003" t="str">
            <v>SUCRE</v>
          </cell>
          <cell r="D1003" t="str">
            <v>SINCELEJO</v>
          </cell>
          <cell r="E1003" t="str">
            <v>LEJANA</v>
          </cell>
          <cell r="F1003" t="str">
            <v>TERRESTRE</v>
          </cell>
          <cell r="G1003" t="str">
            <v>SINCELEJO</v>
          </cell>
        </row>
        <row r="1004">
          <cell r="A1004">
            <v>70204</v>
          </cell>
          <cell r="B1004" t="str">
            <v>COLOSO</v>
          </cell>
          <cell r="C1004" t="str">
            <v>SUCRE</v>
          </cell>
          <cell r="D1004" t="str">
            <v>SINCELEJO</v>
          </cell>
          <cell r="E1004" t="str">
            <v>LEJANA</v>
          </cell>
          <cell r="F1004" t="str">
            <v>TERRESTRE</v>
          </cell>
          <cell r="G1004" t="str">
            <v>SINCELEJO</v>
          </cell>
        </row>
        <row r="1005">
          <cell r="A1005">
            <v>70215</v>
          </cell>
          <cell r="B1005" t="str">
            <v>COROZAL</v>
          </cell>
          <cell r="C1005" t="str">
            <v>SUCRE</v>
          </cell>
          <cell r="D1005" t="str">
            <v>SINCELEJO</v>
          </cell>
          <cell r="E1005" t="str">
            <v>INTERMEDIA</v>
          </cell>
          <cell r="F1005" t="str">
            <v>TERRESTRE</v>
          </cell>
          <cell r="G1005" t="str">
            <v>SINCELEJO</v>
          </cell>
        </row>
        <row r="1006">
          <cell r="A1006">
            <v>70221</v>
          </cell>
          <cell r="B1006" t="str">
            <v>COVEÑAS</v>
          </cell>
          <cell r="C1006" t="str">
            <v>SUCRE</v>
          </cell>
          <cell r="D1006" t="str">
            <v>SINCELEJO</v>
          </cell>
          <cell r="E1006" t="str">
            <v>INTERMEDIA</v>
          </cell>
          <cell r="F1006" t="str">
            <v>TERRESTRE</v>
          </cell>
          <cell r="G1006" t="str">
            <v>SINCELEJO</v>
          </cell>
        </row>
        <row r="1007">
          <cell r="A1007">
            <v>70233</v>
          </cell>
          <cell r="B1007" t="str">
            <v>EL ROBLE</v>
          </cell>
          <cell r="C1007" t="str">
            <v>SUCRE</v>
          </cell>
          <cell r="D1007" t="str">
            <v>SINCELEJO</v>
          </cell>
          <cell r="E1007" t="str">
            <v>INTERMEDIA</v>
          </cell>
          <cell r="F1007" t="str">
            <v>TERRESTRE</v>
          </cell>
          <cell r="G1007" t="str">
            <v>SINCELEJO</v>
          </cell>
        </row>
        <row r="1008">
          <cell r="A1008">
            <v>70235</v>
          </cell>
          <cell r="B1008" t="str">
            <v>GALERAS</v>
          </cell>
          <cell r="C1008" t="str">
            <v>SUCRE</v>
          </cell>
          <cell r="D1008" t="str">
            <v>SINCELEJO</v>
          </cell>
          <cell r="E1008" t="str">
            <v>INTERMEDIA</v>
          </cell>
          <cell r="F1008" t="str">
            <v>TERRESTRE</v>
          </cell>
          <cell r="G1008" t="str">
            <v>SINCELEJO</v>
          </cell>
        </row>
        <row r="1009">
          <cell r="A1009">
            <v>70265</v>
          </cell>
          <cell r="B1009" t="str">
            <v>GUARANDA</v>
          </cell>
          <cell r="C1009" t="str">
            <v>SUCRE</v>
          </cell>
          <cell r="D1009" t="str">
            <v>SINCELEJO</v>
          </cell>
          <cell r="E1009" t="str">
            <v>LEJANA</v>
          </cell>
          <cell r="F1009" t="str">
            <v>TERRESTRE</v>
          </cell>
          <cell r="G1009" t="str">
            <v>SINCELEJO</v>
          </cell>
        </row>
        <row r="1010">
          <cell r="A1010">
            <v>70418</v>
          </cell>
          <cell r="B1010" t="str">
            <v>LOS PALMITOS</v>
          </cell>
          <cell r="C1010" t="str">
            <v>SUCRE</v>
          </cell>
          <cell r="D1010" t="str">
            <v>SINCELEJO</v>
          </cell>
          <cell r="E1010" t="str">
            <v>INTERMEDIA</v>
          </cell>
          <cell r="F1010" t="str">
            <v>TERRESTRE</v>
          </cell>
          <cell r="G1010" t="str">
            <v>SINCELEJO</v>
          </cell>
        </row>
        <row r="1011">
          <cell r="A1011">
            <v>70429</v>
          </cell>
          <cell r="B1011" t="str">
            <v>MAJAGUAL</v>
          </cell>
          <cell r="C1011" t="str">
            <v>SUCRE</v>
          </cell>
          <cell r="D1011" t="str">
            <v>SINCELEJO</v>
          </cell>
          <cell r="E1011" t="str">
            <v>LEJANA</v>
          </cell>
          <cell r="F1011" t="str">
            <v>FLUVIAL</v>
          </cell>
          <cell r="G1011" t="str">
            <v>SINCELEJO</v>
          </cell>
        </row>
        <row r="1012">
          <cell r="A1012">
            <v>70473</v>
          </cell>
          <cell r="B1012" t="str">
            <v>MORROA</v>
          </cell>
          <cell r="C1012" t="str">
            <v>SUCRE</v>
          </cell>
          <cell r="D1012" t="str">
            <v>SINCELEJO</v>
          </cell>
          <cell r="E1012" t="str">
            <v>INTERMEDIA</v>
          </cell>
          <cell r="F1012" t="str">
            <v>TERRESTRE</v>
          </cell>
          <cell r="G1012" t="str">
            <v>SINCELEJO</v>
          </cell>
        </row>
        <row r="1013">
          <cell r="A1013">
            <v>70508</v>
          </cell>
          <cell r="B1013" t="str">
            <v>OVEJAS</v>
          </cell>
          <cell r="C1013" t="str">
            <v>SUCRE</v>
          </cell>
          <cell r="D1013" t="str">
            <v>SINCELEJO</v>
          </cell>
          <cell r="E1013" t="str">
            <v>INTERMEDIA</v>
          </cell>
          <cell r="F1013" t="str">
            <v>TERRESTRE</v>
          </cell>
          <cell r="G1013" t="str">
            <v>SINCELEJO</v>
          </cell>
        </row>
        <row r="1014">
          <cell r="A1014">
            <v>70523</v>
          </cell>
          <cell r="B1014" t="str">
            <v>PALMITO</v>
          </cell>
          <cell r="C1014" t="str">
            <v>SUCRE</v>
          </cell>
          <cell r="D1014" t="str">
            <v>SINCELEJO</v>
          </cell>
          <cell r="E1014" t="str">
            <v>INTERMEDIA</v>
          </cell>
          <cell r="F1014" t="str">
            <v>TERRESTRE</v>
          </cell>
          <cell r="G1014" t="str">
            <v>SINCELEJO</v>
          </cell>
        </row>
        <row r="1015">
          <cell r="A1015">
            <v>70670</v>
          </cell>
          <cell r="B1015" t="str">
            <v>SAMPUES</v>
          </cell>
          <cell r="C1015" t="str">
            <v>SUCRE</v>
          </cell>
          <cell r="D1015" t="str">
            <v>SINCELEJO</v>
          </cell>
          <cell r="E1015" t="str">
            <v>INTERMEDIA</v>
          </cell>
          <cell r="F1015" t="str">
            <v>TERRESTRE</v>
          </cell>
          <cell r="G1015" t="str">
            <v>SINCELEJO</v>
          </cell>
        </row>
        <row r="1016">
          <cell r="A1016">
            <v>70678</v>
          </cell>
          <cell r="B1016" t="str">
            <v>SAN BENITO ABAD</v>
          </cell>
          <cell r="C1016" t="str">
            <v>SUCRE</v>
          </cell>
          <cell r="D1016" t="str">
            <v>SINCELEJO</v>
          </cell>
          <cell r="E1016" t="str">
            <v>INTERMEDIA</v>
          </cell>
          <cell r="F1016" t="str">
            <v>TERRESTRE</v>
          </cell>
          <cell r="G1016" t="str">
            <v>SINCELEJO</v>
          </cell>
        </row>
        <row r="1017">
          <cell r="A1017">
            <v>70702</v>
          </cell>
          <cell r="B1017" t="str">
            <v>SAN JUAN DE BETULIA</v>
          </cell>
          <cell r="C1017" t="str">
            <v>SUCRE</v>
          </cell>
          <cell r="D1017" t="str">
            <v>SINCELEJO</v>
          </cell>
          <cell r="E1017" t="str">
            <v>INTERMEDIA</v>
          </cell>
          <cell r="F1017" t="str">
            <v>TERRESTRE</v>
          </cell>
          <cell r="G1017" t="str">
            <v>SINCELEJO</v>
          </cell>
        </row>
        <row r="1018">
          <cell r="A1018">
            <v>70742</v>
          </cell>
          <cell r="B1018" t="str">
            <v>SAN LUIS DE SINCE</v>
          </cell>
          <cell r="C1018" t="str">
            <v>SUCRE</v>
          </cell>
          <cell r="D1018" t="str">
            <v>SINCELEJO</v>
          </cell>
          <cell r="E1018" t="str">
            <v>INTERMEDIA</v>
          </cell>
          <cell r="F1018" t="str">
            <v>TERRESTRE</v>
          </cell>
          <cell r="G1018" t="str">
            <v>SINCELEJO</v>
          </cell>
        </row>
        <row r="1019">
          <cell r="A1019">
            <v>70708</v>
          </cell>
          <cell r="B1019" t="str">
            <v>SAN MARCOS</v>
          </cell>
          <cell r="C1019" t="str">
            <v>SUCRE</v>
          </cell>
          <cell r="D1019" t="str">
            <v>SINCELEJO</v>
          </cell>
          <cell r="E1019" t="str">
            <v>LEJANA</v>
          </cell>
          <cell r="F1019" t="str">
            <v>TERRESTRE</v>
          </cell>
          <cell r="G1019" t="str">
            <v>SINCELEJO</v>
          </cell>
        </row>
        <row r="1020">
          <cell r="A1020">
            <v>70713</v>
          </cell>
          <cell r="B1020" t="str">
            <v>SAN ONOFRE</v>
          </cell>
          <cell r="C1020" t="str">
            <v>SUCRE</v>
          </cell>
          <cell r="D1020" t="str">
            <v>SINCELEJO</v>
          </cell>
          <cell r="E1020" t="str">
            <v>INTERMEDIA</v>
          </cell>
          <cell r="F1020" t="str">
            <v>TERRESTRE</v>
          </cell>
          <cell r="G1020" t="str">
            <v>SINCELEJO</v>
          </cell>
        </row>
        <row r="1021">
          <cell r="A1021">
            <v>70820</v>
          </cell>
          <cell r="B1021" t="str">
            <v>SANTIAGO DE TOLU</v>
          </cell>
          <cell r="C1021" t="str">
            <v>SUCRE</v>
          </cell>
          <cell r="D1021" t="str">
            <v>SINCELEJO</v>
          </cell>
          <cell r="E1021" t="str">
            <v>INTERMEDIA</v>
          </cell>
          <cell r="F1021" t="str">
            <v>TERRESTRE</v>
          </cell>
          <cell r="G1021" t="str">
            <v>SINCELEJO</v>
          </cell>
        </row>
        <row r="1022">
          <cell r="A1022">
            <v>70001</v>
          </cell>
          <cell r="B1022" t="str">
            <v>SINCELEJO</v>
          </cell>
          <cell r="C1022" t="str">
            <v>SUCRE</v>
          </cell>
          <cell r="D1022" t="str">
            <v>SINCELEJO</v>
          </cell>
          <cell r="E1022" t="str">
            <v>PRINCIPAL</v>
          </cell>
          <cell r="F1022" t="str">
            <v>TERRESTRE</v>
          </cell>
          <cell r="G1022" t="str">
            <v>SINCELEJO</v>
          </cell>
        </row>
        <row r="1023">
          <cell r="A1023">
            <v>70823</v>
          </cell>
          <cell r="B1023" t="str">
            <v>TOLU VIEJO</v>
          </cell>
          <cell r="C1023" t="str">
            <v>SUCRE</v>
          </cell>
          <cell r="D1023" t="str">
            <v>SINCELEJO</v>
          </cell>
          <cell r="E1023" t="str">
            <v>INTERMEDIA</v>
          </cell>
          <cell r="F1023" t="str">
            <v>TERRESTRE</v>
          </cell>
          <cell r="G1023" t="str">
            <v>SINCELEJO</v>
          </cell>
        </row>
        <row r="1024">
          <cell r="A1024">
            <v>73678</v>
          </cell>
          <cell r="B1024" t="str">
            <v>SAN LUIS</v>
          </cell>
          <cell r="C1024" t="str">
            <v>TOLIMA</v>
          </cell>
          <cell r="D1024" t="str">
            <v>IBAGUE</v>
          </cell>
          <cell r="E1024" t="str">
            <v>INTERMEDIA</v>
          </cell>
          <cell r="F1024" t="str">
            <v>TERRESTRE</v>
          </cell>
          <cell r="G1024" t="str">
            <v>IBAGUE</v>
          </cell>
        </row>
        <row r="1025">
          <cell r="A1025">
            <v>73770</v>
          </cell>
          <cell r="B1025" t="str">
            <v>SUAREZ</v>
          </cell>
          <cell r="C1025" t="str">
            <v>TOLIMA</v>
          </cell>
          <cell r="D1025" t="str">
            <v>IBAGUE</v>
          </cell>
          <cell r="E1025" t="str">
            <v>INTERMEDIA</v>
          </cell>
          <cell r="F1025" t="str">
            <v>TERRESTRE</v>
          </cell>
          <cell r="G1025" t="str">
            <v>IBAGUE</v>
          </cell>
        </row>
        <row r="1026">
          <cell r="A1026">
            <v>73024</v>
          </cell>
          <cell r="B1026" t="str">
            <v>ALPUJARRA</v>
          </cell>
          <cell r="C1026" t="str">
            <v>TOLIMA</v>
          </cell>
          <cell r="D1026" t="str">
            <v>IBAGUE</v>
          </cell>
          <cell r="E1026" t="str">
            <v>LEJANA</v>
          </cell>
          <cell r="F1026" t="str">
            <v>TERRESTRE</v>
          </cell>
          <cell r="G1026" t="str">
            <v>IBAGUE</v>
          </cell>
        </row>
        <row r="1027">
          <cell r="A1027">
            <v>73026</v>
          </cell>
          <cell r="B1027" t="str">
            <v>ALVARADO</v>
          </cell>
          <cell r="C1027" t="str">
            <v>TOLIMA</v>
          </cell>
          <cell r="D1027" t="str">
            <v>IBAGUE</v>
          </cell>
          <cell r="E1027" t="str">
            <v>INTERMEDIA</v>
          </cell>
          <cell r="F1027" t="str">
            <v>TERRESTRE</v>
          </cell>
          <cell r="G1027" t="str">
            <v>IBAGUE</v>
          </cell>
        </row>
        <row r="1028">
          <cell r="A1028">
            <v>73030</v>
          </cell>
          <cell r="B1028" t="str">
            <v>AMBALEMA</v>
          </cell>
          <cell r="C1028" t="str">
            <v>TOLIMA</v>
          </cell>
          <cell r="D1028" t="str">
            <v>IBAGUE</v>
          </cell>
          <cell r="E1028" t="str">
            <v>INTERMEDIA</v>
          </cell>
          <cell r="F1028" t="str">
            <v>TERRESTRE</v>
          </cell>
          <cell r="G1028" t="str">
            <v>IBAGUE</v>
          </cell>
        </row>
        <row r="1029">
          <cell r="A1029">
            <v>73043</v>
          </cell>
          <cell r="B1029" t="str">
            <v>ANZOATEGUI</v>
          </cell>
          <cell r="C1029" t="str">
            <v>TOLIMA</v>
          </cell>
          <cell r="D1029" t="str">
            <v>IBAGUE</v>
          </cell>
          <cell r="E1029" t="str">
            <v>INTERMEDIA</v>
          </cell>
          <cell r="F1029" t="str">
            <v>TERRESTRE</v>
          </cell>
          <cell r="G1029" t="str">
            <v>IBAGUE</v>
          </cell>
        </row>
        <row r="1030">
          <cell r="A1030">
            <v>73055</v>
          </cell>
          <cell r="B1030" t="str">
            <v>ARMERO</v>
          </cell>
          <cell r="C1030" t="str">
            <v>TOLIMA</v>
          </cell>
          <cell r="D1030" t="str">
            <v>IBAGUE</v>
          </cell>
          <cell r="E1030" t="str">
            <v>INTERMEDIA</v>
          </cell>
          <cell r="F1030" t="str">
            <v>TERRESTRE</v>
          </cell>
          <cell r="G1030" t="str">
            <v>IBAGUE</v>
          </cell>
        </row>
        <row r="1031">
          <cell r="A1031">
            <v>73067</v>
          </cell>
          <cell r="B1031" t="str">
            <v>ATACO</v>
          </cell>
          <cell r="C1031" t="str">
            <v>TOLIMA</v>
          </cell>
          <cell r="D1031" t="str">
            <v>IBAGUE</v>
          </cell>
          <cell r="E1031" t="str">
            <v>LEJANA</v>
          </cell>
          <cell r="F1031" t="str">
            <v>TERRESTRE</v>
          </cell>
          <cell r="G1031" t="str">
            <v>IBAGUE</v>
          </cell>
        </row>
        <row r="1032">
          <cell r="A1032">
            <v>73124</v>
          </cell>
          <cell r="B1032" t="str">
            <v>CAJAMARCA</v>
          </cell>
          <cell r="C1032" t="str">
            <v>TOLIMA</v>
          </cell>
          <cell r="D1032" t="str">
            <v>IBAGUE</v>
          </cell>
          <cell r="E1032" t="str">
            <v>INTERMEDIA</v>
          </cell>
          <cell r="F1032" t="str">
            <v>TERRESTRE</v>
          </cell>
          <cell r="G1032" t="str">
            <v>IBAGUE</v>
          </cell>
        </row>
        <row r="1033">
          <cell r="A1033">
            <v>73148</v>
          </cell>
          <cell r="B1033" t="str">
            <v>CARMEN DE APICALA</v>
          </cell>
          <cell r="C1033" t="str">
            <v>TOLIMA</v>
          </cell>
          <cell r="D1033" t="str">
            <v>BOGOTA</v>
          </cell>
          <cell r="E1033" t="str">
            <v>INTERMEDIA</v>
          </cell>
          <cell r="F1033" t="str">
            <v>TERRESTRE</v>
          </cell>
          <cell r="G1033" t="str">
            <v>BOGOTA</v>
          </cell>
        </row>
        <row r="1034">
          <cell r="A1034">
            <v>73152</v>
          </cell>
          <cell r="B1034" t="str">
            <v>CASABIANCA</v>
          </cell>
          <cell r="C1034" t="str">
            <v>TOLIMA</v>
          </cell>
          <cell r="D1034" t="str">
            <v>IBAGUE</v>
          </cell>
          <cell r="E1034" t="str">
            <v>LEJANA</v>
          </cell>
          <cell r="F1034" t="str">
            <v>TERRESTRE</v>
          </cell>
          <cell r="G1034" t="str">
            <v>IBAGUE</v>
          </cell>
        </row>
        <row r="1035">
          <cell r="A1035">
            <v>73168</v>
          </cell>
          <cell r="B1035" t="str">
            <v>CHAPARRAL</v>
          </cell>
          <cell r="C1035" t="str">
            <v>TOLIMA</v>
          </cell>
          <cell r="D1035" t="str">
            <v>IBAGUE</v>
          </cell>
          <cell r="E1035" t="str">
            <v>LEJANA</v>
          </cell>
          <cell r="F1035" t="str">
            <v>TERRESTRE</v>
          </cell>
          <cell r="G1035" t="str">
            <v>IBAGUE</v>
          </cell>
        </row>
        <row r="1036">
          <cell r="A1036">
            <v>73200</v>
          </cell>
          <cell r="B1036" t="str">
            <v>COELLO</v>
          </cell>
          <cell r="C1036" t="str">
            <v>TOLIMA</v>
          </cell>
          <cell r="D1036" t="str">
            <v>IBAGUE</v>
          </cell>
          <cell r="E1036" t="str">
            <v>INTERMEDIA</v>
          </cell>
          <cell r="F1036" t="str">
            <v>TERRESTRE</v>
          </cell>
          <cell r="G1036" t="str">
            <v>IBAGUE</v>
          </cell>
        </row>
        <row r="1037">
          <cell r="A1037">
            <v>73217</v>
          </cell>
          <cell r="B1037" t="str">
            <v>COYAIMA</v>
          </cell>
          <cell r="C1037" t="str">
            <v>TOLIMA</v>
          </cell>
          <cell r="D1037" t="str">
            <v>IBAGUE</v>
          </cell>
          <cell r="E1037" t="str">
            <v>LEJANA</v>
          </cell>
          <cell r="F1037" t="str">
            <v>TERRESTRE</v>
          </cell>
          <cell r="G1037" t="str">
            <v>IBAGUE</v>
          </cell>
        </row>
        <row r="1038">
          <cell r="A1038">
            <v>73226</v>
          </cell>
          <cell r="B1038" t="str">
            <v>CUNDAY</v>
          </cell>
          <cell r="C1038" t="str">
            <v>TOLIMA</v>
          </cell>
          <cell r="D1038" t="str">
            <v>IBAGUE</v>
          </cell>
          <cell r="E1038" t="str">
            <v>INTERMEDIA</v>
          </cell>
          <cell r="F1038" t="str">
            <v>TERRESTRE</v>
          </cell>
          <cell r="G1038" t="str">
            <v>IBAGUE</v>
          </cell>
        </row>
        <row r="1039">
          <cell r="A1039">
            <v>73236</v>
          </cell>
          <cell r="B1039" t="str">
            <v>DOLORES</v>
          </cell>
          <cell r="C1039" t="str">
            <v>TOLIMA</v>
          </cell>
          <cell r="D1039" t="str">
            <v>IBAGUE</v>
          </cell>
          <cell r="E1039" t="str">
            <v>LEJANA</v>
          </cell>
          <cell r="F1039" t="str">
            <v>TERRESTRE</v>
          </cell>
          <cell r="G1039" t="str">
            <v>IBAGUE</v>
          </cell>
        </row>
        <row r="1040">
          <cell r="A1040">
            <v>73268</v>
          </cell>
          <cell r="B1040" t="str">
            <v>ESPINAL</v>
          </cell>
          <cell r="C1040" t="str">
            <v>TOLIMA</v>
          </cell>
          <cell r="D1040" t="str">
            <v>IBAGUE</v>
          </cell>
          <cell r="E1040" t="str">
            <v>INTERMEDIA</v>
          </cell>
          <cell r="F1040" t="str">
            <v>TERRESTRE</v>
          </cell>
          <cell r="G1040" t="str">
            <v>IBAGUE</v>
          </cell>
        </row>
        <row r="1041">
          <cell r="A1041">
            <v>73270</v>
          </cell>
          <cell r="B1041" t="str">
            <v>FALAN</v>
          </cell>
          <cell r="C1041" t="str">
            <v>TOLIMA</v>
          </cell>
          <cell r="D1041" t="str">
            <v>IBAGUE</v>
          </cell>
          <cell r="E1041" t="str">
            <v>LEJANA</v>
          </cell>
          <cell r="F1041" t="str">
            <v>TERRESTRE</v>
          </cell>
          <cell r="G1041" t="str">
            <v>IBAGUE</v>
          </cell>
        </row>
        <row r="1042">
          <cell r="A1042">
            <v>73275</v>
          </cell>
          <cell r="B1042" t="str">
            <v>FLANDES</v>
          </cell>
          <cell r="C1042" t="str">
            <v>TOLIMA</v>
          </cell>
          <cell r="D1042" t="str">
            <v>IBAGUE</v>
          </cell>
          <cell r="E1042" t="str">
            <v>INTERMEDIA</v>
          </cell>
          <cell r="F1042" t="str">
            <v>TERRESTRE</v>
          </cell>
          <cell r="G1042" t="str">
            <v>IBAGUE</v>
          </cell>
        </row>
        <row r="1043">
          <cell r="A1043">
            <v>73283</v>
          </cell>
          <cell r="B1043" t="str">
            <v>FRESNO</v>
          </cell>
          <cell r="C1043" t="str">
            <v>TOLIMA</v>
          </cell>
          <cell r="D1043" t="str">
            <v>IBAGUE</v>
          </cell>
          <cell r="E1043" t="str">
            <v>LEJANA</v>
          </cell>
          <cell r="F1043" t="str">
            <v>TERRESTRE</v>
          </cell>
          <cell r="G1043" t="str">
            <v>IBAGUE</v>
          </cell>
        </row>
        <row r="1044">
          <cell r="A1044">
            <v>73319</v>
          </cell>
          <cell r="B1044" t="str">
            <v>GUAMO</v>
          </cell>
          <cell r="C1044" t="str">
            <v>TOLIMA</v>
          </cell>
          <cell r="D1044" t="str">
            <v>IBAGUE</v>
          </cell>
          <cell r="E1044" t="str">
            <v>INTERMEDIA</v>
          </cell>
          <cell r="F1044" t="str">
            <v>TERRESTRE</v>
          </cell>
          <cell r="G1044" t="str">
            <v>IBAGUE</v>
          </cell>
        </row>
        <row r="1045">
          <cell r="A1045">
            <v>73347</v>
          </cell>
          <cell r="B1045" t="str">
            <v>HERVEO</v>
          </cell>
          <cell r="C1045" t="str">
            <v>TOLIMA</v>
          </cell>
          <cell r="D1045" t="str">
            <v>MANIZALES</v>
          </cell>
          <cell r="E1045" t="str">
            <v>LEJANA</v>
          </cell>
          <cell r="F1045" t="str">
            <v>TERRESTRE</v>
          </cell>
          <cell r="G1045" t="str">
            <v>MANIZALES</v>
          </cell>
        </row>
        <row r="1046">
          <cell r="A1046">
            <v>73349</v>
          </cell>
          <cell r="B1046" t="str">
            <v>HONDA</v>
          </cell>
          <cell r="C1046" t="str">
            <v>TOLIMA</v>
          </cell>
          <cell r="D1046" t="str">
            <v>IBAGUE</v>
          </cell>
          <cell r="E1046" t="str">
            <v>LEJANA</v>
          </cell>
          <cell r="F1046" t="str">
            <v>TERRESTRE</v>
          </cell>
          <cell r="G1046" t="str">
            <v>IBAGUE</v>
          </cell>
        </row>
        <row r="1047">
          <cell r="A1047">
            <v>73001</v>
          </cell>
          <cell r="B1047" t="str">
            <v>IBAGUE</v>
          </cell>
          <cell r="C1047" t="str">
            <v>TOLIMA</v>
          </cell>
          <cell r="D1047" t="str">
            <v>IBAGUE</v>
          </cell>
          <cell r="E1047" t="str">
            <v>PRINCIPAL</v>
          </cell>
          <cell r="F1047" t="str">
            <v>TERRESTRE</v>
          </cell>
          <cell r="G1047" t="str">
            <v>IBAGUE</v>
          </cell>
        </row>
        <row r="1048">
          <cell r="A1048">
            <v>73352</v>
          </cell>
          <cell r="B1048" t="str">
            <v>ICONONZO</v>
          </cell>
          <cell r="C1048" t="str">
            <v>TOLIMA</v>
          </cell>
          <cell r="D1048" t="str">
            <v>IBAGUE</v>
          </cell>
          <cell r="E1048" t="str">
            <v>LEJANA</v>
          </cell>
          <cell r="F1048" t="str">
            <v>TERRESTRE</v>
          </cell>
          <cell r="G1048" t="str">
            <v>IBAGUE</v>
          </cell>
        </row>
        <row r="1049">
          <cell r="A1049">
            <v>73408</v>
          </cell>
          <cell r="B1049" t="str">
            <v>LERIDA</v>
          </cell>
          <cell r="C1049" t="str">
            <v>TOLIMA</v>
          </cell>
          <cell r="D1049" t="str">
            <v>IBAGUE</v>
          </cell>
          <cell r="E1049" t="str">
            <v>INTERMEDIA</v>
          </cell>
          <cell r="F1049" t="str">
            <v>TERRESTRE</v>
          </cell>
          <cell r="G1049" t="str">
            <v>IBAGUE</v>
          </cell>
        </row>
        <row r="1050">
          <cell r="A1050">
            <v>73411</v>
          </cell>
          <cell r="B1050" t="str">
            <v>LIBANO</v>
          </cell>
          <cell r="C1050" t="str">
            <v>TOLIMA</v>
          </cell>
          <cell r="D1050" t="str">
            <v>IBAGUE</v>
          </cell>
          <cell r="E1050" t="str">
            <v>LEJANA</v>
          </cell>
          <cell r="F1050" t="str">
            <v>TERRESTRE</v>
          </cell>
          <cell r="G1050" t="str">
            <v>IBAGUE</v>
          </cell>
        </row>
        <row r="1051">
          <cell r="A1051">
            <v>73443</v>
          </cell>
          <cell r="B1051" t="str">
            <v>MARIQUITA</v>
          </cell>
          <cell r="C1051" t="str">
            <v>TOLIMA</v>
          </cell>
          <cell r="D1051" t="str">
            <v>IBAGUE</v>
          </cell>
          <cell r="E1051" t="str">
            <v>LEJANA</v>
          </cell>
          <cell r="F1051" t="str">
            <v>TERRESTRE</v>
          </cell>
          <cell r="G1051" t="str">
            <v>IBAGUE</v>
          </cell>
        </row>
        <row r="1052">
          <cell r="A1052">
            <v>73449</v>
          </cell>
          <cell r="B1052" t="str">
            <v>MELGAR</v>
          </cell>
          <cell r="C1052" t="str">
            <v>TOLIMA</v>
          </cell>
          <cell r="D1052" t="str">
            <v>BOGOTA</v>
          </cell>
          <cell r="E1052" t="str">
            <v>INTERMEDIA</v>
          </cell>
          <cell r="F1052" t="str">
            <v>TERRESTRE</v>
          </cell>
          <cell r="G1052" t="str">
            <v>BOGOTA</v>
          </cell>
        </row>
        <row r="1053">
          <cell r="A1053">
            <v>73461</v>
          </cell>
          <cell r="B1053" t="str">
            <v>MURILLO</v>
          </cell>
          <cell r="C1053" t="str">
            <v>TOLIMA</v>
          </cell>
          <cell r="D1053" t="str">
            <v>IBAGUE</v>
          </cell>
          <cell r="E1053" t="str">
            <v>LEJANA</v>
          </cell>
          <cell r="F1053" t="str">
            <v>TERRESTRE</v>
          </cell>
          <cell r="G1053" t="str">
            <v>IBAGUE</v>
          </cell>
        </row>
        <row r="1054">
          <cell r="A1054">
            <v>73483</v>
          </cell>
          <cell r="B1054" t="str">
            <v>NATAGAIMA</v>
          </cell>
          <cell r="C1054" t="str">
            <v>TOLIMA</v>
          </cell>
          <cell r="D1054" t="str">
            <v>NEIVA</v>
          </cell>
          <cell r="E1054" t="str">
            <v>INTERMEDIA</v>
          </cell>
          <cell r="F1054" t="str">
            <v>TERRESTRE</v>
          </cell>
          <cell r="G1054" t="str">
            <v>NEIVA</v>
          </cell>
        </row>
        <row r="1055">
          <cell r="A1055">
            <v>73504</v>
          </cell>
          <cell r="B1055" t="str">
            <v>ORTEGA</v>
          </cell>
          <cell r="C1055" t="str">
            <v>TOLIMA</v>
          </cell>
          <cell r="D1055" t="str">
            <v>IBAGUE</v>
          </cell>
          <cell r="E1055" t="str">
            <v>LEJANA</v>
          </cell>
          <cell r="F1055" t="str">
            <v>TERRESTRE</v>
          </cell>
          <cell r="G1055" t="str">
            <v>IBAGUE</v>
          </cell>
        </row>
        <row r="1056">
          <cell r="A1056">
            <v>73520</v>
          </cell>
          <cell r="B1056" t="str">
            <v>PALOCABILDO</v>
          </cell>
          <cell r="C1056" t="str">
            <v>TOLIMA</v>
          </cell>
          <cell r="D1056" t="str">
            <v>IBAGUE</v>
          </cell>
          <cell r="E1056" t="str">
            <v>LEJANA</v>
          </cell>
          <cell r="F1056" t="str">
            <v>TERRESTRE</v>
          </cell>
          <cell r="G1056" t="str">
            <v>IBAGUE</v>
          </cell>
        </row>
        <row r="1057">
          <cell r="A1057">
            <v>73547</v>
          </cell>
          <cell r="B1057" t="str">
            <v>PIEDRAS</v>
          </cell>
          <cell r="C1057" t="str">
            <v>TOLIMA</v>
          </cell>
          <cell r="D1057" t="str">
            <v>IBAGUE</v>
          </cell>
          <cell r="E1057" t="str">
            <v>INTERMEDIA</v>
          </cell>
          <cell r="F1057" t="str">
            <v>TERRESTRE</v>
          </cell>
          <cell r="G1057" t="str">
            <v>IBAGUE</v>
          </cell>
        </row>
        <row r="1058">
          <cell r="A1058">
            <v>73555</v>
          </cell>
          <cell r="B1058" t="str">
            <v>PLANADAS</v>
          </cell>
          <cell r="C1058" t="str">
            <v>TOLIMA</v>
          </cell>
          <cell r="D1058" t="str">
            <v>IBAGUE</v>
          </cell>
          <cell r="E1058" t="str">
            <v>LEJANA</v>
          </cell>
          <cell r="F1058" t="str">
            <v>TERRESTRE</v>
          </cell>
          <cell r="G1058" t="str">
            <v>IBAGUE</v>
          </cell>
        </row>
        <row r="1059">
          <cell r="A1059">
            <v>73563</v>
          </cell>
          <cell r="B1059" t="str">
            <v>PRADO</v>
          </cell>
          <cell r="C1059" t="str">
            <v>TOLIMA</v>
          </cell>
          <cell r="D1059" t="str">
            <v>IBAGUE</v>
          </cell>
          <cell r="E1059" t="str">
            <v>LEJANA</v>
          </cell>
          <cell r="F1059" t="str">
            <v>TERRESTRE</v>
          </cell>
          <cell r="G1059" t="str">
            <v>IBAGUE</v>
          </cell>
        </row>
        <row r="1060">
          <cell r="A1060">
            <v>73585</v>
          </cell>
          <cell r="B1060" t="str">
            <v>PURIFICACION</v>
          </cell>
          <cell r="C1060" t="str">
            <v>TOLIMA</v>
          </cell>
          <cell r="D1060" t="str">
            <v>IBAGUE</v>
          </cell>
          <cell r="E1060" t="str">
            <v>INTERMEDIA</v>
          </cell>
          <cell r="F1060" t="str">
            <v>TERRESTRE</v>
          </cell>
          <cell r="G1060" t="str">
            <v>IBAGUE</v>
          </cell>
        </row>
        <row r="1061">
          <cell r="A1061">
            <v>73616</v>
          </cell>
          <cell r="B1061" t="str">
            <v>RIOBLANCO</v>
          </cell>
          <cell r="C1061" t="str">
            <v>TOLIMA</v>
          </cell>
          <cell r="D1061" t="str">
            <v>IBAGUE</v>
          </cell>
          <cell r="E1061" t="str">
            <v>LEJANA</v>
          </cell>
          <cell r="F1061" t="str">
            <v>TERRESTRE</v>
          </cell>
          <cell r="G1061" t="str">
            <v>IBAGUE</v>
          </cell>
        </row>
        <row r="1062">
          <cell r="A1062">
            <v>73622</v>
          </cell>
          <cell r="B1062" t="str">
            <v>RONCESVALLES</v>
          </cell>
          <cell r="C1062" t="str">
            <v>TOLIMA</v>
          </cell>
          <cell r="D1062" t="str">
            <v>IBAGUE</v>
          </cell>
          <cell r="E1062" t="str">
            <v>LEJANA</v>
          </cell>
          <cell r="F1062" t="str">
            <v>TERRESTRE</v>
          </cell>
          <cell r="G1062" t="str">
            <v>IBAGUE</v>
          </cell>
        </row>
        <row r="1063">
          <cell r="A1063">
            <v>73624</v>
          </cell>
          <cell r="B1063" t="str">
            <v>ROVIRA</v>
          </cell>
          <cell r="C1063" t="str">
            <v>TOLIMA</v>
          </cell>
          <cell r="D1063" t="str">
            <v>IBAGUE</v>
          </cell>
          <cell r="E1063" t="str">
            <v>LEJANA</v>
          </cell>
          <cell r="F1063" t="str">
            <v>TERRESTRE</v>
          </cell>
          <cell r="G1063" t="str">
            <v>IBAGUE</v>
          </cell>
        </row>
        <row r="1064">
          <cell r="A1064">
            <v>73671</v>
          </cell>
          <cell r="B1064" t="str">
            <v>SALDAÑA</v>
          </cell>
          <cell r="C1064" t="str">
            <v>TOLIMA</v>
          </cell>
          <cell r="D1064" t="str">
            <v>IBAGUE</v>
          </cell>
          <cell r="E1064" t="str">
            <v>INTERMEDIA</v>
          </cell>
          <cell r="F1064" t="str">
            <v>TERRESTRE</v>
          </cell>
          <cell r="G1064" t="str">
            <v>IBAGUE</v>
          </cell>
        </row>
        <row r="1065">
          <cell r="A1065">
            <v>73675</v>
          </cell>
          <cell r="B1065" t="str">
            <v>SAN ANTONIO</v>
          </cell>
          <cell r="C1065" t="str">
            <v>TOLIMA</v>
          </cell>
          <cell r="D1065" t="str">
            <v>IBAGUE</v>
          </cell>
          <cell r="E1065" t="str">
            <v>LEJANA</v>
          </cell>
          <cell r="F1065" t="str">
            <v>TERRESTRE</v>
          </cell>
          <cell r="G1065" t="str">
            <v>IBAGUE</v>
          </cell>
        </row>
        <row r="1066">
          <cell r="A1066">
            <v>73686</v>
          </cell>
          <cell r="B1066" t="str">
            <v>SANTA ISABEL</v>
          </cell>
          <cell r="C1066" t="str">
            <v>TOLIMA</v>
          </cell>
          <cell r="D1066" t="str">
            <v>IBAGUE</v>
          </cell>
          <cell r="E1066" t="str">
            <v>LEJANA</v>
          </cell>
          <cell r="F1066" t="str">
            <v>TERRESTRE</v>
          </cell>
          <cell r="G1066" t="str">
            <v>IBAGUE</v>
          </cell>
        </row>
        <row r="1067">
          <cell r="A1067">
            <v>73854</v>
          </cell>
          <cell r="B1067" t="str">
            <v>VALLE DE SAN JUAN</v>
          </cell>
          <cell r="C1067" t="str">
            <v>TOLIMA</v>
          </cell>
          <cell r="D1067" t="str">
            <v>IBAGUE</v>
          </cell>
          <cell r="E1067" t="str">
            <v>INTERMEDIA</v>
          </cell>
          <cell r="F1067" t="str">
            <v>TERRESTRE</v>
          </cell>
          <cell r="G1067" t="str">
            <v>IBAGUE</v>
          </cell>
        </row>
        <row r="1068">
          <cell r="A1068">
            <v>73861</v>
          </cell>
          <cell r="B1068" t="str">
            <v>VENADILLO</v>
          </cell>
          <cell r="C1068" t="str">
            <v>TOLIMA</v>
          </cell>
          <cell r="D1068" t="str">
            <v>IBAGUE</v>
          </cell>
          <cell r="E1068" t="str">
            <v>INTERMEDIA</v>
          </cell>
          <cell r="F1068" t="str">
            <v>TERRESTRE</v>
          </cell>
          <cell r="G1068" t="str">
            <v>IBAGUE</v>
          </cell>
        </row>
        <row r="1069">
          <cell r="A1069">
            <v>73870</v>
          </cell>
          <cell r="B1069" t="str">
            <v>VILLAHERMOSA</v>
          </cell>
          <cell r="C1069" t="str">
            <v>TOLIMA</v>
          </cell>
          <cell r="D1069" t="str">
            <v>IBAGUE</v>
          </cell>
          <cell r="E1069" t="str">
            <v>LEJANA</v>
          </cell>
          <cell r="F1069" t="str">
            <v>TERRESTRE</v>
          </cell>
          <cell r="G1069" t="str">
            <v>IBAGUE</v>
          </cell>
        </row>
        <row r="1070">
          <cell r="A1070">
            <v>73873</v>
          </cell>
          <cell r="B1070" t="str">
            <v>VILLARRICA</v>
          </cell>
          <cell r="C1070" t="str">
            <v>TOLIMA</v>
          </cell>
          <cell r="D1070" t="str">
            <v>IBAGUE</v>
          </cell>
          <cell r="E1070" t="str">
            <v>LEJANA</v>
          </cell>
          <cell r="F1070" t="str">
            <v>TERRESTRE</v>
          </cell>
          <cell r="G1070" t="str">
            <v>IBAGUE</v>
          </cell>
        </row>
        <row r="1071">
          <cell r="A1071">
            <v>76054</v>
          </cell>
          <cell r="B1071" t="str">
            <v>ARGELIA</v>
          </cell>
          <cell r="C1071" t="str">
            <v>VALLE DEL CAUCA</v>
          </cell>
          <cell r="D1071" t="str">
            <v>PEREIRA</v>
          </cell>
          <cell r="E1071" t="str">
            <v>LEJANA</v>
          </cell>
          <cell r="F1071" t="str">
            <v>TERRESTRE</v>
          </cell>
          <cell r="G1071" t="str">
            <v>PEREIRA</v>
          </cell>
        </row>
        <row r="1072">
          <cell r="A1072">
            <v>76100</v>
          </cell>
          <cell r="B1072" t="str">
            <v>BOLIVAR</v>
          </cell>
          <cell r="C1072" t="str">
            <v>VALLE DEL CAUCA</v>
          </cell>
          <cell r="D1072" t="str">
            <v>PEREIRA</v>
          </cell>
          <cell r="E1072" t="str">
            <v>INTERMEDIA</v>
          </cell>
          <cell r="F1072" t="str">
            <v>TERRESTRE</v>
          </cell>
          <cell r="G1072" t="str">
            <v>PEREIRA</v>
          </cell>
        </row>
        <row r="1073">
          <cell r="A1073">
            <v>76130</v>
          </cell>
          <cell r="B1073" t="str">
            <v>CANDELARIA</v>
          </cell>
          <cell r="C1073" t="str">
            <v>VALLE DEL CAUCA</v>
          </cell>
          <cell r="D1073" t="str">
            <v>CALI</v>
          </cell>
          <cell r="E1073" t="str">
            <v>INTERMEDIA</v>
          </cell>
          <cell r="F1073" t="str">
            <v>TERRESTRE</v>
          </cell>
          <cell r="G1073" t="str">
            <v>CALI</v>
          </cell>
        </row>
        <row r="1074">
          <cell r="A1074">
            <v>76400</v>
          </cell>
          <cell r="B1074" t="str">
            <v>LA UNION</v>
          </cell>
          <cell r="C1074" t="str">
            <v>VALLE DEL CAUCA</v>
          </cell>
          <cell r="D1074" t="str">
            <v>PEREIRA</v>
          </cell>
          <cell r="E1074" t="str">
            <v>INTERMEDIA</v>
          </cell>
          <cell r="F1074" t="str">
            <v>TERRESTRE</v>
          </cell>
          <cell r="G1074" t="str">
            <v>PEREIRA</v>
          </cell>
        </row>
        <row r="1075">
          <cell r="A1075">
            <v>76403</v>
          </cell>
          <cell r="B1075" t="str">
            <v>LA VICTORIA</v>
          </cell>
          <cell r="C1075" t="str">
            <v>VALLE DEL CAUCA</v>
          </cell>
          <cell r="D1075" t="str">
            <v>PEREIRA</v>
          </cell>
          <cell r="E1075" t="str">
            <v>INTERMEDIA</v>
          </cell>
          <cell r="F1075" t="str">
            <v>TERRESTRE</v>
          </cell>
          <cell r="G1075" t="str">
            <v>PEREIRA</v>
          </cell>
        </row>
        <row r="1076">
          <cell r="A1076">
            <v>76606</v>
          </cell>
          <cell r="B1076" t="str">
            <v>RESTREPO</v>
          </cell>
          <cell r="C1076" t="str">
            <v>VALLE DEL CAUCA</v>
          </cell>
          <cell r="D1076" t="str">
            <v>CALI</v>
          </cell>
          <cell r="E1076" t="str">
            <v>INTERMEDIA</v>
          </cell>
          <cell r="F1076" t="str">
            <v>TERRESTRE</v>
          </cell>
          <cell r="G1076" t="str">
            <v>CALI</v>
          </cell>
        </row>
        <row r="1077">
          <cell r="A1077">
            <v>76670</v>
          </cell>
          <cell r="B1077" t="str">
            <v>SAN PEDRO</v>
          </cell>
          <cell r="C1077" t="str">
            <v>VALLE DEL CAUCA</v>
          </cell>
          <cell r="D1077" t="str">
            <v>CALI</v>
          </cell>
          <cell r="E1077" t="str">
            <v>INTERMEDIA</v>
          </cell>
          <cell r="F1077" t="str">
            <v>TERRESTRE</v>
          </cell>
          <cell r="G1077" t="str">
            <v>CALI</v>
          </cell>
        </row>
        <row r="1078">
          <cell r="A1078">
            <v>76020</v>
          </cell>
          <cell r="B1078" t="str">
            <v>ALCALA</v>
          </cell>
          <cell r="C1078" t="str">
            <v>VALLE DEL CAUCA</v>
          </cell>
          <cell r="D1078" t="str">
            <v>PEREIRA</v>
          </cell>
          <cell r="E1078" t="str">
            <v>INTERMEDIA</v>
          </cell>
          <cell r="F1078" t="str">
            <v>TERRESTRE</v>
          </cell>
          <cell r="G1078" t="str">
            <v>ARMENIA</v>
          </cell>
        </row>
        <row r="1079">
          <cell r="A1079">
            <v>76036</v>
          </cell>
          <cell r="B1079" t="str">
            <v>ANDALUCIA</v>
          </cell>
          <cell r="C1079" t="str">
            <v>VALLE DEL CAUCA</v>
          </cell>
          <cell r="D1079" t="str">
            <v>CALI</v>
          </cell>
          <cell r="E1079" t="str">
            <v>INTERMEDIA</v>
          </cell>
          <cell r="F1079" t="str">
            <v>TERRESTRE</v>
          </cell>
          <cell r="G1079" t="str">
            <v>CALI</v>
          </cell>
        </row>
        <row r="1080">
          <cell r="A1080">
            <v>76041</v>
          </cell>
          <cell r="B1080" t="str">
            <v>ANSERMANUEVO</v>
          </cell>
          <cell r="C1080" t="str">
            <v>VALLE DEL CAUCA</v>
          </cell>
          <cell r="D1080" t="str">
            <v>PEREIRA</v>
          </cell>
          <cell r="E1080" t="str">
            <v>INTERMEDIA</v>
          </cell>
          <cell r="F1080" t="str">
            <v>TERRESTRE</v>
          </cell>
          <cell r="G1080" t="str">
            <v>PEREIRA</v>
          </cell>
        </row>
        <row r="1081">
          <cell r="A1081">
            <v>76109</v>
          </cell>
          <cell r="B1081" t="str">
            <v>BUENAVENTURA</v>
          </cell>
          <cell r="C1081" t="str">
            <v>VALLE DEL CAUCA</v>
          </cell>
          <cell r="D1081" t="str">
            <v>CALI</v>
          </cell>
          <cell r="E1081" t="str">
            <v>LEJANA</v>
          </cell>
          <cell r="F1081" t="str">
            <v>TERRESTRE</v>
          </cell>
          <cell r="G1081" t="str">
            <v>CALI</v>
          </cell>
        </row>
        <row r="1082">
          <cell r="A1082">
            <v>76113</v>
          </cell>
          <cell r="B1082" t="str">
            <v>BUGALAGRANDE</v>
          </cell>
          <cell r="C1082" t="str">
            <v>VALLE DEL CAUCA</v>
          </cell>
          <cell r="D1082" t="str">
            <v>CALI</v>
          </cell>
          <cell r="E1082" t="str">
            <v>INTERMEDIA</v>
          </cell>
          <cell r="F1082" t="str">
            <v>TERRESTRE</v>
          </cell>
          <cell r="G1082" t="str">
            <v>CALI</v>
          </cell>
        </row>
        <row r="1083">
          <cell r="A1083">
            <v>76122</v>
          </cell>
          <cell r="B1083" t="str">
            <v>CAICEDONIA</v>
          </cell>
          <cell r="C1083" t="str">
            <v>VALLE DEL CAUCA</v>
          </cell>
          <cell r="D1083" t="str">
            <v>PEREIRA</v>
          </cell>
          <cell r="E1083" t="str">
            <v>INTERMEDIA</v>
          </cell>
          <cell r="F1083" t="str">
            <v>TERRESTRE</v>
          </cell>
          <cell r="G1083" t="str">
            <v>ARMENIA</v>
          </cell>
        </row>
        <row r="1084">
          <cell r="A1084">
            <v>76001</v>
          </cell>
          <cell r="B1084" t="str">
            <v>CALI</v>
          </cell>
          <cell r="C1084" t="str">
            <v>VALLE DEL CAUCA</v>
          </cell>
          <cell r="D1084" t="str">
            <v>CALI</v>
          </cell>
          <cell r="E1084" t="str">
            <v>PRINCIPAL</v>
          </cell>
          <cell r="F1084" t="str">
            <v>TERRESTRE</v>
          </cell>
          <cell r="G1084" t="str">
            <v>CALI</v>
          </cell>
        </row>
        <row r="1085">
          <cell r="A1085">
            <v>76126</v>
          </cell>
          <cell r="B1085" t="str">
            <v>CALIMA</v>
          </cell>
          <cell r="C1085" t="str">
            <v>VALLE DEL CAUCA</v>
          </cell>
          <cell r="D1085" t="str">
            <v>CALI</v>
          </cell>
          <cell r="E1085" t="str">
            <v>INTERMEDIA</v>
          </cell>
          <cell r="F1085" t="str">
            <v>TERRESTRE</v>
          </cell>
          <cell r="G1085" t="str">
            <v>CALI</v>
          </cell>
        </row>
        <row r="1086">
          <cell r="A1086">
            <v>76147</v>
          </cell>
          <cell r="B1086" t="str">
            <v>CARTAGO</v>
          </cell>
          <cell r="C1086" t="str">
            <v>VALLE DEL CAUCA</v>
          </cell>
          <cell r="D1086" t="str">
            <v>PEREIRA</v>
          </cell>
          <cell r="E1086" t="str">
            <v>PRINCIPAL</v>
          </cell>
          <cell r="F1086" t="str">
            <v>TERRESTRE</v>
          </cell>
          <cell r="G1086" t="str">
            <v>CALI</v>
          </cell>
        </row>
        <row r="1087">
          <cell r="A1087">
            <v>76233</v>
          </cell>
          <cell r="B1087" t="str">
            <v>DAGUA</v>
          </cell>
          <cell r="C1087" t="str">
            <v>VALLE DEL CAUCA</v>
          </cell>
          <cell r="D1087" t="str">
            <v>CALI</v>
          </cell>
          <cell r="E1087" t="str">
            <v>INTERMEDIA</v>
          </cell>
          <cell r="F1087" t="str">
            <v>TERRESTRE</v>
          </cell>
          <cell r="G1087" t="str">
            <v>CALI</v>
          </cell>
        </row>
        <row r="1088">
          <cell r="A1088">
            <v>76243</v>
          </cell>
          <cell r="B1088" t="str">
            <v>EL AGUILA</v>
          </cell>
          <cell r="C1088" t="str">
            <v>VALLE DEL CAUCA</v>
          </cell>
          <cell r="D1088" t="str">
            <v>PEREIRA</v>
          </cell>
          <cell r="E1088" t="str">
            <v>LEJANA</v>
          </cell>
          <cell r="F1088" t="str">
            <v>TERRESTRE</v>
          </cell>
          <cell r="G1088" t="str">
            <v>PEREIRA</v>
          </cell>
        </row>
        <row r="1089">
          <cell r="A1089">
            <v>76246</v>
          </cell>
          <cell r="B1089" t="str">
            <v>EL CAIRO</v>
          </cell>
          <cell r="C1089" t="str">
            <v>VALLE DEL CAUCA</v>
          </cell>
          <cell r="D1089" t="str">
            <v>PEREIRA</v>
          </cell>
          <cell r="E1089" t="str">
            <v>LEJANA</v>
          </cell>
          <cell r="F1089" t="str">
            <v>TERRESTRE</v>
          </cell>
          <cell r="G1089" t="str">
            <v>PEREIRA</v>
          </cell>
        </row>
        <row r="1090">
          <cell r="A1090">
            <v>76248</v>
          </cell>
          <cell r="B1090" t="str">
            <v>EL CERRITO</v>
          </cell>
          <cell r="C1090" t="str">
            <v>VALLE DEL CAUCA</v>
          </cell>
          <cell r="D1090" t="str">
            <v>CALI</v>
          </cell>
          <cell r="E1090" t="str">
            <v>INTERMEDIA</v>
          </cell>
          <cell r="F1090" t="str">
            <v>TERRESTRE</v>
          </cell>
          <cell r="G1090" t="str">
            <v>CALI</v>
          </cell>
        </row>
        <row r="1091">
          <cell r="A1091">
            <v>76250</v>
          </cell>
          <cell r="B1091" t="str">
            <v>EL DOVIO</v>
          </cell>
          <cell r="C1091" t="str">
            <v>VALLE DEL CAUCA</v>
          </cell>
          <cell r="D1091" t="str">
            <v>PEREIRA</v>
          </cell>
          <cell r="E1091" t="str">
            <v>INTERMEDIA</v>
          </cell>
          <cell r="F1091" t="str">
            <v>TERRESTRE</v>
          </cell>
          <cell r="G1091" t="str">
            <v>PEREIRA</v>
          </cell>
        </row>
        <row r="1092">
          <cell r="A1092">
            <v>76275</v>
          </cell>
          <cell r="B1092" t="str">
            <v>FLORIDA</v>
          </cell>
          <cell r="C1092" t="str">
            <v>VALLE DEL CAUCA</v>
          </cell>
          <cell r="D1092" t="str">
            <v>CALI</v>
          </cell>
          <cell r="E1092" t="str">
            <v>INTERMEDIA</v>
          </cell>
          <cell r="F1092" t="str">
            <v>TERRESTRE</v>
          </cell>
          <cell r="G1092" t="str">
            <v>CALI</v>
          </cell>
        </row>
        <row r="1093">
          <cell r="A1093">
            <v>76306</v>
          </cell>
          <cell r="B1093" t="str">
            <v>GINEBRA</v>
          </cell>
          <cell r="C1093" t="str">
            <v>VALLE DEL CAUCA</v>
          </cell>
          <cell r="D1093" t="str">
            <v>CALI</v>
          </cell>
          <cell r="E1093" t="str">
            <v>INTERMEDIA</v>
          </cell>
          <cell r="F1093" t="str">
            <v>TERRESTRE</v>
          </cell>
          <cell r="G1093" t="str">
            <v>CALI</v>
          </cell>
        </row>
        <row r="1094">
          <cell r="A1094">
            <v>76318</v>
          </cell>
          <cell r="B1094" t="str">
            <v>GUACARI</v>
          </cell>
          <cell r="C1094" t="str">
            <v>VALLE DEL CAUCA</v>
          </cell>
          <cell r="D1094" t="str">
            <v>CALI</v>
          </cell>
          <cell r="E1094" t="str">
            <v>INTERMEDIA</v>
          </cell>
          <cell r="F1094" t="str">
            <v>TERRESTRE</v>
          </cell>
          <cell r="G1094" t="str">
            <v>CALI</v>
          </cell>
        </row>
        <row r="1095">
          <cell r="A1095">
            <v>76111</v>
          </cell>
          <cell r="B1095" t="str">
            <v>GUADALAJARA DE BUGA</v>
          </cell>
          <cell r="C1095" t="str">
            <v>VALLE DEL CAUCA</v>
          </cell>
          <cell r="D1095" t="str">
            <v>CALI</v>
          </cell>
          <cell r="E1095" t="str">
            <v>INTERMEDIA</v>
          </cell>
          <cell r="F1095" t="str">
            <v>TERRESTRE</v>
          </cell>
          <cell r="G1095" t="str">
            <v>CALI</v>
          </cell>
        </row>
        <row r="1096">
          <cell r="A1096">
            <v>76364</v>
          </cell>
          <cell r="B1096" t="str">
            <v>JAMUNDI</v>
          </cell>
          <cell r="C1096" t="str">
            <v>VALLE DEL CAUCA</v>
          </cell>
          <cell r="D1096" t="str">
            <v>CALI</v>
          </cell>
          <cell r="E1096" t="str">
            <v>INTERMEDIA</v>
          </cell>
          <cell r="F1096" t="str">
            <v>TERRESTRE</v>
          </cell>
          <cell r="G1096" t="str">
            <v>CALI</v>
          </cell>
        </row>
        <row r="1097">
          <cell r="A1097">
            <v>76377</v>
          </cell>
          <cell r="B1097" t="str">
            <v>LA CUMBRE</v>
          </cell>
          <cell r="C1097" t="str">
            <v>VALLE DEL CAUCA</v>
          </cell>
          <cell r="D1097" t="str">
            <v>CALI</v>
          </cell>
          <cell r="E1097" t="str">
            <v>INTERMEDIA</v>
          </cell>
          <cell r="F1097" t="str">
            <v>TERRESTRE</v>
          </cell>
          <cell r="G1097" t="str">
            <v>CALI</v>
          </cell>
        </row>
        <row r="1098">
          <cell r="A1098">
            <v>76497</v>
          </cell>
          <cell r="B1098" t="str">
            <v>OBANDO</v>
          </cell>
          <cell r="C1098" t="str">
            <v>VALLE DEL CAUCA</v>
          </cell>
          <cell r="D1098" t="str">
            <v>PEREIRA</v>
          </cell>
          <cell r="E1098" t="str">
            <v>INTERMEDIA</v>
          </cell>
          <cell r="F1098" t="str">
            <v>TERRESTRE</v>
          </cell>
          <cell r="G1098" t="str">
            <v>PEREIRA</v>
          </cell>
        </row>
        <row r="1099">
          <cell r="A1099">
            <v>76520</v>
          </cell>
          <cell r="B1099" t="str">
            <v>PALMIRA</v>
          </cell>
          <cell r="C1099" t="str">
            <v>VALLE DEL CAUCA</v>
          </cell>
          <cell r="D1099" t="str">
            <v>CALI</v>
          </cell>
          <cell r="E1099" t="str">
            <v>PRINCIPAL</v>
          </cell>
          <cell r="F1099" t="str">
            <v>TERRESTRE</v>
          </cell>
          <cell r="G1099" t="str">
            <v>CALI</v>
          </cell>
        </row>
        <row r="1100">
          <cell r="A1100">
            <v>76563</v>
          </cell>
          <cell r="B1100" t="str">
            <v>PRADERA</v>
          </cell>
          <cell r="C1100" t="str">
            <v>VALLE DEL CAUCA</v>
          </cell>
          <cell r="D1100" t="str">
            <v>CALI</v>
          </cell>
          <cell r="E1100" t="str">
            <v>INTERMEDIA</v>
          </cell>
          <cell r="F1100" t="str">
            <v>TERRESTRE</v>
          </cell>
          <cell r="G1100" t="str">
            <v>CALI</v>
          </cell>
        </row>
        <row r="1101">
          <cell r="A1101">
            <v>76616</v>
          </cell>
          <cell r="B1101" t="str">
            <v>RIOFRIO</v>
          </cell>
          <cell r="C1101" t="str">
            <v>VALLE DEL CAUCA</v>
          </cell>
          <cell r="D1101" t="str">
            <v>CALI</v>
          </cell>
          <cell r="E1101" t="str">
            <v>INTERMEDIA</v>
          </cell>
          <cell r="F1101" t="str">
            <v>TERRESTRE</v>
          </cell>
          <cell r="G1101" t="str">
            <v>CALI</v>
          </cell>
        </row>
        <row r="1102">
          <cell r="A1102">
            <v>76622</v>
          </cell>
          <cell r="B1102" t="str">
            <v>ROLDANILLO</v>
          </cell>
          <cell r="C1102" t="str">
            <v>VALLE DEL CAUCA</v>
          </cell>
          <cell r="D1102" t="str">
            <v>PEREIRA</v>
          </cell>
          <cell r="E1102" t="str">
            <v>LEJANA</v>
          </cell>
          <cell r="F1102" t="str">
            <v>TERRESTRE</v>
          </cell>
          <cell r="G1102" t="str">
            <v>PEREIRA</v>
          </cell>
        </row>
        <row r="1103">
          <cell r="A1103">
            <v>76736</v>
          </cell>
          <cell r="B1103" t="str">
            <v>SEVILLA</v>
          </cell>
          <cell r="C1103" t="str">
            <v>VALLE DEL CAUCA</v>
          </cell>
          <cell r="D1103" t="str">
            <v>PEREIRA</v>
          </cell>
          <cell r="E1103" t="str">
            <v>INTERMEDIA</v>
          </cell>
          <cell r="F1103" t="str">
            <v>TERRESTRE</v>
          </cell>
          <cell r="G1103" t="str">
            <v>ARMENIA</v>
          </cell>
        </row>
        <row r="1104">
          <cell r="A1104">
            <v>76823</v>
          </cell>
          <cell r="B1104" t="str">
            <v>TORO</v>
          </cell>
          <cell r="C1104" t="str">
            <v>VALLE DEL CAUCA</v>
          </cell>
          <cell r="D1104" t="str">
            <v>PEREIRA</v>
          </cell>
          <cell r="E1104" t="str">
            <v>INTERMEDIA</v>
          </cell>
          <cell r="F1104" t="str">
            <v>TERRESTRE</v>
          </cell>
          <cell r="G1104" t="str">
            <v>PEREIRA</v>
          </cell>
        </row>
        <row r="1105">
          <cell r="A1105">
            <v>76828</v>
          </cell>
          <cell r="B1105" t="str">
            <v>TRUJILLO</v>
          </cell>
          <cell r="C1105" t="str">
            <v>VALLE DEL CAUCA</v>
          </cell>
          <cell r="D1105" t="str">
            <v>PEREIRA</v>
          </cell>
          <cell r="E1105" t="str">
            <v>INTERMEDIA</v>
          </cell>
          <cell r="F1105" t="str">
            <v>TERRESTRE</v>
          </cell>
          <cell r="G1105" t="str">
            <v>PEREIRA</v>
          </cell>
        </row>
        <row r="1106">
          <cell r="A1106">
            <v>76834</v>
          </cell>
          <cell r="B1106" t="str">
            <v>TULUA</v>
          </cell>
          <cell r="C1106" t="str">
            <v>VALLE DEL CAUCA</v>
          </cell>
          <cell r="D1106" t="str">
            <v>CALI</v>
          </cell>
          <cell r="E1106" t="str">
            <v>INTERMEDIA</v>
          </cell>
          <cell r="F1106" t="str">
            <v>TERRESTRE</v>
          </cell>
          <cell r="G1106" t="str">
            <v>CALI</v>
          </cell>
        </row>
        <row r="1107">
          <cell r="A1107">
            <v>76845</v>
          </cell>
          <cell r="B1107" t="str">
            <v>ULLOA</v>
          </cell>
          <cell r="C1107" t="str">
            <v>VALLE DEL CAUCA</v>
          </cell>
          <cell r="D1107" t="str">
            <v>PEREIRA</v>
          </cell>
          <cell r="E1107" t="str">
            <v>INTERMEDIA</v>
          </cell>
          <cell r="F1107" t="str">
            <v>TERRESTRE</v>
          </cell>
          <cell r="G1107" t="str">
            <v>PEREIRA</v>
          </cell>
        </row>
        <row r="1108">
          <cell r="A1108">
            <v>76863</v>
          </cell>
          <cell r="B1108" t="str">
            <v>VERSALLES</v>
          </cell>
          <cell r="C1108" t="str">
            <v>VALLE DEL CAUCA</v>
          </cell>
          <cell r="D1108" t="str">
            <v>PEREIRA</v>
          </cell>
          <cell r="E1108" t="str">
            <v>LEJANA</v>
          </cell>
          <cell r="F1108" t="str">
            <v>TERRESTRE</v>
          </cell>
          <cell r="G1108" t="str">
            <v>PEREIRA</v>
          </cell>
        </row>
        <row r="1109">
          <cell r="A1109">
            <v>76869</v>
          </cell>
          <cell r="B1109" t="str">
            <v>VIJES</v>
          </cell>
          <cell r="C1109" t="str">
            <v>VALLE DEL CAUCA</v>
          </cell>
          <cell r="D1109" t="str">
            <v>CALI</v>
          </cell>
          <cell r="E1109" t="str">
            <v>INTERMEDIA</v>
          </cell>
          <cell r="F1109" t="str">
            <v>TERRESTRE</v>
          </cell>
          <cell r="G1109" t="str">
            <v>CALI</v>
          </cell>
        </row>
        <row r="1110">
          <cell r="A1110">
            <v>76890</v>
          </cell>
          <cell r="B1110" t="str">
            <v>YOTOCO</v>
          </cell>
          <cell r="C1110" t="str">
            <v>VALLE DEL CAUCA</v>
          </cell>
          <cell r="D1110" t="str">
            <v>CALI</v>
          </cell>
          <cell r="E1110" t="str">
            <v>INTERMEDIA</v>
          </cell>
          <cell r="F1110" t="str">
            <v>TERRESTRE</v>
          </cell>
          <cell r="G1110" t="str">
            <v>CALI</v>
          </cell>
        </row>
        <row r="1111">
          <cell r="A1111">
            <v>76892</v>
          </cell>
          <cell r="B1111" t="str">
            <v>YUMBO</v>
          </cell>
          <cell r="C1111" t="str">
            <v>VALLE DEL CAUCA</v>
          </cell>
          <cell r="D1111" t="str">
            <v>CALI</v>
          </cell>
          <cell r="E1111" t="str">
            <v>PRINCIPAL</v>
          </cell>
          <cell r="F1111" t="str">
            <v>TERRESTRE</v>
          </cell>
          <cell r="G1111" t="str">
            <v>CALI</v>
          </cell>
        </row>
        <row r="1112">
          <cell r="A1112">
            <v>76895</v>
          </cell>
          <cell r="B1112" t="str">
            <v>ZARZAL</v>
          </cell>
          <cell r="C1112" t="str">
            <v>VALLE DEL CAUCA</v>
          </cell>
          <cell r="D1112" t="str">
            <v>PEREIRA</v>
          </cell>
          <cell r="E1112" t="str">
            <v>LEJANA</v>
          </cell>
          <cell r="F1112" t="str">
            <v>TERRESTRE</v>
          </cell>
          <cell r="G1112" t="str">
            <v>PEREIRA</v>
          </cell>
        </row>
        <row r="1113">
          <cell r="A1113">
            <v>97161</v>
          </cell>
          <cell r="B1113" t="str">
            <v>CARURU</v>
          </cell>
          <cell r="C1113" t="str">
            <v>VAUPES</v>
          </cell>
          <cell r="D1113" t="str">
            <v>VILLAVICENCIO</v>
          </cell>
          <cell r="E1113" t="str">
            <v>LEJANA</v>
          </cell>
          <cell r="F1113" t="str">
            <v>AEREO</v>
          </cell>
          <cell r="G1113" t="str">
            <v>VILLAVICENCIO</v>
          </cell>
        </row>
        <row r="1114">
          <cell r="A1114">
            <v>97001</v>
          </cell>
          <cell r="B1114" t="str">
            <v>MITU</v>
          </cell>
          <cell r="C1114" t="str">
            <v>VAUPES</v>
          </cell>
          <cell r="D1114" t="str">
            <v>BOGOTA</v>
          </cell>
          <cell r="E1114" t="str">
            <v>LEJANA</v>
          </cell>
          <cell r="F1114" t="str">
            <v>AEREO</v>
          </cell>
          <cell r="G1114" t="str">
            <v>BOGOTA</v>
          </cell>
        </row>
        <row r="1115">
          <cell r="A1115">
            <v>97511</v>
          </cell>
          <cell r="B1115" t="str">
            <v>PACOA</v>
          </cell>
          <cell r="C1115" t="str">
            <v>VAUPES</v>
          </cell>
          <cell r="D1115" t="str">
            <v>VILLAVICENCIO</v>
          </cell>
          <cell r="E1115" t="str">
            <v>LEJANA</v>
          </cell>
          <cell r="F1115" t="str">
            <v>AEREO</v>
          </cell>
          <cell r="G1115" t="str">
            <v>VILLAVICENCIO</v>
          </cell>
        </row>
        <row r="1116">
          <cell r="A1116">
            <v>97777</v>
          </cell>
          <cell r="B1116" t="str">
            <v>PAPUNAUA</v>
          </cell>
          <cell r="C1116" t="str">
            <v>VAUPES</v>
          </cell>
          <cell r="D1116" t="str">
            <v>VILLAVICENCIO</v>
          </cell>
          <cell r="E1116" t="str">
            <v>LEJANA</v>
          </cell>
          <cell r="F1116" t="str">
            <v>AEREO</v>
          </cell>
          <cell r="G1116" t="str">
            <v>VILLAVICENCIO</v>
          </cell>
        </row>
        <row r="1117">
          <cell r="A1117">
            <v>97666</v>
          </cell>
          <cell r="B1117" t="str">
            <v>TARAIRA</v>
          </cell>
          <cell r="C1117" t="str">
            <v>VAUPES</v>
          </cell>
          <cell r="D1117" t="str">
            <v>VILLAVICENCIO</v>
          </cell>
          <cell r="E1117" t="str">
            <v>LEJANA</v>
          </cell>
          <cell r="F1117" t="str">
            <v>AEREO</v>
          </cell>
          <cell r="G1117" t="str">
            <v>VILLAVICENCIO</v>
          </cell>
        </row>
        <row r="1118">
          <cell r="A1118">
            <v>97889</v>
          </cell>
          <cell r="B1118" t="str">
            <v>YAVARATE</v>
          </cell>
          <cell r="C1118" t="str">
            <v>VAUPES</v>
          </cell>
          <cell r="D1118" t="str">
            <v>VILLAVICENCIO</v>
          </cell>
          <cell r="E1118" t="str">
            <v>LEJANA</v>
          </cell>
          <cell r="F1118" t="str">
            <v>AEREO</v>
          </cell>
          <cell r="G1118" t="str">
            <v>VILLAVICENCIO</v>
          </cell>
        </row>
        <row r="1119">
          <cell r="A1119">
            <v>99773</v>
          </cell>
          <cell r="B1119" t="str">
            <v>CUMARIBO</v>
          </cell>
          <cell r="C1119" t="str">
            <v>VICHADA</v>
          </cell>
          <cell r="D1119" t="str">
            <v>VILLAVICENCIO</v>
          </cell>
          <cell r="E1119" t="str">
            <v>LEJANA</v>
          </cell>
          <cell r="F1119" t="str">
            <v>AEREO</v>
          </cell>
          <cell r="G1119" t="str">
            <v>VILLAVICENCIO</v>
          </cell>
        </row>
        <row r="1120">
          <cell r="A1120">
            <v>99524</v>
          </cell>
          <cell r="B1120" t="str">
            <v>LA PRIMAVERA</v>
          </cell>
          <cell r="C1120" t="str">
            <v>VICHADA</v>
          </cell>
          <cell r="D1120" t="str">
            <v>VILLAVICENCIO</v>
          </cell>
          <cell r="E1120" t="str">
            <v>LEJANA</v>
          </cell>
          <cell r="F1120" t="str">
            <v>AEREO</v>
          </cell>
          <cell r="G1120" t="str">
            <v>VILLAVICENCIO</v>
          </cell>
        </row>
        <row r="1121">
          <cell r="A1121">
            <v>99001</v>
          </cell>
          <cell r="B1121" t="str">
            <v>PUERTO CARREÑO</v>
          </cell>
          <cell r="C1121" t="str">
            <v>VICHADA</v>
          </cell>
          <cell r="D1121" t="str">
            <v>BOGOTA</v>
          </cell>
          <cell r="E1121" t="str">
            <v>LEJANA</v>
          </cell>
          <cell r="F1121" t="str">
            <v>AEREO</v>
          </cell>
          <cell r="G1121" t="str">
            <v>BOGOTA</v>
          </cell>
        </row>
        <row r="1122">
          <cell r="A1122">
            <v>99624</v>
          </cell>
          <cell r="B1122" t="str">
            <v>SANTA ROSALIA</v>
          </cell>
          <cell r="C1122" t="str">
            <v>VICHADA</v>
          </cell>
          <cell r="D1122" t="str">
            <v>VILLAVICENCIO</v>
          </cell>
          <cell r="E1122" t="str">
            <v>LEJANA</v>
          </cell>
          <cell r="F1122" t="str">
            <v>AEREO</v>
          </cell>
          <cell r="G1122" t="str">
            <v>VILLAVICENCIO</v>
          </cell>
        </row>
        <row r="1123">
          <cell r="A1123">
            <v>23815</v>
          </cell>
          <cell r="B1123" t="str">
            <v>TUCHIN</v>
          </cell>
          <cell r="C1123" t="str">
            <v>CORDOBA</v>
          </cell>
          <cell r="D1123" t="str">
            <v>MONTERIA</v>
          </cell>
          <cell r="E1123" t="str">
            <v>LEJANA</v>
          </cell>
          <cell r="F1123" t="str">
            <v>TERRESTRE</v>
          </cell>
          <cell r="G1123" t="str">
            <v>MONTERIA</v>
          </cell>
        </row>
        <row r="1124">
          <cell r="A1124">
            <v>23682</v>
          </cell>
          <cell r="B1124" t="str">
            <v>SAN JOSE DE URE</v>
          </cell>
          <cell r="C1124" t="str">
            <v>CORDOBA</v>
          </cell>
          <cell r="D1124" t="str">
            <v>MONTERIA</v>
          </cell>
          <cell r="E1124" t="str">
            <v>LEJANA</v>
          </cell>
          <cell r="F1124" t="str">
            <v>TERRESTRE</v>
          </cell>
          <cell r="G1124" t="str">
            <v>MONTERIA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35.948514699077" createdVersion="8" refreshedVersion="8" minRefreshableVersion="3" recordCount="3134" xr:uid="{39D69267-AEF5-4A51-BC7A-7824365F499D}">
  <cacheSource type="worksheet">
    <worksheetSource ref="A1:R1048576" sheet="MIGRACIONES LINEACOM"/>
  </cacheSource>
  <cacheFields count="19">
    <cacheField name="Codigo_Punto" numFmtId="0">
      <sharedItems containsString="0" containsBlank="1" containsNumber="1" containsInteger="1" minValue="10068" maxValue="81201"/>
    </cacheField>
    <cacheField name="Nombre_Punto" numFmtId="0">
      <sharedItems containsBlank="1"/>
    </cacheField>
    <cacheField name="Nit_CC_Persona" numFmtId="0">
      <sharedItems containsString="0" containsBlank="1" containsNumber="1" containsInteger="1" minValue="356439" maxValue="1243138954"/>
    </cacheField>
    <cacheField name="TelefonoCB" numFmtId="0">
      <sharedItems containsBlank="1"/>
    </cacheField>
    <cacheField name="Celular_Contacto1" numFmtId="0">
      <sharedItems containsBlank="1"/>
    </cacheField>
    <cacheField name="Celular_dueno" numFmtId="0">
      <sharedItems containsBlank="1"/>
    </cacheField>
    <cacheField name="Dirección_Establecimiento" numFmtId="0">
      <sharedItems containsBlank="1"/>
    </cacheField>
    <cacheField name="Latitud" numFmtId="0">
      <sharedItems containsBlank="1"/>
    </cacheField>
    <cacheField name="Longitud" numFmtId="0">
      <sharedItems containsBlank="1"/>
    </cacheField>
    <cacheField name="Departamento" numFmtId="0">
      <sharedItems containsBlank="1"/>
    </cacheField>
    <cacheField name="Municipio" numFmtId="0">
      <sharedItems containsBlank="1"/>
    </cacheField>
    <cacheField name="Corregimiento" numFmtId="0">
      <sharedItems containsBlank="1"/>
    </cacheField>
    <cacheField name="Codigo_Dane" numFmtId="0">
      <sharedItems containsString="0" containsBlank="1" containsNumber="1" containsInteger="1" minValue="5001" maxValue="85410"/>
    </cacheField>
    <cacheField name="Fecha_Migracion" numFmtId="0">
      <sharedItems containsBlank="1"/>
    </cacheField>
    <cacheField name="Cantidad de quipos por CB" numFmtId="0">
      <sharedItems containsString="0" containsBlank="1" containsNumber="1" containsInteger="1" minValue="1" maxValue="5"/>
    </cacheField>
    <cacheField name="Bodega" numFmtId="0">
      <sharedItems containsBlank="1"/>
    </cacheField>
    <cacheField name="Centro_de_Costos" numFmtId="0">
      <sharedItems containsBlank="1" count="8">
        <s v="WOMPI NOROCCIDENTE"/>
        <s v="WOMPI ORIENTE"/>
        <s v="WOMPI CENTRO"/>
        <s v="WOMPI SUROCCIDENTE"/>
        <s v="WOMPI SANTANDERES"/>
        <s v="WOMPI COSTA"/>
        <s v="WOMPI EJE CAFETERO"/>
        <m/>
      </sharedItems>
    </cacheField>
    <cacheField name="Valor por datáfono" numFmtId="0">
      <sharedItems containsString="0" containsBlank="1" containsNumber="1" minValue="37313" maxValue="49671.7"/>
    </cacheField>
    <cacheField name="valor total" numFmtId="0">
      <sharedItems containsString="0" containsBlank="1" containsNumber="1" minValue="37313" maxValue="141213678.1000020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34">
  <r>
    <n v="16215"/>
    <s v="LA MINA ENVIGADO"/>
    <n v="98628312"/>
    <s v="3315508"/>
    <s v="3194683532"/>
    <s v="3194683532"/>
    <s v=" CL 40C SUR  29-45"/>
    <s v="6.1607414"/>
    <s v="-75.5829579"/>
    <s v="ANTIOQUIA"/>
    <s v="ENVIGADO"/>
    <s v="ENVIGADO"/>
    <n v="5266"/>
    <s v="2025-09-01"/>
    <n v="1"/>
    <s v="MEDELLIN"/>
    <x v="0"/>
    <n v="37313"/>
    <n v="37313"/>
  </r>
  <r>
    <n v="17270"/>
    <s v="BARRIO SAN SIMON PARTE ALTA IBAGUE"/>
    <n v="28558824"/>
    <s v="2607325"/>
    <s v="3128765856"/>
    <s v="3128765856"/>
    <s v=" CR 5  31-25 P-1"/>
    <s v="4.4395836"/>
    <s v="-75.2211161"/>
    <s v="TOLIMA"/>
    <s v="IBAGUÉ"/>
    <s v="IBAGUÉ"/>
    <n v="73001"/>
    <s v="2025-09-01"/>
    <n v="1"/>
    <s v="IBAGUE"/>
    <x v="1"/>
    <n v="49671.7"/>
    <n v="49671.7"/>
  </r>
  <r>
    <n v="17214"/>
    <s v="BARRIO LIMONAR IBAGUE"/>
    <n v="65775172"/>
    <s v="2652550"/>
    <s v="3005704710"/>
    <s v="3005704710"/>
    <s v=" CR 6   57-29"/>
    <s v="4.4364232"/>
    <s v="-75.2042940"/>
    <s v="TOLIMA"/>
    <s v="IBAGUÉ"/>
    <s v="IBAGUÉ"/>
    <n v="73001"/>
    <s v="2025-09-01"/>
    <n v="1"/>
    <s v="IBAGUE"/>
    <x v="1"/>
    <n v="49671.7"/>
    <n v="49671.7"/>
  </r>
  <r>
    <n v="23640"/>
    <s v="BARRIO CENTRO LXIII - NEIVA"/>
    <n v="55151049"/>
    <s v="8734880"/>
    <s v="3183118290"/>
    <s v="3183118290"/>
    <s v=" CR 5 2 49"/>
    <s v="2.9225901"/>
    <s v="-75.2872341"/>
    <s v="HUILA"/>
    <s v="NEIVA"/>
    <s v="NEIVA"/>
    <n v="41001"/>
    <s v="2025-09-01"/>
    <n v="1"/>
    <s v="NEIVA"/>
    <x v="1"/>
    <n v="49671.7"/>
    <n v="49671.7"/>
  </r>
  <r>
    <n v="30165"/>
    <s v="BARRIO MARTIRES NEIVA"/>
    <n v="1075227247"/>
    <s v="4272363"/>
    <s v="3163482407"/>
    <s v="3163482407"/>
    <s v=" CR 4 14 43 P1"/>
    <s v="2.9323638"/>
    <s v="-75.2919787"/>
    <s v="HUILA"/>
    <s v="NEIVA"/>
    <s v="NEIVA"/>
    <n v="41001"/>
    <s v="2025-09-01"/>
    <n v="1"/>
    <s v="NEIVA"/>
    <x v="1"/>
    <n v="49671.7"/>
    <n v="49671.7"/>
  </r>
  <r>
    <n v="32425"/>
    <s v="BARRIO SIERRA MORENA 1"/>
    <n v="79527417"/>
    <s v="7611496"/>
    <s v="3007232547"/>
    <s v="3007232547"/>
    <s v="CL 72 C SUR #47-B 03"/>
    <s v="4.5732093"/>
    <s v="-74.1631366"/>
    <s v="CUNDINAMARCA"/>
    <s v="BOGOTÁ"/>
    <s v="BOGOTÁ"/>
    <n v="11001"/>
    <s v="2025-09-01"/>
    <n v="1"/>
    <s v="BOGOTA"/>
    <x v="2"/>
    <n v="37313"/>
    <n v="37313"/>
  </r>
  <r>
    <n v="17912"/>
    <s v="BARRIO CLARITA BOTERO"/>
    <n v="28944812"/>
    <s v="2613149"/>
    <s v="3112170930"/>
    <s v="3112170930"/>
    <s v=" CL 17  20-57 CLARITA BOTERO"/>
    <s v="4.458155"/>
    <s v="-75.235233 "/>
    <s v="TOLIMA"/>
    <s v="IBAGUÉ"/>
    <s v="IBAGUÉ"/>
    <n v="73001"/>
    <s v="2025-09-01"/>
    <n v="1"/>
    <s v="IBAGUE"/>
    <x v="1"/>
    <n v="49671.7"/>
    <n v="49671.7"/>
  </r>
  <r>
    <n v="18193"/>
    <s v="BARRIO YOMASA III BOGOTA"/>
    <n v="1032386837"/>
    <s v="7612797"/>
    <s v="3118141001"/>
    <s v="3118141001"/>
    <s v="CR 9 81 - 35 SUR"/>
    <s v="4.50895"/>
    <s v="-74.1119"/>
    <s v="CUNDINAMARCA"/>
    <s v="BOGOTÁ"/>
    <s v="BOGOTÁ"/>
    <n v="11001"/>
    <s v="2025-09-01"/>
    <n v="1"/>
    <s v="BOGOTA"/>
    <x v="2"/>
    <n v="37313"/>
    <n v="37313"/>
  </r>
  <r>
    <n v="22125"/>
    <s v="BARRIO CC MONTERREY - MEDELLÍN"/>
    <n v="1152441599"/>
    <s v="3114029"/>
    <s v="3014006056"/>
    <s v="3014006056"/>
    <s v=" CR 48 10 45"/>
    <s v="6.2145264"/>
    <s v="-75.5766277"/>
    <s v="ANTIOQUIA"/>
    <s v="MEDELLÍN"/>
    <s v="MEDELLÍN"/>
    <n v="5001"/>
    <s v="2025-09-01"/>
    <n v="1"/>
    <s v="MEDELLIN"/>
    <x v="0"/>
    <n v="37313"/>
    <n v="37313"/>
  </r>
  <r>
    <n v="29202"/>
    <s v="BARRIO _x0009_FLORA INDUSTRIAL CALI"/>
    <n v="94404818"/>
    <s v="4466297"/>
    <s v="3117356269"/>
    <s v="3117356269"/>
    <s v="CL 58  5N - 80"/>
    <s v="3.4823609"/>
    <s v="-76.5038128"/>
    <s v="VALLE DEL CAUCA"/>
    <s v="CALI"/>
    <s v="SANTIAGO DE CALI"/>
    <n v="76001"/>
    <s v="2025-09-01"/>
    <n v="1"/>
    <s v="CALI"/>
    <x v="3"/>
    <n v="37313"/>
    <n v="37313"/>
  </r>
  <r>
    <n v="29177"/>
    <s v="BARRIO _x0009_AVENIDA LOS ESTUDIANTES  PASTO"/>
    <n v="94489262"/>
    <s v="7385051"/>
    <s v="3168200392"/>
    <s v="3168200392"/>
    <s v=" CL 20 35 23 AV LOS ESTUDIANTES DE PASTO "/>
    <s v="1.2258710"/>
    <s v="-77.2818730"/>
    <s v="NARIÑO"/>
    <s v="PASTO"/>
    <s v="SAN JUAN DE PASTO"/>
    <n v="52001"/>
    <s v="2025-09-01"/>
    <n v="1"/>
    <s v="PASTO"/>
    <x v="3"/>
    <n v="49671.7"/>
    <n v="49671.7"/>
  </r>
  <r>
    <n v="29309"/>
    <s v="BARRIO LA MINA 2 ENVIGADO"/>
    <n v="1037611518"/>
    <s v="5781314"/>
    <s v="3136150140"/>
    <s v="3136150140"/>
    <s v=" CL 41 SUR 25 20"/>
    <s v="6.1534070"/>
    <s v="-75.5845979"/>
    <s v="ANTIOQUIA"/>
    <s v="ENVIGADO"/>
    <s v="ENVIGADO"/>
    <n v="5266"/>
    <s v="2025-09-01"/>
    <n v="1"/>
    <s v="MEDELLIN"/>
    <x v="0"/>
    <n v="37313"/>
    <n v="37313"/>
  </r>
  <r>
    <n v="31446"/>
    <s v="BARRIO MANILA 2"/>
    <n v="70104732"/>
    <s v="3522357"/>
    <s v="3137861775"/>
    <s v="3137861775"/>
    <s v=" CR 43 B 14 06"/>
    <s v="6.2151860"/>
    <s v="-75.5709520"/>
    <s v="ANTIOQUIA"/>
    <s v="MEDELLÍN"/>
    <s v="MEDELLÍN"/>
    <n v="5001"/>
    <s v="2025-09-01"/>
    <n v="1"/>
    <s v="MEDELLIN"/>
    <x v="0"/>
    <n v="37313"/>
    <n v="37313"/>
  </r>
  <r>
    <n v="32590"/>
    <s v="BARRIO BELLO HORIZONTE POPAYAN 1"/>
    <n v="83238140"/>
    <s v="8369180"/>
    <s v="3122782434"/>
    <s v="3122782434"/>
    <s v=" CL 67  10 47 LC 3"/>
    <s v="2.483029"/>
    <s v="-76.56851"/>
    <s v="CAUCA"/>
    <s v="POPAYÁN"/>
    <s v="POPAYÁN"/>
    <n v="19001"/>
    <s v="2025-09-01"/>
    <n v="1"/>
    <s v="CALI"/>
    <x v="3"/>
    <n v="37313"/>
    <n v="37313"/>
  </r>
  <r>
    <n v="22582"/>
    <s v="EXXON BARRIO POBLADO II MEDELLÍN"/>
    <n v="900266776"/>
    <s v="3118011"/>
    <s v="3148326277"/>
    <s v="3148326277"/>
    <s v="CR 48 16 A 35"/>
    <s v="6.218483"/>
    <s v="-75.57626"/>
    <s v="ANTIOQUIA"/>
    <s v="MEDELLÍN"/>
    <s v="MEDELLÍN"/>
    <n v="5001"/>
    <s v="2025-09-01"/>
    <n v="1"/>
    <s v="MEDELLIN"/>
    <x v="0"/>
    <n v="37313"/>
    <n v="37313"/>
  </r>
  <r>
    <n v="34208"/>
    <s v="BARRIO LATINO CUCUTA 1"/>
    <n v="60364587"/>
    <s v="5834896"/>
    <s v="3155943891"/>
    <s v="3164343673"/>
    <s v=" CL 7 1 62"/>
    <s v="7.890614"/>
    <s v="-72.501007"/>
    <s v="NORTE DE SANTANDER"/>
    <s v="CÚCUTA"/>
    <s v="CÚCUTA"/>
    <n v="54001"/>
    <s v="2025-09-01"/>
    <n v="1"/>
    <s v="CUCUTA"/>
    <x v="4"/>
    <n v="49671.7"/>
    <n v="49671.7"/>
  </r>
  <r>
    <n v="34858"/>
    <s v="BARRIO SAN LUIS  1 CUCUTA"/>
    <n v="88257373"/>
    <m/>
    <s v="3123021289"/>
    <s v="3123021289"/>
    <s v=" CL 11 3 100"/>
    <s v="7.8943099"/>
    <s v="-72.4818543"/>
    <s v="NORTE DE SANTANDER"/>
    <s v="CÚCUTA"/>
    <s v="CÚCUTA"/>
    <n v="54001"/>
    <s v="2025-09-01"/>
    <n v="1"/>
    <s v="CUCUTA"/>
    <x v="4"/>
    <n v="49671.7"/>
    <n v="49671.7"/>
  </r>
  <r>
    <n v="24837"/>
    <s v="URB TRIGAL DEL NORTE - CÚCUTA"/>
    <n v="1093749298"/>
    <s v="5814811"/>
    <s v="3138064694"/>
    <s v="3138064694"/>
    <s v="CL 3  1N 16 BRR TRIGAL DEL NORTE"/>
    <s v="7.946933"/>
    <s v="-72.50599556"/>
    <s v="NORTE DE SANTANDER"/>
    <s v="CÚCUTA"/>
    <s v="CÚCUTA"/>
    <n v="54001"/>
    <s v="2025-09-01"/>
    <n v="1"/>
    <s v="CUCUTA"/>
    <x v="4"/>
    <n v="49671.7"/>
    <n v="49671.7"/>
  </r>
  <r>
    <n v="25999"/>
    <s v="BARRIO FLORENCIA VILLACICENCIO"/>
    <n v="40326123"/>
    <s v="6666588"/>
    <s v="3102692285"/>
    <s v="3102692285"/>
    <s v=" CA 1 B MZ G CL 37 B 19 52"/>
    <s v="4.1505269"/>
    <s v="-73.61969022"/>
    <s v="META"/>
    <s v="VILLAVICENCIO"/>
    <s v="VILLAVICENCIO"/>
    <n v="50001"/>
    <s v="2025-09-01"/>
    <n v="1"/>
    <s v="VILLAVICENCIO"/>
    <x v="1"/>
    <n v="49671.7"/>
    <n v="49671.7"/>
  </r>
  <r>
    <n v="30785"/>
    <s v="BARRIO LA GAITANA "/>
    <n v="83092277"/>
    <s v="8634708"/>
    <s v="3155585131"/>
    <s v="3115376568"/>
    <s v=" CL 6 B 24 06"/>
    <s v="2.9303900"/>
    <s v="-75.2729879"/>
    <s v="HUILA"/>
    <s v="NEIVA"/>
    <s v="NEIVA"/>
    <n v="41001"/>
    <s v="2025-09-01"/>
    <n v="1"/>
    <s v="NEIVA"/>
    <x v="1"/>
    <n v="49671.7"/>
    <n v="49671.7"/>
  </r>
  <r>
    <n v="31745"/>
    <s v="BARRIO BOSA LA RIVERA  BOGOTÁ"/>
    <n v="23965241"/>
    <s v="4548403"/>
    <s v="3132687180"/>
    <s v="3132687180"/>
    <s v=" CR 99 B BIS  42 A 74 SUR "/>
    <s v="4.64735726"/>
    <s v="-74.17883522"/>
    <s v="CUNDINAMARCA"/>
    <s v="BOGOTÁ"/>
    <s v="BOGOTÁ"/>
    <n v="11001"/>
    <s v="2025-09-01"/>
    <n v="1"/>
    <s v="BOGOTA"/>
    <x v="2"/>
    <n v="37313"/>
    <n v="37313"/>
  </r>
  <r>
    <n v="18529"/>
    <s v="BARRIO MANANTIAL VILLAVICENCIO"/>
    <n v="1121861794"/>
    <s v="6662865"/>
    <s v="3204084886"/>
    <s v="3204084886"/>
    <s v=" CR 8 35 13 MZ 1 CS 2 MANANTIAL"/>
    <s v="4.14667948"/>
    <s v="-73.60851137"/>
    <s v="META"/>
    <s v="VILLAVICENCIO"/>
    <s v="VILLAVICENCIO"/>
    <n v="50001"/>
    <s v="2025-09-01"/>
    <n v="1"/>
    <s v="VILLAVICENCIO"/>
    <x v="1"/>
    <n v="49671.7"/>
    <n v="49671.7"/>
  </r>
  <r>
    <n v="33404"/>
    <s v="BARRIO SAN JULIAN MEDELLIN"/>
    <n v="98662623"/>
    <s v="3229141"/>
    <s v="3122308373"/>
    <s v="3122308373"/>
    <s v=" CR 43 25 A 183"/>
    <s v="6.2259560"/>
    <s v="-75.5684920"/>
    <s v="ANTIOQUIA"/>
    <s v="MEDELLÍN"/>
    <s v="MEDELLÍN"/>
    <n v="5001"/>
    <s v="2025-09-01"/>
    <n v="1"/>
    <s v="MEDELLIN"/>
    <x v="0"/>
    <n v="37313"/>
    <n v="37313"/>
  </r>
  <r>
    <n v="33733"/>
    <s v="BARRIO BOSQUES DE ABAJAM VILLAVICENCIO 1"/>
    <n v="40389138"/>
    <s v="6653561"/>
    <s v="3134281475"/>
    <s v="3202344958"/>
    <s v=" CR 13 E  36 115 LC 108"/>
    <s v="4.1402055"/>
    <s v="-73.5906050"/>
    <s v="META"/>
    <s v="VILLAVICENCIO"/>
    <s v="VILLAVICENCIO"/>
    <n v="50001"/>
    <s v="2025-09-01"/>
    <n v="1"/>
    <s v="VILLAVICENCIO"/>
    <x v="1"/>
    <n v="49671.7"/>
    <n v="49671.7"/>
  </r>
  <r>
    <n v="32640"/>
    <s v="BARRIO MARIDIAZ PASTO"/>
    <n v="59122425"/>
    <s v="6501334"/>
    <s v="3153084050"/>
    <s v="3166451250"/>
    <s v=" CR 34 17 08"/>
    <s v="1.2221861"/>
    <s v="-77.2840514"/>
    <s v="NARIÑO"/>
    <s v="PASTO"/>
    <s v="SAN JUAN DE PASTO"/>
    <n v="52001"/>
    <s v="2025-09-01"/>
    <n v="1"/>
    <s v="PASTO"/>
    <x v="3"/>
    <n v="49671.7"/>
    <n v="49671.7"/>
  </r>
  <r>
    <n v="34387"/>
    <s v="BARIRO CEDRITOS BOGOTA"/>
    <n v="19196521"/>
    <s v="2746992"/>
    <s v="3102836582"/>
    <s v="3022393850"/>
    <s v=" CL 151 12 C 08"/>
    <s v="4.729547777"/>
    <s v="-74.035409"/>
    <s v="CUNDINAMARCA"/>
    <s v="BOGOTÁ"/>
    <s v="BOGOTÁ"/>
    <n v="11001"/>
    <s v="2025-09-01"/>
    <n v="1"/>
    <s v="BOGOTA"/>
    <x v="2"/>
    <n v="37313"/>
    <n v="37313"/>
  </r>
  <r>
    <n v="30981"/>
    <s v="BARRIO CENTRO 34"/>
    <n v="1130593823"/>
    <s v="8841541"/>
    <s v="3226877033"/>
    <s v="3102212969"/>
    <s v=" CR 5 10 31"/>
    <s v="3.4511027"/>
    <s v="-76.5332598"/>
    <s v="VALLE DEL CAUCA"/>
    <s v="CALI"/>
    <s v="SANTIAGO DE CALI"/>
    <n v="76001"/>
    <s v="2025-09-01"/>
    <n v="1"/>
    <s v="CALI"/>
    <x v="3"/>
    <n v="37313"/>
    <n v="37313"/>
  </r>
  <r>
    <n v="33151"/>
    <s v="BARRIO ALFONSO LOPEZ CUCUTA"/>
    <n v="88251194"/>
    <s v="4239530"/>
    <s v="3004414216"/>
    <s v="3026422459"/>
    <s v=" CL 17 13 38 40  ALFONSO LOPEZ"/>
    <s v="7.8786233"/>
    <s v="-72.5112477"/>
    <s v="NORTE DE SANTANDER"/>
    <s v="CÚCUTA"/>
    <s v="CÚCUTA"/>
    <n v="54001"/>
    <s v="2025-09-01"/>
    <n v="2"/>
    <s v="CUCUTA"/>
    <x v="4"/>
    <n v="49671.7"/>
    <n v="99343.4"/>
  </r>
  <r>
    <n v="17718"/>
    <s v="BARRIO VALLES DE CAFAM BOGOTA"/>
    <n v="91455224"/>
    <s v="7682785"/>
    <s v="3143035176"/>
    <s v="3143035176"/>
    <s v=" DG 91 SUR  2 C-23 VALLES DE CAFAM"/>
    <s v="4.50937543"/>
    <s v="-74.11889621"/>
    <s v="CUNDINAMARCA"/>
    <s v="BOGOTÁ"/>
    <s v="BOGOTÁ"/>
    <n v="11001"/>
    <s v="2025-09-01"/>
    <n v="1"/>
    <s v="BOGOTA"/>
    <x v="2"/>
    <n v="37313"/>
    <n v="37313"/>
  </r>
  <r>
    <n v="29471"/>
    <s v="BARRIO YOMASA 7 BOGOTÁ"/>
    <n v="80879995"/>
    <s v="7315409"/>
    <s v="3202605025"/>
    <s v="3202605025"/>
    <s v="cra 8 c bis no 81- 97 sur"/>
    <s v="4.5082338"/>
    <s v="-74.1110225"/>
    <s v="CUNDINAMARCA"/>
    <s v="BOGOTÁ"/>
    <s v="BOGOTÁ"/>
    <n v="11001"/>
    <s v="2025-09-01"/>
    <n v="1"/>
    <s v="BOGOTA"/>
    <x v="2"/>
    <n v="37313"/>
    <n v="37313"/>
  </r>
  <r>
    <n v="35302"/>
    <s v="BARRIO CENTRO MEDELLIN 15"/>
    <n v="43474856"/>
    <s v="5718371"/>
    <s v="3136312009"/>
    <s v="3043991028"/>
    <s v=" CL 48 52 38 LC 9831 PALACIO NACIONAL"/>
    <s v="6.2489420"/>
    <s v="-75.5705679"/>
    <s v="ANTIOQUIA"/>
    <s v="MEDELLÍN"/>
    <s v="MEDELLÍN"/>
    <n v="5001"/>
    <s v="2025-09-01"/>
    <n v="1"/>
    <s v="MEDELLIN"/>
    <x v="0"/>
    <n v="37313"/>
    <n v="37313"/>
  </r>
  <r>
    <n v="39768"/>
    <s v="BARRIO PALOQUEMADO BOGOTA"/>
    <n v="52829005"/>
    <s v="3138471812"/>
    <s v="3108557594"/>
    <s v="3108557594"/>
    <s v="AV 19 25 04 LOCAL 83019,PALOQUEMADO"/>
    <s v="4.616576"/>
    <s v="-74.084403"/>
    <s v="CUNDINAMARCA"/>
    <s v="BOGOTÁ"/>
    <s v="BOGOTÁ"/>
    <n v="11001"/>
    <s v="2025-09-01"/>
    <n v="1"/>
    <s v="BOGOTA"/>
    <x v="2"/>
    <n v="37313"/>
    <n v="37313"/>
  </r>
  <r>
    <n v="47266"/>
    <s v="BARRIO SAN FERNANDO CARTAGENA DE INDIAS 2"/>
    <n v="64479140"/>
    <s v="3135772465"/>
    <s v="3106871193"/>
    <s v="3106871193"/>
    <s v="CL 5 CR 80D 29 LC 2 ,SAN FERNANDO"/>
    <s v="10.3741536"/>
    <s v="-75.4768280"/>
    <s v="BOLÍVAR"/>
    <s v="CARTAGENA DE INDIAS"/>
    <s v="CARTAGENA DE INDIAS"/>
    <n v="13001"/>
    <s v="2025-09-01"/>
    <n v="1"/>
    <s v="CARTAGENA"/>
    <x v="5"/>
    <n v="49671.7"/>
    <n v="49671.7"/>
  </r>
  <r>
    <n v="47308"/>
    <s v="BARRIO SEVILLA CUCUTA 1"/>
    <n v="1090396478"/>
    <s v="0"/>
    <s v="3209629007"/>
    <s v="3123178401"/>
    <s v="AV 8 0BN-34,SEVILLA"/>
    <s v="7.89870"/>
    <s v="-72.509326"/>
    <s v="NORTE DE SANTANDER"/>
    <s v="CÚCUTA"/>
    <s v="CÚCUTA"/>
    <n v="54001"/>
    <s v="2025-09-01"/>
    <n v="1"/>
    <s v="CUCUTA"/>
    <x v="4"/>
    <n v="49671.7"/>
    <n v="49671.7"/>
  </r>
  <r>
    <n v="37197"/>
    <s v="BARRIO SAN CRISTOBAL NORTE BOGOTA"/>
    <n v="79594546"/>
    <s v="7559459"/>
    <s v="3045870751"/>
    <s v="3045870751"/>
    <s v=" AK 7 163 13 SAN CRISTOBAL NORTE "/>
    <s v="4.7378423"/>
    <s v="-74.0231044"/>
    <s v="CUNDINAMARCA"/>
    <s v="BOGOTÁ"/>
    <s v="BOGOTÁ"/>
    <n v="11001"/>
    <s v="2025-09-01"/>
    <n v="1"/>
    <s v="BOGOTA"/>
    <x v="2"/>
    <n v="37313"/>
    <n v="37313"/>
  </r>
  <r>
    <n v="35200"/>
    <s v="BARRIO SAN LUIS  1 CUCUTA"/>
    <n v="1092353921"/>
    <m/>
    <s v="3182446289"/>
    <s v="3024589754"/>
    <s v="cra 17  18-37 barrio primero de mayo"/>
    <s v="7.894657"/>
    <s v="-72.482556"/>
    <s v="NORTE DE SANTANDER"/>
    <s v="CÚCUTA"/>
    <s v="CÚCUTA"/>
    <n v="54001"/>
    <s v="2025-09-01"/>
    <n v="1"/>
    <s v="CUCUTA"/>
    <x v="4"/>
    <n v="49671.7"/>
    <n v="49671.7"/>
  </r>
  <r>
    <n v="46082"/>
    <s v="BARRIO CENTRO MEDELLIN 62"/>
    <n v="18008134"/>
    <s v="5124702"/>
    <s v="3216452609"/>
    <s v="3216452609"/>
    <s v="CR 49 46 63 INT 06,CENTRO"/>
    <s v="6.2474017"/>
    <s v="-75.5680583"/>
    <s v="ANTIOQUIA"/>
    <s v="MEDELLÍN"/>
    <s v="MEDELLÍN"/>
    <n v="5001"/>
    <s v="2025-09-01"/>
    <n v="1"/>
    <s v="MEDELLIN"/>
    <x v="0"/>
    <n v="37313"/>
    <n v="37313"/>
  </r>
  <r>
    <n v="49349"/>
    <s v="BARRIO AMBALA IBAGUE 3"/>
    <n v="65553424"/>
    <s v="2615449"/>
    <s v="3208057015"/>
    <s v="3208057015"/>
    <s v="CL 65 # 21-04"/>
    <s v="4.4493449"/>
    <s v="-75.2007622"/>
    <s v="TOLIMA"/>
    <s v="IBAGUÉ"/>
    <s v="IBAGUÉ"/>
    <n v="73001"/>
    <s v="2025-09-01"/>
    <n v="1"/>
    <s v="IBAGUE"/>
    <x v="1"/>
    <n v="49671.7"/>
    <n v="49671.7"/>
  </r>
  <r>
    <n v="48457"/>
    <s v="BARRIO SANTA CATALINA VILLAVICENCIO"/>
    <n v="1001044849"/>
    <s v="0"/>
    <s v="3184804852"/>
    <s v="3184804852"/>
    <s v="CL 35 N 13 - 85 MANZANA A CASA 10 F,SANTA CATALINA"/>
    <s v="4.137654"/>
    <s v="-73.591203"/>
    <s v="META"/>
    <s v="VILLAVICENCIO"/>
    <s v="VILLAVICENCIO"/>
    <n v="50001"/>
    <s v="2025-09-01"/>
    <n v="1"/>
    <s v="VILLAVICENCIO"/>
    <x v="1"/>
    <n v="49671.7"/>
    <n v="49671.7"/>
  </r>
  <r>
    <n v="44102"/>
    <s v="BARRIO LA CUMBRE BELLO"/>
    <n v="1040730747"/>
    <s v="4542254"/>
    <s v="3005243104"/>
    <s v="3005243104"/>
    <s v=" CR 63 54 A 37"/>
    <s v="6.33929944"/>
    <s v="-75.5677"/>
    <s v="ANTIOQUIA"/>
    <s v="BELLO"/>
    <s v="BELLO"/>
    <n v="5088"/>
    <s v="2025-09-01"/>
    <n v="1"/>
    <s v="MEDELLIN"/>
    <x v="0"/>
    <n v="37313"/>
    <n v="37313"/>
  </r>
  <r>
    <n v="45586"/>
    <s v="BARRIO CALLE PRINCIPAL BELLO 1"/>
    <n v="1020476848"/>
    <m/>
    <s v="3195370450"/>
    <s v="3012130862"/>
    <s v="CR 58 A 52 C 136,CALLE PRINCIPAL"/>
    <s v="6.337650"/>
    <s v="-75.567238"/>
    <s v="ANTIOQUIA"/>
    <s v="BELLO"/>
    <s v="BELLO"/>
    <n v="5088"/>
    <s v="2025-09-01"/>
    <n v="1"/>
    <s v="MEDELLIN"/>
    <x v="0"/>
    <n v="37313"/>
    <n v="37313"/>
  </r>
  <r>
    <n v="37784"/>
    <s v="BARRIO MANRIQUE MEDELLIN 6"/>
    <n v="71263291"/>
    <s v="2333337"/>
    <s v="3137283208"/>
    <s v="3137283208"/>
    <s v=" CR 44 70 04 MANRIQUE"/>
    <s v="6.2652777"/>
    <s v="-75.5539787"/>
    <s v="ANTIOQUIA"/>
    <s v="MEDELLÍN"/>
    <s v="MEDELLÍN"/>
    <n v="5001"/>
    <s v="2025-09-01"/>
    <n v="1"/>
    <s v="MEDELLIN"/>
    <x v="0"/>
    <n v="37313"/>
    <n v="37313"/>
  </r>
  <r>
    <n v="40402"/>
    <s v=" BARRIO CENTRO BARRANQUILLA 13"/>
    <n v="57271682"/>
    <s v="3393913"/>
    <s v="3217324121"/>
    <s v="3217324121"/>
    <s v="CL 34 43 110 LC 107"/>
    <s v="10.9821495"/>
    <s v="-74.7778733"/>
    <s v="ATLÁNTICO"/>
    <s v="BARRANQUILLA"/>
    <s v="BARRANQUILLA"/>
    <n v="8001"/>
    <s v="2025-09-01"/>
    <n v="1"/>
    <s v="BARRANQUILLA"/>
    <x v="5"/>
    <n v="37313"/>
    <n v="37313"/>
  </r>
  <r>
    <n v="40591"/>
    <s v="BARRIO MANRIQUE MEDELLIN 10"/>
    <n v="901284243"/>
    <s v="5711088"/>
    <s v="3022051825"/>
    <s v="3022051825"/>
    <s v="CL 66 E 42 08,MANRIQUE"/>
    <s v="6.262207"/>
    <s v="-75.5533736"/>
    <s v="ANTIOQUIA"/>
    <s v="MEDELLÍN"/>
    <s v="MEDELLÍN"/>
    <n v="5001"/>
    <s v="2025-09-01"/>
    <n v="1"/>
    <s v="MEDELLIN"/>
    <x v="0"/>
    <n v="37313"/>
    <n v="37313"/>
  </r>
  <r>
    <n v="46655"/>
    <s v="BARRIO LAS MERCEDES NEIVA"/>
    <n v="36178836"/>
    <s v="8764397"/>
    <s v="3165316182"/>
    <s v="3165316182"/>
    <s v="CL 63 1 04,LAS MERCEDES"/>
    <s v="2.937061"/>
    <s v="-75.302940"/>
    <s v="HUILA"/>
    <s v="NEIVA"/>
    <s v="NEIVA"/>
    <n v="41001"/>
    <s v="2025-09-01"/>
    <n v="1"/>
    <s v="NEIVA"/>
    <x v="1"/>
    <n v="49671.7"/>
    <n v="49671.7"/>
  </r>
  <r>
    <n v="47408"/>
    <s v="BARRIO EL CARMEN IBAGUE 5"/>
    <n v="93372030"/>
    <s v="2656870"/>
    <s v="3107585991"/>
    <s v="3107559883"/>
    <s v="CL 24 # 5 A 58 EL CARMEN"/>
    <s v="4.442043"/>
    <s v="-75.227756"/>
    <s v="TOLIMA"/>
    <s v="IBAGUÉ"/>
    <s v="IBAGUÉ"/>
    <n v="73001"/>
    <s v="2025-09-01"/>
    <n v="1"/>
    <s v="IBAGUE"/>
    <x v="1"/>
    <n v="49671.7"/>
    <n v="49671.7"/>
  </r>
  <r>
    <n v="37749"/>
    <s v="BARRIO BELLAVISTA CUCUTA 1"/>
    <n v="37442349"/>
    <s v="5762014"/>
    <s v="3168739372"/>
    <s v="3168739372"/>
    <s v=" AV 11 25 11 BELLAVISTA LA LIBERTAD"/>
    <s v="7.882004"/>
    <s v="-72.479303"/>
    <s v="NORTE DE SANTANDER"/>
    <s v="CÚCUTA"/>
    <s v="CÚCUTA"/>
    <n v="54001"/>
    <s v="2025-09-01"/>
    <n v="1"/>
    <s v="CUCUTA"/>
    <x v="4"/>
    <n v="49671.7"/>
    <n v="49671.7"/>
  </r>
  <r>
    <n v="43290"/>
    <s v="BARRIO SANTO DOMINGO CALI 1"/>
    <n v="901351034"/>
    <s v="3749466"/>
    <s v="3213109111"/>
    <s v="3213109111"/>
    <s v="CL 13 48 11,SANTO DOMINGO"/>
    <s v="3.4110331"/>
    <s v="-76.5335915"/>
    <s v="VALLE DEL CAUCA"/>
    <s v="CALI"/>
    <s v="SANTIAGO DE CALI"/>
    <n v="76001"/>
    <s v="2025-09-01"/>
    <n v="1"/>
    <s v="CALI"/>
    <x v="3"/>
    <n v="37313"/>
    <n v="37313"/>
  </r>
  <r>
    <n v="43232"/>
    <s v="BARRIO TINTALITO BOGOTA 1"/>
    <n v="1013610743"/>
    <s v="6596918"/>
    <s v="3204637485"/>
    <s v="3004747151"/>
    <s v="CL 42 G SUR 86 D 04.TINTALITO"/>
    <s v="4.6308049"/>
    <s v="-74.171045"/>
    <s v="CUNDINAMARCA"/>
    <s v="BOGOTÁ"/>
    <s v="BOGOTÁ"/>
    <n v="11001"/>
    <s v="2025-09-01"/>
    <n v="1"/>
    <s v="BOGOTA"/>
    <x v="2"/>
    <n v="37313"/>
    <n v="37313"/>
  </r>
  <r>
    <n v="45967"/>
    <s v="BARRIO POBLADO MEDELLIN 4"/>
    <n v="1035859437"/>
    <s v="4823218"/>
    <s v="3147756083"/>
    <s v="3147756083"/>
    <s v="CR 36 10 B 34,POBLADO"/>
    <s v="6.2109471"/>
    <s v="-75.5651716"/>
    <s v="ANTIOQUIA"/>
    <s v="MEDELLÍN"/>
    <s v="MEDELLÍN"/>
    <n v="5001"/>
    <s v="2025-09-01"/>
    <n v="1"/>
    <s v="MEDELLIN"/>
    <x v="0"/>
    <n v="37313"/>
    <n v="37313"/>
  </r>
  <r>
    <n v="37343"/>
    <s v="BARRIO ANCON IBAGUE"/>
    <n v="65775326"/>
    <s v="2630018"/>
    <s v="3158533188"/>
    <s v="3158533188"/>
    <s v=" CL 17 14 161 ANCÓN"/>
    <s v="4.453396"/>
    <s v="-75.235001"/>
    <s v="TOLIMA"/>
    <s v="IBAGUÉ"/>
    <s v="IBAGUÉ"/>
    <n v="73001"/>
    <s v="2025-09-01"/>
    <n v="1"/>
    <s v="IBAGUE"/>
    <x v="1"/>
    <n v="49671.7"/>
    <n v="49671.7"/>
  </r>
  <r>
    <n v="40647"/>
    <s v="BARRIO TRIGAL DEL NORTE CUCUTA 2"/>
    <n v="88238027"/>
    <s v="5492104"/>
    <s v="3134203596"/>
    <s v="3212355741"/>
    <s v="AV 1 N NO 0-70,TRIGAL DEL NORTE"/>
    <s v="7.9479582"/>
    <s v="-72.5040954"/>
    <s v="NORTE DE SANTANDER"/>
    <s v="CÚCUTA"/>
    <s v="CÚCUTA"/>
    <n v="54001"/>
    <s v="2025-09-01"/>
    <n v="1"/>
    <s v="CUCUTA"/>
    <x v="4"/>
    <n v="49671.7"/>
    <n v="49671.7"/>
  </r>
  <r>
    <n v="47779"/>
    <s v="BARRIO SANTA BIBIANA BOGOTA"/>
    <n v="1069053448"/>
    <s v="7168471"/>
    <s v="3222133794"/>
    <s v="3222133794"/>
    <s v="CL 75 D SUR 74 C 09,SANTA BIBIANA"/>
    <s v="4.5761614"/>
    <s v="-74.1731613"/>
    <s v="CUNDINAMARCA"/>
    <s v="BOGOTÁ"/>
    <s v="BOGOTÁ"/>
    <n v="11001"/>
    <s v="2025-09-01"/>
    <n v="1"/>
    <s v="BOGOTA"/>
    <x v="2"/>
    <n v="37313"/>
    <n v="37313"/>
  </r>
  <r>
    <n v="52876"/>
    <s v="BARRIO CENTRO BARRANQUILLA 30"/>
    <n v="72302924"/>
    <s v="3236668"/>
    <s v="3234604121"/>
    <s v="3234604121"/>
    <s v="CL 30 42 D 70 LC 67,"/>
    <s v="10.98090"/>
    <s v="-74.77519"/>
    <s v="ATLÁNTICO"/>
    <s v="BARRANQUILLA"/>
    <s v="BARRANQUILLA"/>
    <n v="8001"/>
    <s v="2025-09-01"/>
    <n v="1"/>
    <s v="BARRANQUILLA"/>
    <x v="5"/>
    <n v="37313"/>
    <n v="37313"/>
  </r>
  <r>
    <n v="47158"/>
    <s v="BARRIO CERRO NORTE BOGOTA"/>
    <n v="52863304"/>
    <s v="3124439891"/>
    <s v="3124439891"/>
    <s v="3017199335"/>
    <s v="CR 7 162 16 LOCAL E2,CERRO NORTE"/>
    <s v="4.7369500"/>
    <s v="-74.022966"/>
    <s v="CUNDINAMARCA"/>
    <s v="BOGOTÁ"/>
    <s v="BOGOTÁ"/>
    <n v="11001"/>
    <s v="2025-09-01"/>
    <n v="1"/>
    <s v="BOGOTA"/>
    <x v="2"/>
    <n v="37313"/>
    <n v="37313"/>
  </r>
  <r>
    <n v="50818"/>
    <s v="BARRIO LA CASTELLANA MEDELLIN 2"/>
    <n v="70568654"/>
    <s v="4111103"/>
    <s v="3003924037"/>
    <s v="3113476221"/>
    <s v="CR 84 33 B 28,LA CASTELLANA"/>
    <s v="6.2410612"/>
    <s v="-75.6079243"/>
    <s v="ANTIOQUIA"/>
    <s v="MEDELLÍN"/>
    <s v="MEDELLÍN"/>
    <n v="5001"/>
    <s v="2025-09-01"/>
    <n v="1"/>
    <s v="MEDELLIN"/>
    <x v="0"/>
    <n v="37313"/>
    <n v="37313"/>
  </r>
  <r>
    <n v="55338"/>
    <s v="BARRIO URB PRADOS DEL NORTE CUCUTA 6"/>
    <n v="13279372"/>
    <s v="0"/>
    <s v="3138494368"/>
    <s v="3138494368"/>
    <s v="AV 4 23N 46,URB PRADOS DEL NORTE"/>
    <s v="7.9183001"/>
    <s v="-72.4973781"/>
    <s v="NORTE DE SANTANDER"/>
    <s v="CÚCUTA"/>
    <s v="CÚCUTA"/>
    <n v="54001"/>
    <s v="2025-09-01"/>
    <n v="1"/>
    <s v="CUCUTA"/>
    <x v="4"/>
    <n v="49671.7"/>
    <n v="49671.7"/>
  </r>
  <r>
    <n v="55292"/>
    <s v="BARRIO BELEN BUENA VISTA MEDELLIN 1"/>
    <n v="1152435111"/>
    <s v="5701216"/>
    <s v="3234887795"/>
    <s v="3234887795"/>
    <s v="CR 88 19 A 15,BELÉN BUENA VISTA"/>
    <s v="6.22311067"/>
    <s v="-75.610153198"/>
    <s v="ANTIOQUIA"/>
    <s v="MEDELLÍN"/>
    <s v="MEDELLÍN"/>
    <n v="5001"/>
    <s v="2025-09-01"/>
    <n v="1"/>
    <s v="MEDELLIN"/>
    <x v="0"/>
    <n v="37313"/>
    <n v="37313"/>
  </r>
  <r>
    <n v="55499"/>
    <s v="BARRIO DINDALITO BOGOTA 15"/>
    <n v="1016000970"/>
    <s v="0"/>
    <s v="3219181118"/>
    <s v="3219181118"/>
    <s v="CL 42 F SUR 91 B 05 LC 1"/>
    <s v="4.639762"/>
    <s v="-74.174891"/>
    <s v="CUNDINAMARCA"/>
    <s v="BOGOTÁ"/>
    <s v="BOGOTÁ"/>
    <n v="11001"/>
    <s v="2025-09-01"/>
    <n v="1"/>
    <s v="BOGOTA"/>
    <x v="2"/>
    <n v="37313"/>
    <n v="37313"/>
  </r>
  <r>
    <n v="52239"/>
    <s v="BARRIO SANTA ANA IBAGUE 2"/>
    <n v="51808855"/>
    <s v="0"/>
    <s v="3163613485"/>
    <s v="3163613485"/>
    <s v="MZ 27 CASA 6,SANTA ANA"/>
    <s v="4.443457"/>
    <s v="-75.1640412"/>
    <s v="TOLIMA"/>
    <s v="IBAGUÉ"/>
    <s v="IBAGUÉ"/>
    <n v="73001"/>
    <s v="2025-09-01"/>
    <n v="1"/>
    <s v="IBAGUE"/>
    <x v="1"/>
    <n v="49671.7"/>
    <n v="49671.7"/>
  </r>
  <r>
    <n v="53225"/>
    <s v="BARRIO SAN PEDRO CALI 8"/>
    <n v="94297398"/>
    <s v="8816239"/>
    <s v="3152536535"/>
    <s v="3174123236"/>
    <s v="CL 9 3 23 PISO 1,"/>
    <s v="3.4520138888"/>
    <s v="-76.5346877777"/>
    <s v="VALLE DEL CAUCA"/>
    <s v="CALI"/>
    <s v="SANTIAGO DE CALI"/>
    <n v="76001"/>
    <s v="2025-09-01"/>
    <n v="1"/>
    <s v="CALI"/>
    <x v="3"/>
    <n v="37313"/>
    <n v="37313"/>
  </r>
  <r>
    <n v="55488"/>
    <s v="BARRIO DEPARTAMENTAL IBAGUE "/>
    <n v="80357216"/>
    <s v="0"/>
    <s v="3137170178"/>
    <s v="3137170178"/>
    <s v="CR 13 Nro  12A  - 31 BRR 20 de Julio"/>
    <s v="4.451716"/>
    <s v="-75.239494 "/>
    <s v="TOLIMA"/>
    <s v="IBAGUÉ"/>
    <s v="IBAGUÉ"/>
    <n v="73001"/>
    <s v="2025-09-01"/>
    <n v="1"/>
    <s v="IBAGUE"/>
    <x v="1"/>
    <n v="49671.7"/>
    <n v="49671.7"/>
  </r>
  <r>
    <n v="51419"/>
    <s v="BARRIO LOS ANDAQUIES NEIVA"/>
    <n v="901390344"/>
    <s v="8754830"/>
    <s v="3153027177"/>
    <s v="3178840954"/>
    <s v="CR 3 W 25 E 93,LOS ANDAQUIES"/>
    <s v="2.939926"/>
    <s v="-75.300133"/>
    <s v="HUILA"/>
    <s v="NEIVA"/>
    <s v="NEIVA"/>
    <n v="41001"/>
    <s v="2025-09-01"/>
    <n v="1"/>
    <s v="NEIVA"/>
    <x v="1"/>
    <n v="49671.7"/>
    <n v="49671.7"/>
  </r>
  <r>
    <n v="53663"/>
    <s v="BARRIO FUENTE DE LOS ROSALES 2 IBAGUE"/>
    <n v="1110517781"/>
    <s v="0"/>
    <s v="3016381539"/>
    <s v="3016381539"/>
    <s v="CL 61 # 20 B- 12,FUENTE DE LOS ROSALES 2"/>
    <s v="4.4481865"/>
    <s v="-75.2034165"/>
    <s v="TOLIMA"/>
    <s v="IBAGUÉ"/>
    <s v="IBAGUÉ"/>
    <n v="73001"/>
    <s v="2025-09-01"/>
    <n v="1"/>
    <s v="IBAGUE"/>
    <x v="1"/>
    <n v="49671.7"/>
    <n v="49671.7"/>
  </r>
  <r>
    <n v="58835"/>
    <s v="BARRIO SIMON BOLIVAR MEDELLIN 1"/>
    <n v="70002536"/>
    <s v="3222974"/>
    <s v="3219294546"/>
    <s v="3219294546"/>
    <s v="CARRERA 84 35 06,SIMON BOLIVAR"/>
    <s v="6.2443700"/>
    <s v="-75.6065333"/>
    <s v="ANTIOQUIA"/>
    <s v="MEDELLÍN"/>
    <s v="MEDELLÍN"/>
    <n v="5001"/>
    <s v="2025-09-01"/>
    <n v="1"/>
    <s v="MEDELLIN"/>
    <x v="0"/>
    <n v="37313"/>
    <n v="37313"/>
  </r>
  <r>
    <n v="57276"/>
    <s v="BARRIO CUBEROS NIÑO CUCUTA"/>
    <n v="60343918"/>
    <s v="5789300"/>
    <s v="3112336210"/>
    <s v="3112336210"/>
    <s v="CL 23 9-81,CUBEROS NIÑO"/>
    <s v="7.8750975"/>
    <s v="-72.5072107"/>
    <s v="NORTE DE SANTANDER"/>
    <s v="CÚCUTA"/>
    <s v="CÚCUTA"/>
    <n v="54001"/>
    <s v="2025-09-01"/>
    <n v="1"/>
    <s v="CUCUTA"/>
    <x v="4"/>
    <n v="49671.7"/>
    <n v="49671.7"/>
  </r>
  <r>
    <n v="57560"/>
    <s v="BARRIO SAN ANTONIO IBAGUE"/>
    <n v="1110476755"/>
    <s v="0"/>
    <s v="3208219403"/>
    <s v="3208219403"/>
    <s v="CR 22 # 56 A-06,SAN ANTONIO"/>
    <s v="4.4495162"/>
    <s v="-75.2054953"/>
    <s v="TOLIMA"/>
    <s v="IBAGUÉ"/>
    <s v="IBAGUÉ"/>
    <n v="73001"/>
    <s v="2025-09-01"/>
    <n v="1"/>
    <s v="IBAGUE"/>
    <x v="1"/>
    <n v="49671.7"/>
    <n v="49671.7"/>
  </r>
  <r>
    <n v="56115"/>
    <s v="BARRIO PRADOS DE ABAJAM VILLAVICENCIO"/>
    <n v="1121825229"/>
    <s v="3208580152"/>
    <s v="3208580152"/>
    <s v="3208580152"/>
    <s v="CL 36 NRO. 15 E 205 LC BRR PRADOS DE ABAJAM,PRADOS DE ABAJAM"/>
    <s v="4.138778"/>
    <s v="-73.588866"/>
    <s v="META"/>
    <s v="VILLAVICENCIO"/>
    <s v="VILLAVICENCIO"/>
    <n v="50001"/>
    <s v="2025-09-01"/>
    <n v="1"/>
    <s v="VILLAVICENCIO"/>
    <x v="1"/>
    <n v="49671.7"/>
    <n v="49671.7"/>
  </r>
  <r>
    <n v="60340"/>
    <s v="BARRIO SAN MIGUEL CUCUTA 7"/>
    <n v="37392791"/>
    <s v="0"/>
    <s v="3138090193"/>
    <s v="3138090193"/>
    <s v="CL 9 15-65,SAN MIGUEL"/>
    <s v="7.8858247363153735"/>
    <s v=" -72.51498696992171"/>
    <s v="NORTE DE SANTANDER"/>
    <s v="CÚCUTA"/>
    <s v="CÚCUTA"/>
    <n v="54001"/>
    <s v="2025-09-01"/>
    <n v="1"/>
    <s v="CUCUTA"/>
    <x v="4"/>
    <n v="49671.7"/>
    <n v="49671.7"/>
  </r>
  <r>
    <n v="61920"/>
    <s v="BARRIO ALTAMAR BOGOTA"/>
    <n v="1016006981"/>
    <s v="0"/>
    <s v="3209373441"/>
    <s v="3209373441"/>
    <s v="CL 42 F SUR 87 I 94"/>
    <s v="4.6350008"/>
    <s v="-74.1720681"/>
    <s v="CUNDINAMARCA"/>
    <s v="BOGOTÁ"/>
    <s v="BOGOTÁ"/>
    <n v="11001"/>
    <s v="2025-09-01"/>
    <n v="1"/>
    <s v="BOGOTA"/>
    <x v="2"/>
    <n v="37313"/>
    <n v="37313"/>
  </r>
  <r>
    <n v="55760"/>
    <s v="BARRIO CENTRO MEDELLIN 81"/>
    <n v="37652357"/>
    <s v="5068860"/>
    <s v="3011034127"/>
    <s v="3011034127"/>
    <s v="CL 55 46 14 LOCAL 114,CENTRO"/>
    <s v="6.25230194"/>
    <s v="-75.563284166"/>
    <s v="ANTIOQUIA"/>
    <s v="MEDELLÍN"/>
    <s v="MEDELLÍN"/>
    <n v="5001"/>
    <s v="2025-09-01"/>
    <n v="1"/>
    <s v="MEDELLIN"/>
    <x v="0"/>
    <n v="37313"/>
    <n v="37313"/>
  </r>
  <r>
    <n v="55858"/>
    <s v="BARRIO SAN JOSE POPAYAN 2"/>
    <n v="1086922907"/>
    <s v="0"/>
    <s v="3147699312"/>
    <s v="3222897000"/>
    <s v="CR 33 5 05,SAN JOSE"/>
    <s v="2.4504454"/>
    <s v="-76.6281551"/>
    <s v="CAUCA"/>
    <s v="POPAYÁN"/>
    <s v="POPAYÁN"/>
    <n v="19001"/>
    <s v="2025-09-01"/>
    <n v="1"/>
    <s v="CALI"/>
    <x v="3"/>
    <n v="37313"/>
    <n v="37313"/>
  </r>
  <r>
    <n v="60493"/>
    <s v="BARRIO LA CABRERA CUCUTA 4"/>
    <n v="60443784"/>
    <s v="3155945388"/>
    <s v="3155945388"/>
    <s v="3155945388"/>
    <s v="CL 18 6 03 BRR LA CABRERA"/>
    <s v="7.878621"/>
    <s v="-72.503546"/>
    <s v="NORTE DE SANTANDER"/>
    <s v="CÚCUTA"/>
    <s v="CÚCUTA"/>
    <n v="54001"/>
    <s v="2025-09-01"/>
    <n v="1"/>
    <s v="CUCUTA"/>
    <x v="4"/>
    <n v="49671.7"/>
    <n v="49671.7"/>
  </r>
  <r>
    <n v="60679"/>
    <s v="BARRIO CEDRITOS BOGOTA 14"/>
    <n v="52898726"/>
    <s v="4759293"/>
    <s v="3204706116"/>
    <s v="3204706116"/>
    <s v="CR 18 A #150 - 87,CEDRITOS"/>
    <s v="4.732532"/>
    <s v="-74.044088"/>
    <s v="CUNDINAMARCA"/>
    <s v="BOGOTÁ"/>
    <s v="BOGOTÁ"/>
    <n v="11001"/>
    <s v="2025-09-01"/>
    <n v="1"/>
    <s v="BOGOTA"/>
    <x v="2"/>
    <n v="37313"/>
    <n v="37313"/>
  </r>
  <r>
    <n v="61423"/>
    <s v="BARRIO BELLO HORIZONTE POPAYAN 9"/>
    <n v="1061751252"/>
    <s v="0"/>
    <s v="3106242584"/>
    <s v="3106242584"/>
    <s v="CL 68N  11- 40 BRR BELLO HORIZONTE"/>
    <s v="2.483842"/>
    <s v="-76.566077"/>
    <s v="CAUCA"/>
    <s v="POPAYÁN"/>
    <s v="POPAYÁN"/>
    <n v="19001"/>
    <s v="2025-09-01"/>
    <n v="1"/>
    <s v="CALI"/>
    <x v="3"/>
    <n v="37313"/>
    <n v="37313"/>
  </r>
  <r>
    <n v="58987"/>
    <s v="BARRIO YOMASA BOGOTA 3"/>
    <n v="1033688607"/>
    <s v="0"/>
    <s v="3015548851"/>
    <s v="3015548851"/>
    <s v="CL 81 3 - 13 SUR"/>
    <s v="4.509102"/>
    <s v="-74.106392"/>
    <s v="CUNDINAMARCA"/>
    <s v="BOGOTÁ"/>
    <s v="BOGOTÁ"/>
    <n v="11001"/>
    <s v="2025-09-01"/>
    <n v="1"/>
    <s v="BOGOTA"/>
    <x v="2"/>
    <n v="37313"/>
    <n v="37313"/>
  </r>
  <r>
    <n v="55939"/>
    <s v="BARRIO CUTUCUMAY IBAGUE"/>
    <n v="14296440"/>
    <s v="0"/>
    <s v="3103854759"/>
    <s v="3103854759"/>
    <s v="MZ F CASA 1 LOCAL 2,BRR CUTUCUMAY"/>
    <s v="4.4417947"/>
    <s v="-75.2111719"/>
    <s v="TOLIMA"/>
    <s v="IBAGUÉ"/>
    <s v="IBAGUÉ"/>
    <n v="73001"/>
    <s v="2025-09-01"/>
    <n v="1"/>
    <s v="IBAGUE"/>
    <x v="1"/>
    <n v="49671.7"/>
    <n v="49671.7"/>
  </r>
  <r>
    <n v="60343"/>
    <s v="BARRIO CHAPINERO CUCUTA 4"/>
    <n v="60256616"/>
    <s v="0"/>
    <s v="3134426234"/>
    <s v="3134426234"/>
    <s v="AV LAS AMERICAS 16-200 BR CHAPINERO"/>
    <s v="7.9155680"/>
    <s v="-72.5161568"/>
    <s v="NORTE DE SANTANDER"/>
    <s v="CÚCUTA"/>
    <s v="CÚCUTA"/>
    <n v="54001"/>
    <s v="2025-09-01"/>
    <n v="1"/>
    <s v="CUCUTA"/>
    <x v="4"/>
    <n v="49671.7"/>
    <n v="49671.7"/>
  </r>
  <r>
    <n v="66071"/>
    <s v="BARRIO BELEN ALTAVISTA MEDELLIN 3"/>
    <n v="22002143"/>
    <s v="0"/>
    <s v="3148935646"/>
    <s v="3146672651"/>
    <s v="CARRERA 90 C 15 130,BELEN ALTAVISTA"/>
    <s v="6.22146361"/>
    <s v="-75.614650833"/>
    <s v="ANTIOQUIA"/>
    <s v="MEDELLÍN"/>
    <s v="MEDELLÍN"/>
    <n v="5001"/>
    <s v="2025-09-01"/>
    <n v="1"/>
    <s v="MEDELLIN"/>
    <x v="0"/>
    <n v="37313"/>
    <n v="37313"/>
  </r>
  <r>
    <n v="36486"/>
    <s v="BARRIO JORDAN VILLAVICENCIO"/>
    <n v="40331528"/>
    <m/>
    <s v="3108745147"/>
    <s v="3108745147"/>
    <s v=" CR 19 A  40 27 LC 101"/>
    <s v="4.1519055"/>
    <s v="-73.6190783"/>
    <s v="META"/>
    <s v="VILLAVICENCIO"/>
    <s v="VILLAVICENCIO"/>
    <n v="50001"/>
    <s v="2025-09-01"/>
    <n v="1"/>
    <s v="VILLAVICENCIO"/>
    <x v="1"/>
    <n v="49671.7"/>
    <n v="49671.7"/>
  </r>
  <r>
    <n v="40171"/>
    <s v="BARRIO EL POPULAR CALI"/>
    <n v="66958014"/>
    <s v="4047683"/>
    <s v="3146449981"/>
    <s v="3146449981"/>
    <s v="CR 7 A NORTE 46 A 14,EL POPULAR"/>
    <s v="3.4752459"/>
    <s v="-76.5108121"/>
    <s v="VALLE DEL CAUCA"/>
    <s v="CALI"/>
    <s v="SANTIAGO DE CALI"/>
    <n v="76001"/>
    <s v="2025-09-01"/>
    <n v="1"/>
    <s v="CALI"/>
    <x v="3"/>
    <n v="37313"/>
    <n v="37313"/>
  </r>
  <r>
    <n v="61978"/>
    <s v="BARRIO MANANTIAL VILLAVICENCIO 3"/>
    <n v="1001043920"/>
    <s v="3105749820"/>
    <s v="3223779359"/>
    <s v="3223779359"/>
    <s v="CL 39 N 6 C 41 MZ 15 CS 3 P 1 BRR MANANTIAL"/>
    <s v="4.148015"/>
    <s v="-73.606409"/>
    <s v="META"/>
    <s v="VILLAVICENCIO"/>
    <s v="VILLAVICENCIO"/>
    <n v="50001"/>
    <s v="2025-09-01"/>
    <n v="1"/>
    <s v="VILLAVICENCIO"/>
    <x v="1"/>
    <n v="49671.7"/>
    <n v="49671.7"/>
  </r>
  <r>
    <n v="62035"/>
    <s v="BARRIO CARIBE VERDE BARRANQUILLA 5"/>
    <n v="22486988"/>
    <s v="3106943751"/>
    <s v="3106943751"/>
    <s v="3053394919"/>
    <s v="CL 131 9 125 TORRE 44 APT 102"/>
    <s v="10.95761"/>
    <s v="-74.85580"/>
    <s v="ATLÁNTICO"/>
    <s v="BARRANQUILLA"/>
    <s v="BARRANQUILLA"/>
    <n v="8001"/>
    <s v="2025-09-01"/>
    <n v="1"/>
    <s v="BARRANQUILLA"/>
    <x v="5"/>
    <n v="37313"/>
    <n v="37313"/>
  </r>
  <r>
    <n v="45335"/>
    <s v="BARRIO CENTRO MEDELLIN 56"/>
    <n v="811037149"/>
    <s v="5111725"/>
    <s v="3186213396"/>
    <s v="3186213396"/>
    <s v="CR 49 45 25,CENTRO"/>
    <s v="6.2457420"/>
    <s v="-75.5690156"/>
    <s v="ANTIOQUIA"/>
    <s v="MEDELLÍN"/>
    <s v="MEDELLÍN"/>
    <n v="5001"/>
    <s v="2025-09-01"/>
    <n v="1"/>
    <s v="MEDELLIN"/>
    <x v="0"/>
    <n v="37313"/>
    <n v="37313"/>
  </r>
  <r>
    <n v="68336"/>
    <s v="BARRIO LA MINA ENVIGADO  4"/>
    <n v="1037630204"/>
    <s v="5703131"/>
    <s v="3014308898"/>
    <s v="3014308898"/>
    <s v="CL 41 SUR 25 AA 48"/>
    <s v="6.1554136"/>
    <s v="-75.5836651"/>
    <s v="ANTIOQUIA"/>
    <s v="ENVIGADO"/>
    <s v="ENVIGADO"/>
    <n v="5266"/>
    <s v="2025-09-01"/>
    <n v="1"/>
    <s v="MEDELLIN"/>
    <x v="0"/>
    <n v="37313"/>
    <n v="37313"/>
  </r>
  <r>
    <n v="66021"/>
    <s v="BARRIO SAN JOSE POPAYAN 3"/>
    <n v="34563646"/>
    <s v="0"/>
    <s v="3125272161"/>
    <s v="3125272161"/>
    <s v="CR 31 NRO. 5 - 03,SAN JOSÉ"/>
    <s v="2.4501887"/>
    <s v="-76.6266668"/>
    <s v="CAUCA"/>
    <s v="POPAYÁN"/>
    <s v="POPAYÁN"/>
    <n v="19001"/>
    <s v="2025-09-01"/>
    <n v="1"/>
    <s v="CALI"/>
    <x v="3"/>
    <n v="37313"/>
    <n v="37313"/>
  </r>
  <r>
    <n v="66551"/>
    <s v="BARRIO LA MINA ENVIGADO 3"/>
    <n v="1214735798"/>
    <s v="0"/>
    <s v="3003154398"/>
    <s v="3003154398"/>
    <s v="CL 41 SUR 25 121"/>
    <s v="6.1541663"/>
    <s v="-75.5846855"/>
    <s v="ANTIOQUIA"/>
    <s v="ENVIGADO"/>
    <s v="ENVIGADO"/>
    <n v="5266"/>
    <s v="2025-09-01"/>
    <n v="1"/>
    <s v="MEDELLIN"/>
    <x v="0"/>
    <n v="37313"/>
    <n v="37313"/>
  </r>
  <r>
    <n v="36492"/>
    <s v="BARRIO CHAPAL PASTO 1"/>
    <n v="1085256029"/>
    <s v="7359026"/>
    <s v="3207922432"/>
    <s v="3207922432"/>
    <s v="BRR CHAPAL CL 12 6 21"/>
    <s v="1.196228"/>
    <s v="-77.279050"/>
    <s v="NARIÑO"/>
    <s v="PASTO"/>
    <s v="SAN JUAN DE PASTO"/>
    <n v="52001"/>
    <s v="2025-09-01"/>
    <n v="1"/>
    <s v="PASTO"/>
    <x v="3"/>
    <n v="49671.7"/>
    <n v="49671.7"/>
  </r>
  <r>
    <n v="66145"/>
    <s v="BARRIO SAN IGNACIO PASTO 4"/>
    <n v="1081281612"/>
    <s v="0"/>
    <s v="3052612951"/>
    <s v="3155401715"/>
    <s v="CL 13 32 55 EDIFICIO AURORA RESERVADO LOCAL 4 LA AURORA - LA AURORA,SAN IGNACIO"/>
    <s v="1.217203333"/>
    <s v="-77.286209444"/>
    <s v="NARIÑO"/>
    <s v="PASTO"/>
    <s v="SAN JUAN DE PASTO"/>
    <n v="52001"/>
    <s v="2025-09-01"/>
    <n v="1"/>
    <s v="PASTO"/>
    <x v="3"/>
    <n v="49671.7"/>
    <n v="49671.7"/>
  </r>
  <r>
    <n v="69762"/>
    <s v="BARRIO BARRANCAS BOGOTA 11"/>
    <n v="1121848083"/>
    <s v="3152200592"/>
    <s v="3118735843"/>
    <s v="3152200592"/>
    <s v="CL 156 NO. 7-11,BARRANCAS"/>
    <s v="4.731611"/>
    <s v="-74.0242121"/>
    <s v="CUNDINAMARCA"/>
    <s v="BOGOTÁ"/>
    <s v="BOGOTÁ"/>
    <n v="11001"/>
    <s v="2025-09-01"/>
    <n v="1"/>
    <s v="BOGOTA"/>
    <x v="2"/>
    <n v="37313"/>
    <n v="37313"/>
  </r>
  <r>
    <n v="46297"/>
    <s v="BARRIO TORREON DE SANTA ANA IBAGUE"/>
    <n v="1110515448"/>
    <m/>
    <s v="3203300573"/>
    <s v="3203300573"/>
    <s v="CLL 122  N 7D - 55 Torreon de santa ana cuarta etapa to 3 ap 102 via salado - Vda santa ana"/>
    <s v="4.444434"/>
    <s v="-75.162175"/>
    <s v="TOLIMA"/>
    <s v="IBAGUÉ"/>
    <s v="IBAGUÉ"/>
    <n v="73001"/>
    <s v="2025-09-01"/>
    <n v="1"/>
    <s v="IBAGUE"/>
    <x v="1"/>
    <n v="49671.7"/>
    <n v="49671.7"/>
  </r>
  <r>
    <n v="65554"/>
    <s v="BARRIO ACAPULCO VILLAVICENCIO"/>
    <n v="1122626682"/>
    <s v="3166079653"/>
    <s v="3166079653"/>
    <s v="3134480783"/>
    <s v="CL 37 A 19 - 12 BRR LA FLORENCIA"/>
    <s v="4.117781"/>
    <s v="-73.589863"/>
    <s v="META"/>
    <s v="VILLAVICENCIO"/>
    <s v="VILLAVICENCIO"/>
    <n v="50001"/>
    <s v="2025-09-01"/>
    <n v="1"/>
    <s v="VILLAVICENCIO"/>
    <x v="1"/>
    <n v="49671.7"/>
    <n v="49671.7"/>
  </r>
  <r>
    <n v="65743"/>
    <s v="BARRIO BELLO HORIZONTE POPAYAN 10"/>
    <n v="1061717381"/>
    <s v="0"/>
    <s v="3117709907"/>
    <s v="3117709907"/>
    <s v="CL 68N  19 - 80 BELLO HORIZONTE"/>
    <s v="2.4903345"/>
    <s v="-76.5678905"/>
    <s v="CAUCA"/>
    <s v="POPAYÁN"/>
    <s v="POPAYÁN"/>
    <n v="19001"/>
    <s v="2025-09-01"/>
    <n v="1"/>
    <s v="CALI"/>
    <x v="3"/>
    <n v="37313"/>
    <n v="37313"/>
  </r>
  <r>
    <n v="63130"/>
    <s v="BARRIO SAN FERNANDO CARTAGENA DE INDIAS 5"/>
    <n v="1143367774"/>
    <s v="3132817595"/>
    <s v="3132817595"/>
    <s v="3132817595"/>
    <s v="CL 15 80 C 62,SAN FERNANDO"/>
    <s v="10.3790495"/>
    <s v="-75.4757650"/>
    <s v="BOLÍVAR"/>
    <s v="CARTAGENA DE INDIAS"/>
    <s v="CARTAGENA DE INDIAS"/>
    <n v="13001"/>
    <s v="2025-09-01"/>
    <n v="1"/>
    <s v="CARTAGENA"/>
    <x v="5"/>
    <n v="49671.7"/>
    <n v="49671.7"/>
  </r>
  <r>
    <n v="70991"/>
    <s v="BARRIO SABANETA SABANETA 7"/>
    <n v="901714573"/>
    <s v="6046126969"/>
    <s v="6046126969"/>
    <s v="3197044850"/>
    <s v="CARRERA 44 64 SUR 03,SABANETA"/>
    <s v="6.1540964"/>
    <s v="-75.6115709"/>
    <s v="ANTIOQUIA"/>
    <s v="SABANETA"/>
    <s v="SABANETA"/>
    <n v="5631"/>
    <s v="2025-09-01"/>
    <n v="1"/>
    <s v="MEDELLIN"/>
    <x v="0"/>
    <n v="37313"/>
    <n v="37313"/>
  </r>
  <r>
    <n v="71705"/>
    <s v="ENVIGADO SAN RAFAEL"/>
    <n v="1039462769"/>
    <s v="3506346456"/>
    <s v="3506346456"/>
    <s v="3506346456"/>
    <s v="CL CALLE 41 BB SUR CRA 29 A 03,SAN RAFAEL"/>
    <s v="6.1577587"/>
    <s v="-75.5854791"/>
    <s v="ANTIOQUIA"/>
    <s v="ENVIGADO"/>
    <s v="ENVIGADO"/>
    <n v="5266"/>
    <s v="2025-09-01"/>
    <n v="1"/>
    <s v="MEDELLIN"/>
    <x v="0"/>
    <n v="37313"/>
    <n v="37313"/>
  </r>
  <r>
    <n v="71611"/>
    <s v="CUCUTA ATALAYA I "/>
    <n v="88230172"/>
    <s v="3133936248"/>
    <s v="3133936248"/>
    <s v="3017993481"/>
    <s v="MZ J2 LOT 7,ATALAYA I"/>
    <s v="7.9058155"/>
    <s v="-72.5257657"/>
    <s v="NORTE DE SANTANDER"/>
    <s v="CÚCUTA"/>
    <s v="CÚCUTA"/>
    <n v="54001"/>
    <s v="2025-09-01"/>
    <n v="1"/>
    <s v="CUCUTA"/>
    <x v="4"/>
    <n v="49671.7"/>
    <n v="49671.7"/>
  </r>
  <r>
    <n v="71721"/>
    <s v="NELSON MANDELA SECTOR LAS TORRES"/>
    <n v="73135037"/>
    <s v="3103697257"/>
    <s v="3103697257"/>
    <s v="3103697257"/>
    <s v="MZ 8 LT 25,NELSON MANDELA SECTOR LAS TORRES"/>
    <s v="10.3660741"/>
    <s v="-75.4776631"/>
    <s v="BOLÍVAR"/>
    <s v="CARTAGENA DE INDIAS"/>
    <s v="CARTAGENA DE INDIAS"/>
    <n v="13001"/>
    <s v="2025-09-01"/>
    <n v="1"/>
    <s v="CARTAGENA"/>
    <x v="5"/>
    <n v="49671.7"/>
    <n v="49671.7"/>
  </r>
  <r>
    <n v="60149"/>
    <s v="BARRIO LAS MARGARITAS BOGOTA 1"/>
    <n v="1020746493"/>
    <s v="0"/>
    <s v="3167583096"/>
    <s v="3167583096"/>
    <s v="CALLE 150 # 21 - 06"/>
    <s v="4.731903333"/>
    <s v="-74.04722666"/>
    <s v="CUNDINAMARCA"/>
    <s v="BOGOTÁ"/>
    <s v="BOGOTÁ"/>
    <n v="11001"/>
    <s v="2025-09-01"/>
    <n v="1"/>
    <s v="BOGOTA"/>
    <x v="2"/>
    <n v="37313"/>
    <n v="37313"/>
  </r>
  <r>
    <n v="68653"/>
    <s v="BARRIO MANRIQUE CENTRAL MEDELLIN  3"/>
    <n v="43918973"/>
    <s v="0"/>
    <s v="3105015546"/>
    <s v="3105015546"/>
    <s v="CR 45 66 228,MANRIQUE CENTRAL"/>
    <s v="6.2629635"/>
    <s v="-75.5553977"/>
    <s v="ANTIOQUIA"/>
    <s v="MEDELLÍN"/>
    <s v="MEDELLÍN"/>
    <n v="5001"/>
    <s v="2025-09-01"/>
    <n v="1"/>
    <s v="MEDELLIN"/>
    <x v="0"/>
    <n v="37313"/>
    <n v="37313"/>
  </r>
  <r>
    <n v="68894"/>
    <s v="LIMONAR CALI 5"/>
    <n v="1107101807"/>
    <s v="4856553"/>
    <s v="3186305789"/>
    <s v="3186305789"/>
    <s v="CR 56 # 10 - 27 LC 5,LIMONAR"/>
    <s v="3.406781"/>
    <s v="-76.539430"/>
    <s v="VALLE DEL CAUCA"/>
    <s v="CALI"/>
    <s v="SANTIAGO DE CALI"/>
    <n v="76001"/>
    <s v="2025-09-01"/>
    <n v="1"/>
    <s v="CALI"/>
    <x v="3"/>
    <n v="37313"/>
    <n v="37313"/>
  </r>
  <r>
    <n v="69041"/>
    <s v="BARRIO LA GAITANA NEIVA"/>
    <n v="901684265"/>
    <s v="3143360934"/>
    <s v="0"/>
    <s v="3143360934"/>
    <s v="CR 22 4 B 02,LA GAITANA"/>
    <s v="2.927270"/>
    <s v="-75.273607"/>
    <s v="HUILA"/>
    <s v="NEIVA"/>
    <s v="NEIVA"/>
    <n v="41001"/>
    <s v="2025-09-01"/>
    <n v="1"/>
    <s v="NEIVA"/>
    <x v="1"/>
    <n v="49671.7"/>
    <n v="49671.7"/>
  </r>
  <r>
    <n v="69029"/>
    <s v="BARRIO BELMONTE POPAYÁN"/>
    <n v="1061019075"/>
    <s v="0"/>
    <s v="3046032360"/>
    <s v="3162401495"/>
    <s v="CR 39 1 A BIS 31 LC 2 BRR BELMONTE"/>
    <s v="2.4555067"/>
    <s v="-76.6305034"/>
    <s v="CAUCA"/>
    <s v="POPAYÁN"/>
    <s v="POPAYÁN"/>
    <n v="19001"/>
    <s v="2025-09-01"/>
    <n v="1"/>
    <s v="CALI"/>
    <x v="3"/>
    <n v="37313"/>
    <n v="37313"/>
  </r>
  <r>
    <n v="64132"/>
    <s v="BARRIO EL CARMEN IBAGUE 13"/>
    <n v="5937128"/>
    <s v="2612546"/>
    <s v="3142671105"/>
    <s v="3142671105"/>
    <s v="CR 4 ESTADIO # 20-12,EL CARMEN"/>
    <s v="4.4403104"/>
    <s v="-75.2329495"/>
    <s v="TOLIMA"/>
    <s v="IBAGUÉ"/>
    <s v="IBAGUÉ"/>
    <n v="73001"/>
    <s v="2025-09-01"/>
    <n v="1"/>
    <s v="IBAGUE"/>
    <x v="1"/>
    <n v="49671.7"/>
    <n v="49671.7"/>
  </r>
  <r>
    <n v="71817"/>
    <s v="CAUCA POPAYAN"/>
    <n v="1107100708"/>
    <s v="3175136628"/>
    <s v="3175136628"/>
    <s v="3175136628"/>
    <s v="CR 37 12 A 50 - LAS PALMAS,LAS PALMAS"/>
    <s v="2.4492038"/>
    <s v="-76.6347901"/>
    <s v="CAUCA"/>
    <s v="POPAYÁN"/>
    <s v="POPAYÁN"/>
    <n v="19001"/>
    <s v="2025-09-01"/>
    <n v="1"/>
    <s v="CALI"/>
    <x v="3"/>
    <n v="37313"/>
    <n v="37313"/>
  </r>
  <r>
    <n v="72110"/>
    <s v="CALI PANAMERICANO"/>
    <n v="1143848578"/>
    <s v="3043751540"/>
    <s v="3043751540"/>
    <s v="3043751540"/>
    <s v="KR 56 # 11 A- 63,PANAMERICANO"/>
    <s v="3.405924"/>
    <s v="-76.537504"/>
    <s v="VALLE DEL CAUCA"/>
    <s v="CALI"/>
    <s v="SANTIAGO DE CALI"/>
    <n v="76001"/>
    <s v="2025-09-01"/>
    <n v="1"/>
    <s v="CALI"/>
    <x v="3"/>
    <n v="37313"/>
    <n v="37313"/>
  </r>
  <r>
    <n v="68004"/>
    <s v="BARRIO BELALCAZAR IBAGUE  6"/>
    <n v="38244934"/>
    <s v="0"/>
    <s v="3204216010"/>
    <s v="3204216010"/>
    <s v="CL 29 # 6-39 PISO 1,BELALCAZAR"/>
    <s v="4.440993"/>
    <s v="-75.223240 "/>
    <s v="TOLIMA"/>
    <s v="IBAGUÉ"/>
    <s v="IBAGUÉ"/>
    <n v="73001"/>
    <s v="2025-09-01"/>
    <n v="1"/>
    <s v="IBAGUE"/>
    <x v="1"/>
    <n v="49671.7"/>
    <n v="49671.7"/>
  </r>
  <r>
    <n v="76127"/>
    <s v="BARRIO SAN RAFAEL  CUCUTA"/>
    <n v="1127572485"/>
    <s v="3134885324"/>
    <s v="3228878333"/>
    <s v="3228878333"/>
    <s v="CL 23A 1 21,SAN RAFAEL"/>
    <s v="7.8741313"/>
    <s v="-72.5006908"/>
    <s v="NORTE DE SANTANDER"/>
    <s v="CÚCUTA"/>
    <s v="CÚCUTA"/>
    <n v="54001"/>
    <s v="2025-09-01"/>
    <n v="1"/>
    <s v="CUCUTA"/>
    <x v="4"/>
    <n v="49671.7"/>
    <n v="49671.7"/>
  </r>
  <r>
    <n v="70654"/>
    <s v="BARRIO PALMERAS PARTE ALTA CUCUTA 1"/>
    <n v="1090391393"/>
    <s v="3112587445"/>
    <s v="3112587445"/>
    <s v="3133319623"/>
    <s v="MZ 19 LOTE 1,APT 103 PALMERAS PARTE ALTA"/>
    <s v="7.9053543"/>
    <s v="-72.5252954"/>
    <s v="NORTE DE SANTANDER"/>
    <s v="CÚCUTA"/>
    <s v="CÚCUTA"/>
    <n v="54001"/>
    <s v="2025-09-01"/>
    <n v="1"/>
    <s v="CUCUTA"/>
    <x v="4"/>
    <n v="49671.7"/>
    <n v="49671.7"/>
  </r>
  <r>
    <n v="78177"/>
    <s v="BARRIO CALIMA CALI 5"/>
    <n v="1144073076"/>
    <s v="3022199988"/>
    <s v="3164585501"/>
    <s v="3022199983"/>
    <s v="CR 5 NORTE 62 N 101,CALIMA"/>
    <s v="3.4843377"/>
    <s v="-76.5015761"/>
    <s v="VALLE DEL CAUCA"/>
    <s v="CALI"/>
    <s v="SANTIAGO DE CALI"/>
    <n v="76001"/>
    <s v="2025-09-01"/>
    <n v="1"/>
    <s v="CALI"/>
    <x v="3"/>
    <n v="37313"/>
    <n v="37313"/>
  </r>
  <r>
    <n v="72713"/>
    <s v="CAICEDO ALTO PASTO"/>
    <n v="1004236371"/>
    <s v="3117776606"/>
    <s v="3117776606"/>
    <s v="3117776606"/>
    <s v="BRR CAICEDO ALTO CR 15 A 5 05"/>
    <s v="1.201745"/>
    <s v="-77.2831943"/>
    <s v="NARIÑO"/>
    <s v="PASTO"/>
    <s v="SAN JUAN DE PASTO"/>
    <n v="52001"/>
    <s v="2025-09-01"/>
    <n v="1"/>
    <s v="PASTO"/>
    <x v="3"/>
    <n v="49671.7"/>
    <n v="49671.7"/>
  </r>
  <r>
    <n v="78032"/>
    <s v="BARRIO_x0009_PROVENZA POBLADO MEDELLIN"/>
    <n v="901396366"/>
    <s v="3207777956"/>
    <s v="3045415375"/>
    <s v="3053240291"/>
    <s v="CR 40 10 44,PROVENZA POBLADO"/>
    <s v="6.2101100"/>
    <s v="-75.5677986"/>
    <s v="ANTIOQUIA"/>
    <s v="MEDELLÍN"/>
    <s v="MEDELLÍN"/>
    <n v="5001"/>
    <s v="2025-09-01"/>
    <n v="1"/>
    <s v="MEDELLIN"/>
    <x v="0"/>
    <n v="37313"/>
    <n v="37313"/>
  </r>
  <r>
    <n v="78067"/>
    <s v="BARRIO VIRREY BOGOTA  6"/>
    <n v="52025902"/>
    <s v="3125890924"/>
    <s v="3125890924"/>
    <s v="3107843060"/>
    <s v="CR 13 93A -14 SUR"/>
    <s v="4.50387"/>
    <s v="-74.11559"/>
    <s v="CUNDINAMARCA"/>
    <s v="BOGOTÁ"/>
    <s v="BOGOTÁ"/>
    <n v="11001"/>
    <s v="2025-09-01"/>
    <n v="1"/>
    <s v="BOGOTA"/>
    <x v="2"/>
    <n v="37313"/>
    <n v="37313"/>
  </r>
  <r>
    <n v="78235"/>
    <s v="BARRIO SANTO DOMINGO  BOGOTA"/>
    <n v="1032383118"/>
    <s v="3197077683"/>
    <s v="3197077683"/>
    <s v="3024766929"/>
    <s v="CL 68 C SUR 76 B 21 LC 2,SANTO DOMINGO"/>
    <s v="4.5786183"/>
    <s v="-74.1781927"/>
    <s v="CUNDINAMARCA"/>
    <s v="BOGOTÁ"/>
    <s v="BOGOTÁ"/>
    <n v="11001"/>
    <s v="2025-09-01"/>
    <n v="1"/>
    <s v="BOGOTA"/>
    <x v="2"/>
    <n v="37313"/>
    <n v="37313"/>
  </r>
  <r>
    <n v="78412"/>
    <s v="BARRIO SIMON BOLIVAR BARRANQUILLA 9"/>
    <n v="79813595"/>
    <s v="3117640668"/>
    <s v="3117640668"/>
    <s v="3023715568"/>
    <s v="CL 19 6 C - 19,SIMON BOLIVAR"/>
    <s v="10.94626"/>
    <s v="-74.77636"/>
    <s v="ATLÁNTICO"/>
    <s v="BARRANQUILLA"/>
    <s v="BARRANQUILLA"/>
    <n v="8001"/>
    <s v="2025-09-01"/>
    <n v="1"/>
    <s v="BARRANQUILLA"/>
    <x v="5"/>
    <n v="37313"/>
    <n v="37313"/>
  </r>
  <r>
    <n v="78456"/>
    <s v="BARRIO CAICEDO BAJO PASTO"/>
    <n v="59310451"/>
    <s v="3226393416"/>
    <s v="3185954288"/>
    <s v="3185954288"/>
    <s v="CR 14 1 C 11 BRR CAICEDO BAJO - CAICEDO,CAICEDO BAJO"/>
    <s v="1.1999270"/>
    <s v="-77.2843789"/>
    <s v="NARIÑO"/>
    <s v="PASTO"/>
    <s v="SAN JUAN DE PASTO"/>
    <n v="52001"/>
    <s v="2025-09-01"/>
    <n v="1"/>
    <s v="PASTO"/>
    <x v="3"/>
    <n v="49671.7"/>
    <n v="49671.7"/>
  </r>
  <r>
    <n v="78066"/>
    <s v="BARRIO SAN LUIS BARRANQUILLA 3"/>
    <n v="1024530176"/>
    <s v="3002549187"/>
    <s v="3002549187"/>
    <s v="3117767979"/>
    <s v="CL 91 2 C - 35,SAN LUIS"/>
    <s v="10.937731"/>
    <s v="-74.825033"/>
    <s v="ATLÁNTICO"/>
    <s v="BARRANQUILLA"/>
    <s v="BARRANQUILLA"/>
    <n v="8001"/>
    <s v="2025-09-01"/>
    <n v="1"/>
    <s v="BARRANQUILLA"/>
    <x v="5"/>
    <n v="37313"/>
    <n v="37313"/>
  </r>
  <r>
    <n v="67635"/>
    <s v="BARRIO DINDALITO BOGOTA 17"/>
    <n v="52737210"/>
    <s v="3114842854"/>
    <s v="3114842854"/>
    <s v="3114842854"/>
    <s v="CALLE 42 F SUR # 93 B - 20 ,DINDALITO"/>
    <s v="4.6417636"/>
    <s v="-74.1759525"/>
    <s v="CUNDINAMARCA"/>
    <s v="BOGOTÁ"/>
    <s v="BOGOTÁ"/>
    <n v="11001"/>
    <s v="2025-09-01"/>
    <n v="1"/>
    <s v="BOGOTA"/>
    <x v="2"/>
    <n v="37313"/>
    <n v="37313"/>
  </r>
  <r>
    <n v="76185"/>
    <s v="BARRIO CALIMA CALI 3"/>
    <n v="79852657"/>
    <s v="3194173880"/>
    <s v="3175300298"/>
    <s v="3175300298"/>
    <s v="CR 5 NORTE 62 53,CALIMA"/>
    <s v="3.4838450"/>
    <s v="-76.5018480"/>
    <s v="VALLE DEL CAUCA"/>
    <s v="CALI"/>
    <s v="SANTIAGO DE CALI"/>
    <n v="76001"/>
    <s v="2025-09-01"/>
    <n v="1"/>
    <s v="CALI"/>
    <x v="3"/>
    <n v="37313"/>
    <n v="37313"/>
  </r>
  <r>
    <n v="76263"/>
    <s v="BARRIO CALLEJON CUCUTA 18"/>
    <n v="1093741883"/>
    <s v="3112085047"/>
    <s v="3125082850"/>
    <s v="3112085047"/>
    <s v="CL 5 9 96,CALLEJON"/>
    <s v="7.8913517548439085"/>
    <s v="-72.51015303501048"/>
    <s v="NORTE DE SANTANDER"/>
    <s v="CÚCUTA"/>
    <s v="CÚCUTA"/>
    <n v="54001"/>
    <s v="2025-09-01"/>
    <n v="1"/>
    <s v="CUCUTA"/>
    <x v="4"/>
    <n v="49671.7"/>
    <n v="49671.7"/>
  </r>
  <r>
    <n v="72934"/>
    <s v="BARRIO LOS ANGELES BARRANQUILLA 3"/>
    <n v="1051668387"/>
    <s v="3022852804"/>
    <s v="3022852804"/>
    <s v="3022852804"/>
    <s v="CL 111 14-14,LOS ANGELES"/>
    <s v="10.96572"/>
    <s v="-74.84046"/>
    <s v="ATLÁNTICO"/>
    <s v="BARRANQUILLA"/>
    <s v="BARRANQUILLA"/>
    <n v="8001"/>
    <s v="2025-09-01"/>
    <n v="1"/>
    <s v="BARRANQUILLA"/>
    <x v="5"/>
    <n v="37313"/>
    <n v="37313"/>
  </r>
  <r>
    <n v="73384"/>
    <s v="BARRIO OLAYA HERRERA CALI CAUCA"/>
    <n v="16626651"/>
    <s v="3167800790"/>
    <s v="3162226328"/>
    <s v="3167800790"/>
    <s v="CR 7 NORTE # 49 N - 49 BARRIO OLAYA HERRERA,OLAYA HERRERA"/>
    <s v="3.4773433"/>
    <s v="-76.5087700"/>
    <s v="VALLE DEL CAUCA"/>
    <s v="CALI"/>
    <s v="SANTIAGO DE CALI"/>
    <n v="76001"/>
    <s v="2025-09-01"/>
    <n v="1"/>
    <s v="CALI"/>
    <x v="3"/>
    <n v="37313"/>
    <n v="37313"/>
  </r>
  <r>
    <n v="73693"/>
    <s v="BARRIO VILLA ALEXANDRA BOGOTA"/>
    <n v="98629139"/>
    <s v="3183763227"/>
    <s v="3183763227"/>
    <s v="3183763227"/>
    <s v="CL 42 A NO. 99 22 SUR,VILLA ALEXANDRA"/>
    <s v="4.6475083"/>
    <s v="-74.1776483"/>
    <s v="CUNDINAMARCA"/>
    <s v="BOGOTÁ"/>
    <s v="BOGOTÁ"/>
    <n v="11001"/>
    <s v="2025-09-01"/>
    <n v="1"/>
    <s v="BOGOTA"/>
    <x v="2"/>
    <n v="37313"/>
    <n v="37313"/>
  </r>
  <r>
    <n v="67821"/>
    <s v="BARRIO CHAPINERO CUCUTA 5"/>
    <n v="13271177"/>
    <s v="3212930347"/>
    <s v="0"/>
    <s v="3212930347"/>
    <s v="CL 8 5-30,CHAPINERO"/>
    <s v="7.91367611"/>
    <s v="-72.516517500"/>
    <s v="NORTE DE SANTANDER"/>
    <s v="CÚCUTA"/>
    <s v="CÚCUTA"/>
    <n v="54001"/>
    <s v="2025-09-01"/>
    <n v="1"/>
    <s v="CUCUTA"/>
    <x v="4"/>
    <n v="49671.7"/>
    <n v="49671.7"/>
  </r>
  <r>
    <n v="65045"/>
    <s v="BARRIO CARIBE VERDE BARRANQUILLA 9"/>
    <n v="1041997422"/>
    <s v="3145885474"/>
    <s v="3145885474"/>
    <s v="3145885474"/>
    <s v="CL 134 8 G 101 MZ 3 CASA 23,CARIBE VERDE"/>
    <s v="10.9560309"/>
    <s v="-74.8590746"/>
    <s v="ATLÁNTICO"/>
    <s v="BARRANQUILLA"/>
    <s v="BARRANQUILLA"/>
    <n v="8001"/>
    <s v="2025-09-01"/>
    <n v="1"/>
    <s v="BARRANQUILLA"/>
    <x v="5"/>
    <n v="37313"/>
    <n v="37313"/>
  </r>
  <r>
    <n v="74059"/>
    <s v="BARRIO SANTO DOMINGO CALI  3"/>
    <n v="901491456"/>
    <s v="3002873963"/>
    <s v="3002873963"/>
    <s v="3002873963"/>
    <s v="CL 13 # 48 - 49,SANTO DOMINGO"/>
    <s v="3.4106544"/>
    <s v="-76.5336917"/>
    <s v="VALLE DEL CAUCA"/>
    <s v="CALI"/>
    <s v="SANTIAGO DE CALI"/>
    <n v="76001"/>
    <s v="2025-09-01"/>
    <n v="1"/>
    <s v="CALI"/>
    <x v="3"/>
    <n v="37313"/>
    <n v="37313"/>
  </r>
  <r>
    <n v="74471"/>
    <s v="BARRIO QUEBRADITAS NEIVA"/>
    <n v="1117485863"/>
    <s v="3237452070"/>
    <s v="3237452070"/>
    <s v="3237452070"/>
    <s v="CL 2 8 65,QUEBRADITAS"/>
    <s v="2.922761"/>
    <s v="-75.284093"/>
    <s v="HUILA"/>
    <s v="NEIVA"/>
    <s v="NEIVA"/>
    <n v="41001"/>
    <s v="2025-09-01"/>
    <n v="1"/>
    <s v="NEIVA"/>
    <x v="1"/>
    <n v="49671.7"/>
    <n v="49671.7"/>
  </r>
  <r>
    <n v="74422"/>
    <s v="BARRIO CUNDINAMARCA CUCUTA"/>
    <n v="1090474214"/>
    <s v="3133989909"/>
    <s v="3133989909"/>
    <s v="3133989909"/>
    <s v="CL 10 NRO 18-07,CUNDINAMARCA"/>
    <s v="7.8843788067694645"/>
    <s v="-72.51727805471661"/>
    <s v="NORTE DE SANTANDER"/>
    <s v="CÚCUTA"/>
    <s v="CÚCUTA"/>
    <n v="54001"/>
    <s v="2025-09-01"/>
    <n v="1"/>
    <s v="CUCUTA"/>
    <x v="4"/>
    <n v="49671.7"/>
    <n v="49671.7"/>
  </r>
  <r>
    <n v="76629"/>
    <s v="BARRIO LOS GIRASOLES BARRANQUILLA 3"/>
    <n v="901134633"/>
    <s v="3012887955"/>
    <s v="3014591248"/>
    <s v="3012887955"/>
    <s v="CR 14 SUR 46-16 LC 2,LOS GIRASOLES"/>
    <s v="10.92358"/>
    <s v="-74.80292"/>
    <s v="ATLÁNTICO"/>
    <s v="BARRANQUILLA"/>
    <s v="BARRANQUILLA"/>
    <n v="8001"/>
    <s v="2025-09-01"/>
    <n v="1"/>
    <s v="BARRANQUILLA"/>
    <x v="5"/>
    <n v="37313"/>
    <n v="37313"/>
  </r>
  <r>
    <n v="77112"/>
    <s v="BARRIO ESTADIO URDANETA ARBELAEZ NEIVA 1"/>
    <n v="901809400"/>
    <s v="3112842280"/>
    <s v="3167225118"/>
    <s v="3112842280"/>
    <s v="CL 3 5 69,ESTADIO URDANETA ARBELAEZ"/>
    <s v="2.923121"/>
    <s v="-75.286654"/>
    <s v="HUILA"/>
    <s v="NEIVA"/>
    <s v="NEIVA"/>
    <n v="41001"/>
    <s v="2025-09-01"/>
    <n v="1"/>
    <s v="NEIVA"/>
    <x v="1"/>
    <n v="49671.7"/>
    <n v="49671.7"/>
  </r>
  <r>
    <n v="75041"/>
    <s v="BARRIO 7 DE ABRIL BARRANQUILLA 2"/>
    <n v="55308731"/>
    <s v="6053986456"/>
    <s v="3006429394"/>
    <s v="3006429394"/>
    <s v="CL 49 6 S 3,7 DE ABRIL"/>
    <s v="10.92562"/>
    <s v="-74.81146"/>
    <s v="ATLÁNTICO"/>
    <s v="BARRANQUILLA"/>
    <s v="BARRANQUILLA"/>
    <n v="8001"/>
    <s v="2025-09-01"/>
    <n v="1"/>
    <s v="BARRANQUILLA"/>
    <x v="5"/>
    <n v="37313"/>
    <n v="37313"/>
  </r>
  <r>
    <n v="75352"/>
    <s v="BARRIO SAN BENITO VILLAVICENCIO 14"/>
    <n v="40447715"/>
    <s v="3007399489"/>
    <s v="3124318693"/>
    <s v="3124318693"/>
    <s v="CL 24 N 33 68 SAN BENITO,SAN BENITO"/>
    <s v="4.139055"/>
    <s v="-73.631100"/>
    <s v="META"/>
    <s v="VILLAVICENCIO"/>
    <s v="VILLAVICENCIO"/>
    <n v="50001"/>
    <s v="2025-09-01"/>
    <n v="1"/>
    <s v="VILLAVICENCIO"/>
    <x v="1"/>
    <n v="49671.7"/>
    <n v="49671.7"/>
  </r>
  <r>
    <n v="76870"/>
    <s v="BARRIO SABANETA SABANETA 12"/>
    <n v="43688878"/>
    <s v="3229118159"/>
    <s v="3229118159"/>
    <s v="3229118159"/>
    <s v="CR 45 61 SUR 64"/>
    <s v="6.1555697"/>
    <s v="-75.6112939"/>
    <s v="ANTIOQUIA"/>
    <s v="SABANETA"/>
    <s v="SABANETA"/>
    <n v="5631"/>
    <s v="2025-09-01"/>
    <n v="1"/>
    <s v="MEDELLIN"/>
    <x v="0"/>
    <n v="37313"/>
    <n v="37313"/>
  </r>
  <r>
    <n v="76875"/>
    <s v="BARRIO SANTA MARIA BARRANQUILLA SANTA MARIA"/>
    <n v="91278584"/>
    <s v="3187265476"/>
    <s v="3164922152"/>
    <s v="3187265476"/>
    <s v="CR 01 E 90-91,SANTA MARIA"/>
    <s v="10.93486"/>
    <s v="-74.82522"/>
    <s v="ATLÁNTICO"/>
    <s v="BARRANQUILLA"/>
    <s v="BARRANQUILLA"/>
    <n v="8001"/>
    <s v="2025-09-01"/>
    <n v="1"/>
    <s v="BARRANQUILLA"/>
    <x v="5"/>
    <n v="37313"/>
    <n v="37313"/>
  </r>
  <r>
    <n v="74540"/>
    <s v="BARRIO SAN MIGUEL CUCUTA 11"/>
    <n v="1090489624"/>
    <s v="3157261619"/>
    <s v="3132953914"/>
    <s v="3132953914"/>
    <s v="AV 16 NRO 9-63,SAN MIGUEL"/>
    <s v="7.8851402"/>
    <s v="-72.5153291"/>
    <s v="NORTE DE SANTANDER"/>
    <s v="CÚCUTA"/>
    <s v="CÚCUTA"/>
    <n v="54001"/>
    <s v="2025-09-01"/>
    <n v="1"/>
    <s v="CUCUTA"/>
    <x v="4"/>
    <n v="49671.7"/>
    <n v="49671.7"/>
  </r>
  <r>
    <n v="78798"/>
    <s v="BARRIO CALLEJON CUCUTA 20"/>
    <n v="88236350"/>
    <s v="3142987919"/>
    <s v="3142987919"/>
    <m/>
    <s v="AV 9 3 55 LC 2,CALLEJON"/>
    <s v="7.8927682"/>
    <s v="-72.5092238"/>
    <s v="NORTE DE SANTANDER"/>
    <s v="CÚCUTA"/>
    <s v="CÚCUTA"/>
    <n v="54001"/>
    <s v="2025-09-01"/>
    <n v="1"/>
    <s v="CUCUTA"/>
    <x v="4"/>
    <n v="49671.7"/>
    <n v="49671.7"/>
  </r>
  <r>
    <n v="74077"/>
    <s v="BARRIO SAN FERNANDO CALLE FLORIDA CARTAGENA DE INDIAS"/>
    <n v="45449208"/>
    <s v="3014417298"/>
    <s v="3014417298"/>
    <s v="3135858290"/>
    <s v="CR 80 -5 -37 APTO 101,SAN FERNANDO CALLE FLORIDA"/>
    <s v="10.3744492"/>
    <s v="-75.4764013"/>
    <s v="BOLÍVAR"/>
    <s v="CARTAGENA DE INDIAS"/>
    <s v="CARTAGENA DE INDIAS"/>
    <n v="13001"/>
    <s v="2025-09-01"/>
    <n v="1"/>
    <s v="CARTAGENA"/>
    <x v="5"/>
    <n v="49671.7"/>
    <n v="49671.7"/>
  </r>
  <r>
    <n v="74938"/>
    <s v="BARRIO LA SOMBRILLA POPAYAN"/>
    <n v="10531752"/>
    <s v="3054867264"/>
    <s v="3161503436"/>
    <s v="3161503436"/>
    <s v="CR 32 4 125 - LA SOMBRILLA,LA SOMBRILLA"/>
    <s v="2.4509499"/>
    <s v="-76.6271064"/>
    <s v="CAUCA"/>
    <s v="POPAYÁN"/>
    <s v="POPAYÁN"/>
    <n v="19001"/>
    <s v="2025-09-01"/>
    <n v="1"/>
    <s v="CALI"/>
    <x v="3"/>
    <n v="37313"/>
    <n v="37313"/>
  </r>
  <r>
    <n v="75028"/>
    <s v="BARRIO MANRIQUE MEDELLIN 26"/>
    <n v="1037615599"/>
    <s v="3156495099"/>
    <s v="3012177583"/>
    <s v="3012177583"/>
    <s v="CR 46 71 A 05,MANRIQUE"/>
    <s v="6.2668124"/>
    <s v="-75.5562281"/>
    <s v="ANTIOQUIA"/>
    <s v="MEDELLÍN"/>
    <s v="MEDELLÍN"/>
    <n v="5001"/>
    <s v="2025-09-01"/>
    <n v="1"/>
    <s v="MEDELLIN"/>
    <x v="0"/>
    <n v="37313"/>
    <n v="37313"/>
  </r>
  <r>
    <n v="74210"/>
    <s v="BARRIO MANANTIAL VILLAVICENCIO 7"/>
    <n v="86078447"/>
    <s v="3112161690"/>
    <s v="3112161690"/>
    <s v="3227447815"/>
    <s v="CR 7 B N 39A - 03 MANANTIAL,BARRIO MANANTIAL"/>
    <s v="4.1487138"/>
    <s v="-73.6069000"/>
    <s v="META"/>
    <s v="VILLAVICENCIO"/>
    <s v="VILLAVICENCIO"/>
    <n v="50001"/>
    <s v="2025-09-01"/>
    <n v="1"/>
    <s v="VILLAVICENCIO"/>
    <x v="1"/>
    <n v="49671.7"/>
    <n v="49671.7"/>
  </r>
  <r>
    <n v="74261"/>
    <s v="BARRIO CANDIDO LEGUIZAMO LOSADA  NEIVA"/>
    <n v="83243520"/>
    <s v="3118741117"/>
    <s v="3118741117"/>
    <s v="3118741117"/>
    <s v="CR 1 # 53- 40,CANDIDO LEGUIZAMO LOSADA"/>
    <s v="2.9577409"/>
    <s v="-75.2970366"/>
    <s v="HUILA"/>
    <s v="NEIVA"/>
    <s v="NEIVA"/>
    <n v="41001"/>
    <s v="2025-09-01"/>
    <n v="1"/>
    <s v="NEIVA"/>
    <x v="1"/>
    <n v="49671.7"/>
    <n v="49671.7"/>
  </r>
  <r>
    <n v="74262"/>
    <s v="BARRIO RODRIGO LARA NEIVA"/>
    <n v="36308565"/>
    <s v="3112133322"/>
    <s v="3112133322"/>
    <s v="3112133322"/>
    <s v="CL 25 C 9 W 77,RODRIGO LARA"/>
    <s v="2.937061"/>
    <s v="-75.302940"/>
    <s v="HUILA"/>
    <s v="NEIVA"/>
    <s v="NEIVA"/>
    <n v="41001"/>
    <s v="2025-09-01"/>
    <n v="1"/>
    <s v="NEIVA"/>
    <x v="1"/>
    <n v="49671.7"/>
    <n v="49671.7"/>
  </r>
  <r>
    <n v="74763"/>
    <s v="BARRIO CAMPO NUÑEZ NEIVA 2"/>
    <n v="1075292391"/>
    <s v="3178863134"/>
    <s v="3163469709"/>
    <s v="3178863134"/>
    <s v="CR 8 BIS 19 13,CAMPO NÚÑEZ"/>
    <s v="2.9376539"/>
    <s v="-75.2861327"/>
    <s v="HUILA"/>
    <s v="NEIVA"/>
    <s v="NEIVA"/>
    <n v="41001"/>
    <s v="2025-09-01"/>
    <n v="1"/>
    <s v="NEIVA"/>
    <x v="1"/>
    <n v="49671.7"/>
    <n v="49671.7"/>
  </r>
  <r>
    <n v="79440"/>
    <s v=" BARRIO SAN DIEGO MEDELLIN 7"/>
    <n v="8056528"/>
    <s v="3103832060"/>
    <s v="3103832060"/>
    <s v="3103832060"/>
    <s v="CR 43 31 40,SAN DIEGO"/>
    <s v="6.2315323"/>
    <s v="-75.5682333"/>
    <s v="ANTIOQUIA"/>
    <s v="MEDELLÍN"/>
    <s v="MEDELLÍN"/>
    <n v="5001"/>
    <s v="2025-09-01"/>
    <n v="1"/>
    <s v="MEDELLIN"/>
    <x v="0"/>
    <n v="37313"/>
    <n v="37313"/>
  </r>
  <r>
    <n v="75196"/>
    <s v="BARRIO LOMA DE BOLIVAR CUCUTA 3"/>
    <n v="88278345"/>
    <s v="3107907618"/>
    <s v="3107907618"/>
    <s v="3107907618"/>
    <s v="CL 6 15 16,LOMA DE BOLIVAR"/>
    <s v="7.8895828"/>
    <s v="-72.5144889"/>
    <s v="NORTE DE SANTANDER"/>
    <s v="CÚCUTA"/>
    <s v="CÚCUTA"/>
    <n v="54001"/>
    <s v="2025-09-01"/>
    <n v="1"/>
    <s v="CUCUTA"/>
    <x v="4"/>
    <n v="49671.7"/>
    <n v="49671.7"/>
  </r>
  <r>
    <n v="75850"/>
    <s v="BARRIO LLANO ALTO VILLAVICENCIO 1"/>
    <n v="28555491"/>
    <s v="3115892639"/>
    <s v="3106190055"/>
    <s v="3106190055"/>
    <s v="CR 31 ESTE N 34 - 70 LLANO ALTO TORRE 10 APT 102,LLANO ALTO"/>
    <s v="4.134931"/>
    <s v="-73.571650"/>
    <s v="META"/>
    <s v="VILLAVICENCIO"/>
    <s v="VILLAVICENCIO"/>
    <n v="50001"/>
    <s v="2025-09-01"/>
    <n v="1"/>
    <s v="VILLAVICENCIO"/>
    <x v="1"/>
    <n v="49671.7"/>
    <n v="49671.7"/>
  </r>
  <r>
    <n v="76778"/>
    <s v="BARRIO BOSQUES DE ABAJAM VILLAVICENCIO 5"/>
    <n v="40437516"/>
    <s v="3214279058"/>
    <s v="3214253830"/>
    <s v="3214279058"/>
    <s v="CR 13 36-115E MZ J CS1 CONJ 1 ,BOSQUES DE ABAJAM"/>
    <s v="4.139347"/>
    <s v="-73.591697"/>
    <s v="META"/>
    <s v="VILLAVICENCIO"/>
    <s v="VILLAVICENCIO"/>
    <n v="50001"/>
    <s v="2025-09-01"/>
    <n v="1"/>
    <s v="VILLAVICENCIO"/>
    <x v="1"/>
    <n v="49671.7"/>
    <n v="49671.7"/>
  </r>
  <r>
    <n v="75195"/>
    <s v="BARRIO TRIGAL  DEL NORTE CUCUTA"/>
    <n v="60352334"/>
    <s v="3204802004"/>
    <s v="3204802004"/>
    <s v="3204802004"/>
    <s v="CL 3 NRO 1 51,TRIGAL DEL NORTE"/>
    <s v="7.9451658"/>
    <s v="-72.5042793"/>
    <s v="NORTE DE SANTANDER"/>
    <s v="CÚCUTA"/>
    <s v="CÚCUTA"/>
    <n v="54001"/>
    <s v="2025-09-01"/>
    <n v="1"/>
    <s v="CUCUTA"/>
    <x v="4"/>
    <n v="49671.7"/>
    <n v="49671.7"/>
  </r>
  <r>
    <n v="75323"/>
    <s v="BARRIO CALIMIO NORTE CALI 2"/>
    <n v="31994453"/>
    <s v="3175912486"/>
    <s v="3154734836"/>
    <s v="3154734836"/>
    <s v="CR 1 A 5 F 76 04,CALIMIO NORTE"/>
    <s v="3.4855455"/>
    <s v="-76.484112"/>
    <s v="VALLE DEL CAUCA"/>
    <s v="CALI"/>
    <s v="SANTIAGO DE CALI"/>
    <n v="76001"/>
    <s v="2025-09-01"/>
    <n v="1"/>
    <s v="CALI"/>
    <x v="3"/>
    <n v="37313"/>
    <n v="37313"/>
  </r>
  <r>
    <n v="75350"/>
    <s v="BARRIO EL LLANO CUCUTA 18"/>
    <n v="1090492264"/>
    <s v="3202012696"/>
    <s v="3005998393"/>
    <s v="3202012696"/>
    <s v="AV 9 NRO 7-95,EL LLANO"/>
    <s v="7.8883832"/>
    <s v="-72.5083826"/>
    <s v="NORTE DE SANTANDER"/>
    <s v="CÚCUTA"/>
    <s v="CÚCUTA"/>
    <n v="54001"/>
    <s v="2025-09-01"/>
    <n v="1"/>
    <s v="CUCUTA"/>
    <x v="4"/>
    <n v="49671.7"/>
    <n v="49671.7"/>
  </r>
  <r>
    <n v="77517"/>
    <s v="BARRIO CARIBE VERDE BARRANQUILLA 14"/>
    <n v="1140894735"/>
    <s v="3217574090"/>
    <s v="3016797308"/>
    <s v="3217574090"/>
    <s v="CL 134 8 G - 102 MZ 1 CA 1,CARIBE VERDE"/>
    <s v="10.95580"/>
    <s v="-74.85812"/>
    <s v="ATLÁNTICO"/>
    <s v="BARRANQUILLA"/>
    <s v="BARRANQUILLA"/>
    <n v="8001"/>
    <s v="2025-09-01"/>
    <n v="1"/>
    <s v="BARRANQUILLA"/>
    <x v="5"/>
    <n v="37313"/>
    <n v="37313"/>
  </r>
  <r>
    <n v="77021"/>
    <s v="BARRIO EL CARMEN IBAGUE  16"/>
    <n v="5827175"/>
    <s v="3153625857"/>
    <s v="3153625857"/>
    <s v="3153625857"/>
    <s v="CL 24 6-97,EL CARMEN"/>
    <s v="4.442754"/>
    <s v="-75.227684"/>
    <s v="TOLIMA"/>
    <s v="IBAGUÉ"/>
    <s v="IBAGUÉ"/>
    <n v="73001"/>
    <s v="2025-09-01"/>
    <n v="1"/>
    <s v="IBAGUE"/>
    <x v="1"/>
    <n v="49671.7"/>
    <n v="49671.7"/>
  </r>
  <r>
    <n v="77916"/>
    <s v="BARRIO SANTA MARIA BARRANQUILLA 5"/>
    <n v="43826207"/>
    <s v="3042225447"/>
    <s v="3042225447"/>
    <s v="3042225447"/>
    <s v="CR 6A SUR 90-56"/>
    <s v="10.931832"/>
    <s v="-74.825262"/>
    <s v="ATLÁNTICO"/>
    <s v="BARRANQUILLA"/>
    <s v="BARRANQUILLA"/>
    <n v="8001"/>
    <s v="2025-09-01"/>
    <n v="1"/>
    <s v="BARRANQUILLA"/>
    <x v="5"/>
    <n v="37313"/>
    <n v="37313"/>
  </r>
  <r>
    <n v="79647"/>
    <s v="BARRIO PANDIACO PASTO 3"/>
    <n v="1081593641"/>
    <s v="3136216593"/>
    <s v="3106324217"/>
    <s v="3106324217"/>
    <s v="CL 18 42 20 BRR PANDIACO - PANDIACO,PANDIACO"/>
    <s v="1.2272345"/>
    <s v="-77.2874519"/>
    <s v="NARIÑO"/>
    <s v="PASTO"/>
    <s v="SAN JUAN DE PASTO"/>
    <n v="52001"/>
    <s v="2025-09-01"/>
    <n v="1"/>
    <s v="PASTO"/>
    <x v="3"/>
    <n v="49671.7"/>
    <n v="49671.7"/>
  </r>
  <r>
    <n v="77437"/>
    <s v="BARRIO LA PRADERA BARRANQUILLA 3"/>
    <n v="8565200"/>
    <s v="3235859462"/>
    <s v="3244827990"/>
    <s v="3002696273"/>
    <s v="CL 120 22 - 07,LA PRADERA"/>
    <s v="10.97497"/>
    <s v="-74.84467"/>
    <s v="ATLÁNTICO"/>
    <s v="BARRANQUILLA"/>
    <s v="BARRANQUILLA"/>
    <n v="8001"/>
    <s v="2025-09-01"/>
    <n v="1"/>
    <s v="BARRANQUILLA"/>
    <x v="5"/>
    <n v="37313"/>
    <n v="37313"/>
  </r>
  <r>
    <n v="23559"/>
    <s v="BARRIO JUANOY BAJO - PASTO"/>
    <n v="30710831"/>
    <s v="7312704"/>
    <s v="3137501875"/>
    <s v="3137501875"/>
    <s v="BRR JUANOY BAJO CL 20 45 96"/>
    <s v="1.234252"/>
    <s v="-77.2889903"/>
    <s v="NARIÑO"/>
    <s v="PASTO"/>
    <s v="SAN JUAN DE PASTO"/>
    <n v="52001"/>
    <s v="2025-09-02"/>
    <n v="1"/>
    <s v="PASTO"/>
    <x v="3"/>
    <n v="49671.7"/>
    <n v="49671.7"/>
  </r>
  <r>
    <n v="26841"/>
    <s v="BARRIO LA ESTACION CALI"/>
    <n v="1130597618"/>
    <s v="3799274"/>
    <s v="3104424668"/>
    <s v="3104424668"/>
    <s v=" CR 1 36 26 LC A 120 CE LA ESTACION"/>
    <s v="3.4646117"/>
    <s v="-76.5130061"/>
    <s v="VALLE DEL CAUCA"/>
    <s v="CALI"/>
    <s v="SANTIAGO DE CALI"/>
    <n v="76001"/>
    <s v="2025-09-02"/>
    <n v="1"/>
    <s v="CALI"/>
    <x v="3"/>
    <n v="37313"/>
    <n v="37313"/>
  </r>
  <r>
    <n v="28837"/>
    <s v="BARRIO BELEN ZAFRA MEDELLÍN"/>
    <n v="1017128354"/>
    <s v="2563504"/>
    <s v="3136555457"/>
    <s v="3136555457"/>
    <s v=" CL 21 83 59"/>
    <s v="6.2266489"/>
    <s v="-75.6064662"/>
    <s v="ANTIOQUIA"/>
    <s v="MEDELLÍN"/>
    <s v="MEDELLÍN"/>
    <n v="5001"/>
    <s v="2025-09-02"/>
    <n v="1"/>
    <s v="MEDELLIN"/>
    <x v="0"/>
    <n v="37313"/>
    <n v="37313"/>
  </r>
  <r>
    <n v="23473"/>
    <s v="BARRIO URB PRADERA SANTA RITA - _x0009_IBAGUÉ "/>
    <n v="28976763"/>
    <s v="2707527"/>
    <s v="3174916303"/>
    <s v="3174916303"/>
    <s v="MZ 11 CASA  15 ETAPA 2"/>
    <s v="4.4084868"/>
    <s v="-75.1614791"/>
    <s v="TOLIMA"/>
    <s v="IBAGUÉ"/>
    <s v="IBAGUÉ"/>
    <n v="73001"/>
    <s v="2025-09-02"/>
    <n v="1"/>
    <s v="IBAGUE"/>
    <x v="1"/>
    <n v="49671.7"/>
    <n v="49671.7"/>
  </r>
  <r>
    <n v="25043"/>
    <s v="BARRIO BELEN VI - MEDELLÍN "/>
    <n v="71747092"/>
    <s v="2565900"/>
    <s v="3218023804"/>
    <s v="3218023804"/>
    <s v=" CR 83 20 AB 47"/>
    <s v="6.2263580"/>
    <s v="-75.6059937"/>
    <s v="ANTIOQUIA"/>
    <s v="MEDELLÍN"/>
    <s v="MEDELLÍN"/>
    <n v="5001"/>
    <s v="2025-09-02"/>
    <n v="1"/>
    <s v="MEDELLIN"/>
    <x v="0"/>
    <n v="37313"/>
    <n v="37313"/>
  </r>
  <r>
    <n v="13644"/>
    <s v="BARRIO SANTIAGO III - PASTO"/>
    <n v="12970708"/>
    <s v="5231754"/>
    <s v="3154776596"/>
    <s v="3154776596"/>
    <s v=" CL 12  23-19 SANTIAGO"/>
    <s v="1.2110662"/>
    <s v="-77.2832857"/>
    <s v="NARIÑO"/>
    <s v="PASTO"/>
    <s v="SAN JUAN DE PASTO"/>
    <n v="52001"/>
    <s v="2025-09-02"/>
    <n v="1"/>
    <s v="PASTO"/>
    <x v="3"/>
    <n v="49671.7"/>
    <n v="49671.7"/>
  </r>
  <r>
    <n v="17066"/>
    <s v="BARRIO COLMENAR NEIVA"/>
    <n v="36170797"/>
    <s v="8764176"/>
    <s v="3102043526"/>
    <s v="3102043526"/>
    <s v=" CL 70B  1C-38 COLMENAR"/>
    <s v="2.9667857"/>
    <s v="-75.29319239"/>
    <s v="HUILA"/>
    <s v="NEIVA"/>
    <s v="NEIVA"/>
    <n v="41001"/>
    <s v="2025-09-02"/>
    <n v="1"/>
    <s v="NEIVA"/>
    <x v="1"/>
    <n v="49671.7"/>
    <n v="49671.7"/>
  </r>
  <r>
    <n v="23448"/>
    <s v="BARRIO LA LIBERTAD I - CÚCUTA"/>
    <n v="27591796"/>
    <s v="5845909"/>
    <s v="3112274309"/>
    <s v="3112274309"/>
    <s v=" AV 12 17 13  LA LIBERTAD"/>
    <s v="7.88684005"/>
    <s v="-72.47683555"/>
    <s v="NORTE DE SANTANDER"/>
    <s v="CÚCUTA"/>
    <s v="CÚCUTA"/>
    <n v="54001"/>
    <s v="2025-09-02"/>
    <n v="1"/>
    <s v="CUCUTA"/>
    <x v="4"/>
    <n v="49671.7"/>
    <n v="49671.7"/>
  </r>
  <r>
    <n v="25468"/>
    <s v="BARRIO NAVARRETE PASTO"/>
    <n v="98344142"/>
    <s v="7210669"/>
    <s v="3178229299"/>
    <s v="3178229299"/>
    <s v=" CR 16 19 31"/>
    <s v="1.2063977"/>
    <s v="-77.2739835"/>
    <s v="NARIÑO"/>
    <s v="PASTO"/>
    <s v="SAN JUAN DE PASTO"/>
    <n v="52001"/>
    <s v="2025-09-02"/>
    <n v="1"/>
    <s v="PASTO"/>
    <x v="3"/>
    <n v="49671.7"/>
    <n v="49671.7"/>
  </r>
  <r>
    <n v="18098"/>
    <s v="BARRIO RECREO IV BARRANQUILLA"/>
    <n v="900346545"/>
    <s v="3407221"/>
    <s v="3103538241"/>
    <s v="3206223997"/>
    <s v=" CR 38  57-30 RECREO"/>
    <s v="10.98278"/>
    <s v="-74.79640"/>
    <s v="ATLÁNTICO"/>
    <s v="BARRANQUILLA"/>
    <s v="BARRANQUILLA"/>
    <n v="8001"/>
    <s v="2025-09-02"/>
    <n v="1"/>
    <s v="BARRANQUILLA"/>
    <x v="5"/>
    <n v="37313"/>
    <n v="37313"/>
  </r>
  <r>
    <n v="19762"/>
    <s v="BARRIO CENTRO XVI IBAGUE"/>
    <n v="93366182"/>
    <s v="2667536"/>
    <s v="3002092169"/>
    <s v="3002092169"/>
    <s v=" CE LA QUINTA LC 140"/>
    <s v="4.43957876"/>
    <s v="-75.22330231"/>
    <s v="TOLIMA"/>
    <s v="IBAGUÉ"/>
    <s v="IBAGUÉ"/>
    <n v="73001"/>
    <s v="2025-09-02"/>
    <n v="1"/>
    <s v="IBAGUE"/>
    <x v="1"/>
    <n v="49671.7"/>
    <n v="49671.7"/>
  </r>
  <r>
    <n v="27159"/>
    <s v="BARRIO SANTA INES NEIVA"/>
    <n v="36065332"/>
    <s v="8742455"/>
    <s v="3115761778"/>
    <s v="3115761778"/>
    <s v=" CL 34 1 BIS W 06"/>
    <s v="2.94733882"/>
    <s v="-75.2995732"/>
    <s v="HUILA"/>
    <s v="NEIVA"/>
    <s v="NEIVA"/>
    <n v="41001"/>
    <s v="2025-09-02"/>
    <n v="1"/>
    <s v="NEIVA"/>
    <x v="1"/>
    <n v="49671.7"/>
    <n v="49671.7"/>
  </r>
  <r>
    <n v="28172"/>
    <s v="BARRIO BELÉN 2 CUCUTA"/>
    <n v="88204453"/>
    <s v="5822203"/>
    <s v="3007350089"/>
    <s v="3007350089"/>
    <s v=" CL 27 27 35"/>
    <s v="7.74114"/>
    <s v="-72.528855"/>
    <s v="NORTE DE SANTANDER"/>
    <s v="CÚCUTA"/>
    <s v="CÚCUTA"/>
    <n v="54001"/>
    <s v="2025-09-02"/>
    <n v="1"/>
    <s v="CUCUTA"/>
    <x v="4"/>
    <n v="49671.7"/>
    <n v="49671.7"/>
  </r>
  <r>
    <n v="24645"/>
    <s v="BARRIO CENTRO XXI - IBAGUÉ"/>
    <n v="65633445"/>
    <s v="312435632"/>
    <s v="3124356329"/>
    <s v="3124356329"/>
    <s v=" ED CE LOS PANCHES PT 7"/>
    <s v="4.4420422"/>
    <s v="-75.237674"/>
    <s v="TOLIMA"/>
    <s v="IBAGUÉ"/>
    <s v="IBAGUÉ"/>
    <n v="73001"/>
    <s v="2025-09-02"/>
    <n v="1"/>
    <s v="IBAGUE"/>
    <x v="1"/>
    <n v="49671.7"/>
    <n v="49671.7"/>
  </r>
  <r>
    <n v="28797"/>
    <s v="BARRIO VEREDA HATO VIEJO BELLO"/>
    <n v="22217890"/>
    <s v="2726828"/>
    <s v="3105137978"/>
    <s v="3105137978"/>
    <s v=" CL 53A 65A 185"/>
    <s v="6.33761948"/>
    <s v="-75.57153518"/>
    <s v="ANTIOQUIA"/>
    <s v="BELLO"/>
    <s v="BELLO"/>
    <n v="5088"/>
    <s v="2025-09-02"/>
    <n v="1"/>
    <s v="MEDELLIN"/>
    <x v="0"/>
    <n v="37313"/>
    <n v="37313"/>
  </r>
  <r>
    <n v="35108"/>
    <s v="BARRIO CENTRO PASTO 5"/>
    <n v="1131024288"/>
    <s v="7205250"/>
    <s v="3156858942"/>
    <s v="3156858942"/>
    <s v="CR 19 BIS 18 24"/>
    <s v="1.2094511"/>
    <s v="-77.2763778"/>
    <s v="NARIÑO"/>
    <s v="PASTO"/>
    <s v="SAN JUAN DE PASTO"/>
    <n v="52001"/>
    <s v="2025-09-02"/>
    <n v="1"/>
    <s v="PASTO"/>
    <x v="3"/>
    <n v="49671.7"/>
    <n v="49671.7"/>
  </r>
  <r>
    <n v="45134"/>
    <s v="BARRIO MANRIQUE MEDELLIN 15"/>
    <n v="1128435105"/>
    <s v="2970347"/>
    <s v="3217577107"/>
    <s v="3217577107"/>
    <s v="CR 45 86-68 manrique"/>
    <s v="6.2794532"/>
    <s v="-75.5529384"/>
    <s v="ANTIOQUIA"/>
    <s v="MEDELLÍN"/>
    <s v="MEDELLÍN"/>
    <n v="5001"/>
    <s v="2025-09-02"/>
    <n v="1"/>
    <s v="MEDELLIN"/>
    <x v="0"/>
    <n v="37313"/>
    <n v="37313"/>
  </r>
  <r>
    <n v="45696"/>
    <s v="BARRIO CEDRO GOLF BOGOTA"/>
    <n v="901269331"/>
    <s v="5265157"/>
    <s v="3014870773"/>
    <s v="3014870773"/>
    <s v="CL 147 7 70 LC 15,CEDRO GOLF"/>
    <s v="4.723618888"/>
    <s v="-74.027130"/>
    <s v="CUNDINAMARCA"/>
    <s v="BOGOTÁ"/>
    <s v="BOGOTÁ"/>
    <n v="11001"/>
    <s v="2025-09-02"/>
    <n v="1"/>
    <s v="BOGOTA"/>
    <x v="2"/>
    <n v="37313"/>
    <n v="37313"/>
  </r>
  <r>
    <n v="44103"/>
    <s v="BARRIO EL BOSQUE BELLO 1"/>
    <n v="98697189"/>
    <s v="4482648"/>
    <s v="3162204633"/>
    <s v="3005243104"/>
    <s v="CL 57 68 C 101,EL BOSQUE"/>
    <s v="6.3423935"/>
    <s v="-75.5744305"/>
    <s v="ANTIOQUIA"/>
    <s v="BELLO"/>
    <s v="BELLO"/>
    <n v="5088"/>
    <s v="2025-09-02"/>
    <n v="1"/>
    <s v="MEDELLIN"/>
    <x v="0"/>
    <n v="37313"/>
    <n v="37313"/>
  </r>
  <r>
    <n v="46958"/>
    <s v="BARRIO INTERLAKEN IBAGUE 4"/>
    <n v="93406294"/>
    <s v="2625984"/>
    <s v="3153479983"/>
    <s v="3153479983"/>
    <s v="CR 8 # 15-19,INTERLAKEN"/>
    <s v="4.446333"/>
    <s v="-75.235444"/>
    <s v="TOLIMA"/>
    <s v="IBAGUÉ"/>
    <s v="IBAGUÉ"/>
    <n v="73001"/>
    <s v="2025-09-02"/>
    <n v="1"/>
    <s v="IBAGUE"/>
    <x v="1"/>
    <n v="49671.7"/>
    <n v="49671.7"/>
  </r>
  <r>
    <n v="51426"/>
    <s v="BARRIO EL RECUERDO PASTO 1"/>
    <n v="98339941"/>
    <s v="3176653983"/>
    <s v="3176653983"/>
    <s v="3176653983"/>
    <s v="CR 13 20 85,EL RECUERDO"/>
    <s v="1.2048701"/>
    <s v="-77.2709629"/>
    <s v="NARIÑO"/>
    <s v="PASTO"/>
    <s v="SAN JUAN DE PASTO"/>
    <n v="52001"/>
    <s v="2025-09-02"/>
    <n v="1"/>
    <s v="PASTO"/>
    <x v="3"/>
    <n v="49671.7"/>
    <n v="49671.7"/>
  </r>
  <r>
    <n v="51480"/>
    <s v="BARRIO RESTREPO"/>
    <n v="1005813883"/>
    <s v="0"/>
    <s v="3175465469"/>
    <s v="3175465469"/>
    <s v="CR 7  42 -16 BRR Restrepo"/>
    <s v="4.4375552"/>
    <s v="-75.2116692"/>
    <s v="TOLIMA"/>
    <s v="IBAGUÉ"/>
    <s v="IBAGUÉ"/>
    <n v="73001"/>
    <s v="2025-09-02"/>
    <n v="1"/>
    <s v="IBAGUE"/>
    <x v="1"/>
    <n v="49671.7"/>
    <n v="49671.7"/>
  </r>
  <r>
    <n v="48263"/>
    <s v="BARRIO ESTACION DEL METRO SABANETA SABANETA"/>
    <n v="901174431"/>
    <s v="4440896"/>
    <s v="3153981361"/>
    <s v="3153981361"/>
    <s v=" CARRERA 48 A 61 SUR 12,ESTACIÓN DEL METRO SABANETA"/>
    <s v="6.1573008"/>
    <s v="-75.6132196"/>
    <s v="ANTIOQUIA"/>
    <s v="SABANETA"/>
    <s v="SABANETA"/>
    <n v="5631"/>
    <s v="2025-09-02"/>
    <n v="1"/>
    <s v="MEDELLIN"/>
    <x v="0"/>
    <n v="37313"/>
    <n v="37313"/>
  </r>
  <r>
    <n v="50309"/>
    <s v="BARRIO BAYADERA MEDELLIN 2"/>
    <n v="900520234"/>
    <s v="4444715"/>
    <s v="3122596516"/>
    <s v="3207253582"/>
    <s v="CL 38 52 55,BAYADERA"/>
    <s v="6.2395408"/>
    <s v="-75.5739552"/>
    <s v="ANTIOQUIA"/>
    <s v="MEDELLÍN"/>
    <s v="MEDELLÍN"/>
    <n v="5001"/>
    <s v="2025-09-02"/>
    <n v="1"/>
    <s v="MEDELLIN"/>
    <x v="0"/>
    <n v="37313"/>
    <n v="37313"/>
  </r>
  <r>
    <n v="53220"/>
    <s v="BARRIO LOS CIRUELOS IBAGUE"/>
    <n v="1110499621"/>
    <s v="0"/>
    <s v="3166177471"/>
    <s v="3166177471"/>
    <s v="CL 68 A # 28 A- 04,BRR LOS CIRUELOS"/>
    <s v="4.4571266"/>
    <s v="-75.2021587"/>
    <s v="TOLIMA"/>
    <s v="IBAGUÉ"/>
    <s v="IBAGUÉ"/>
    <n v="73001"/>
    <s v="2025-09-02"/>
    <n v="1"/>
    <s v="IBAGUE"/>
    <x v="1"/>
    <n v="49671.7"/>
    <n v="49671.7"/>
  </r>
  <r>
    <n v="50590"/>
    <s v="BARRIO SALITRE VILLAVICENCIO"/>
    <n v="1130611482"/>
    <s v="3208617718"/>
    <s v="3208617718"/>
    <s v="3208617718"/>
    <s v="CL 37 NRO. 22 C 21 E MZ D CS 22 UBR SALITRE,SALITRE"/>
    <s v="4.139182"/>
    <s v="-73.582635"/>
    <s v="META"/>
    <s v="VILLAVICENCIO"/>
    <s v="VILLAVICENCIO"/>
    <n v="50001"/>
    <s v="2025-09-02"/>
    <n v="1"/>
    <s v="VILLAVICENCIO"/>
    <x v="1"/>
    <n v="49671.7"/>
    <n v="49671.7"/>
  </r>
  <r>
    <n v="58919"/>
    <s v="BARRIO JONGOVITO PASTO"/>
    <n v="12753686"/>
    <s v="3154168931"/>
    <s v="3154168931"/>
    <s v="3206781614"/>
    <s v="CL 4 4 102 CGT DE JONGOVITO"/>
    <s v="1.188177"/>
    <s v="-77.295254"/>
    <s v="NARIÑO"/>
    <s v="PASTO"/>
    <s v="SAN JUAN DE PASTO"/>
    <n v="52001"/>
    <s v="2025-09-02"/>
    <n v="1"/>
    <s v="PASTO"/>
    <x v="3"/>
    <n v="49671.7"/>
    <n v="49671.7"/>
  </r>
  <r>
    <n v="57796"/>
    <s v="BARRIO GUALMATAN PASTO"/>
    <n v="1085272684"/>
    <s v="3178506157"/>
    <s v="3178506157"/>
    <s v="3178506157"/>
    <s v="CORREGIMIENTO DE GUALMATAN CA 21 A"/>
    <s v="1.172101"/>
    <s v="-77.318195"/>
    <s v="NARIÑO"/>
    <s v="PASTO"/>
    <s v="SAN JUAN DE PASTO"/>
    <n v="52001"/>
    <s v="2025-09-02"/>
    <n v="1"/>
    <s v="PASTO"/>
    <x v="3"/>
    <n v="49671.7"/>
    <n v="49671.7"/>
  </r>
  <r>
    <n v="58490"/>
    <s v="BARRIO SABANETA SABANETA 3"/>
    <n v="1039598031"/>
    <s v="3194010624"/>
    <s v="3145707359"/>
    <s v="3145707359"/>
    <s v="CR 43 C 62 SUR 04"/>
    <s v="6.1543999"/>
    <s v="-75.6106156"/>
    <s v="ANTIOQUIA"/>
    <s v="SABANETA"/>
    <s v="SABANETA"/>
    <n v="5631"/>
    <s v="2025-09-02"/>
    <n v="1"/>
    <s v="MEDELLIN"/>
    <x v="0"/>
    <n v="37313"/>
    <n v="37313"/>
  </r>
  <r>
    <n v="61169"/>
    <s v="BARRIO BAYADERA MEDELLIN 3"/>
    <n v="900909450"/>
    <s v="3221376"/>
    <s v="3175393359"/>
    <s v="3006958011"/>
    <s v="CL 39 51 48"/>
    <s v="6.2400228"/>
    <s v="-75.5730205"/>
    <s v="ANTIOQUIA"/>
    <s v="MEDELLÍN"/>
    <s v="MEDELLÍN"/>
    <n v="5001"/>
    <s v="2025-09-02"/>
    <n v="1"/>
    <s v="MEDELLIN"/>
    <x v="0"/>
    <n v="37313"/>
    <n v="37313"/>
  </r>
  <r>
    <n v="61188"/>
    <s v="BARRIO LAS PALMAS 2 POPAYAN"/>
    <n v="1061723132"/>
    <s v="0"/>
    <s v="3186037819"/>
    <s v="3186037819"/>
    <s v="CR 46 C 6 08 LC 02"/>
    <s v="2.4541831"/>
    <s v="-76.6373271"/>
    <s v="CAUCA"/>
    <s v="POPAYÁN"/>
    <s v="POPAYÁN"/>
    <n v="19001"/>
    <s v="2025-09-02"/>
    <n v="1"/>
    <s v="CALI"/>
    <x v="3"/>
    <n v="37313"/>
    <n v="37313"/>
  </r>
  <r>
    <n v="61927"/>
    <s v="BARRIO PATIO BONITO BOGOTA 17"/>
    <n v="80058989"/>
    <s v="3134135335"/>
    <s v="3134135335"/>
    <s v="3134135335"/>
    <s v="CR 88 A # 39-72 SUR"/>
    <s v="4.6370846"/>
    <s v="-74.1676541"/>
    <s v="CUNDINAMARCA"/>
    <s v="BOGOTÁ"/>
    <s v="BOGOTÁ"/>
    <n v="11001"/>
    <s v="2025-09-02"/>
    <n v="1"/>
    <s v="BOGOTA"/>
    <x v="2"/>
    <n v="37313"/>
    <n v="37313"/>
  </r>
  <r>
    <n v="62085"/>
    <s v="BARRIO VILLA DEL VIENTO POPAYAN 1"/>
    <n v="20716303"/>
    <s v="0"/>
    <s v="3214809850"/>
    <s v="3214809850"/>
    <s v="CL 55N NRO 11 - 91,VILLA DEL VIENTO"/>
    <s v="2.4802647"/>
    <s v="-76.5792801"/>
    <s v="CAUCA"/>
    <s v="POPAYÁN"/>
    <s v="POPAYÁN"/>
    <n v="19001"/>
    <s v="2025-09-02"/>
    <n v="1"/>
    <s v="CALI"/>
    <x v="3"/>
    <n v="37313"/>
    <n v="37313"/>
  </r>
  <r>
    <n v="62122"/>
    <s v="BARRIO JORGE ISAAC CALI"/>
    <n v="52488864"/>
    <s v="3738733"/>
    <s v="3122529090"/>
    <s v="3175385883"/>
    <s v="CR 6 27 43"/>
    <s v="3.4565357"/>
    <s v="-76.5177352"/>
    <s v="VALLE DEL CAUCA"/>
    <s v="CALI"/>
    <s v="SANTIAGO DE CALI"/>
    <n v="76001"/>
    <s v="2025-09-02"/>
    <n v="1"/>
    <s v="CALI"/>
    <x v="3"/>
    <n v="37313"/>
    <n v="37313"/>
  </r>
  <r>
    <n v="40140"/>
    <s v="BARRIO MARIA AUXILIADORA SABANETA 1"/>
    <n v="43092677"/>
    <s v="2881689"/>
    <s v="3187236897"/>
    <s v="3187236897"/>
    <s v="CR 40 56 SUR 25,MARIA AUXILIADORA"/>
    <s v="6.1540998"/>
    <s v="-75.6038457"/>
    <s v="ANTIOQUIA"/>
    <s v="SABANETA"/>
    <s v="SABANETA"/>
    <n v="5631"/>
    <s v="2025-09-02"/>
    <n v="1"/>
    <s v="MEDELLIN"/>
    <x v="0"/>
    <n v="37313"/>
    <n v="37313"/>
  </r>
  <r>
    <n v="36434"/>
    <s v="BARRIO BELLO BELLO"/>
    <n v="8408493"/>
    <s v="2099629"/>
    <s v="3013112353"/>
    <s v="3013112353"/>
    <s v="CR 60 57A - 05"/>
    <s v="6.3408672"/>
    <s v="-75.5657436"/>
    <s v="ANTIOQUIA"/>
    <s v="BELLO"/>
    <s v="BELLO"/>
    <n v="5088"/>
    <s v="2025-09-02"/>
    <n v="1"/>
    <s v="MEDELLIN"/>
    <x v="0"/>
    <n v="37313"/>
    <n v="37313"/>
  </r>
  <r>
    <n v="37442"/>
    <s v="BARRIO TERRON COLORADO 1"/>
    <n v="66910592"/>
    <s v="8944702"/>
    <s v="3136507493"/>
    <s v="3136507493"/>
    <s v=" AV 5 OESTE4 152 TERRÓN COLORADO"/>
    <s v="3.4548163"/>
    <s v="-76.5518370"/>
    <s v="VALLE DEL CAUCA"/>
    <s v="CALI"/>
    <s v="SANTIAGO DE CALI"/>
    <n v="76001"/>
    <s v="2025-09-02"/>
    <n v="1"/>
    <s v="CALI"/>
    <x v="3"/>
    <n v="37313"/>
    <n v="37313"/>
  </r>
  <r>
    <n v="65694"/>
    <s v="BARRIO IRBANIZACION VALPARAISO 4 SECTOR IBAGUE"/>
    <n v="1006147738"/>
    <s v="0"/>
    <s v="3044767011"/>
    <s v="3186539891"/>
    <s v="CR 1 # 80-11 ED PORTO BELLO LOCAL 9,URBANIZACION VALPARAISO 4 SECTOR"/>
    <s v="4.43403343"/>
    <s v="-75.1871867"/>
    <s v="TOLIMA"/>
    <s v="IBAGUÉ"/>
    <s v="IBAGUÉ"/>
    <n v="73001"/>
    <s v="2025-09-02"/>
    <n v="1"/>
    <s v="IBAGUE"/>
    <x v="1"/>
    <n v="49671.7"/>
    <n v="49671.7"/>
  </r>
  <r>
    <n v="67286"/>
    <s v="BARRIO URBANIZACION LA CASTILLA IBAGUE 1"/>
    <n v="52589969"/>
    <s v="0"/>
    <s v="3006978207"/>
    <s v="3006978207"/>
    <s v="MZ 6 CASA 8,URBANIZACION LA CASTILLA"/>
    <s v="4.4431819"/>
    <s v="-75.2090696"/>
    <s v="TOLIMA"/>
    <s v="IBAGUÉ"/>
    <s v="IBAGUÉ"/>
    <n v="73001"/>
    <s v="2025-09-02"/>
    <n v="1"/>
    <s v="IBAGUE"/>
    <x v="1"/>
    <n v="49671.7"/>
    <n v="49671.7"/>
  </r>
  <r>
    <n v="70826"/>
    <s v="BARRIO CANAIMA NEIVA 5"/>
    <n v="26422061"/>
    <s v="3178506198"/>
    <s v="3173796656"/>
    <s v="3178506195"/>
    <s v="CR 22 25 S 19,CANAIMA"/>
    <s v="2.906362"/>
    <s v="-75.275875"/>
    <s v="HUILA"/>
    <s v="NEIVA"/>
    <s v="NEIVA"/>
    <n v="41001"/>
    <s v="2025-09-02"/>
    <n v="1"/>
    <s v="NEIVA"/>
    <x v="1"/>
    <n v="49671.7"/>
    <n v="49671.7"/>
  </r>
  <r>
    <n v="65856"/>
    <s v="BARRIO MESA BELLO"/>
    <n v="1017229167"/>
    <s v="0"/>
    <s v="3202426081"/>
    <s v="3202426081"/>
    <s v="CARRERA 56 A 58 100,MESA"/>
    <s v="6.341076"/>
    <s v="-75.563201"/>
    <s v="ANTIOQUIA"/>
    <s v="BELLO"/>
    <s v="BELLO"/>
    <n v="5088"/>
    <s v="2025-09-02"/>
    <n v="1"/>
    <s v="MEDELLIN"/>
    <x v="0"/>
    <n v="37313"/>
    <n v="37313"/>
  </r>
  <r>
    <n v="66376"/>
    <s v="BARRIO BELEN LOS ALPES MEDELLIN 1"/>
    <n v="32561956"/>
    <s v="0"/>
    <s v="3147308960"/>
    <s v="3147308960"/>
    <s v="CR 85 28 39,BELEN LOS ALPES"/>
    <s v="6.2299525"/>
    <s v="-75.6083719"/>
    <s v="ANTIOQUIA"/>
    <s v="MEDELLÍN"/>
    <s v="MEDELLÍN"/>
    <n v="5001"/>
    <s v="2025-09-02"/>
    <n v="1"/>
    <s v="MEDELLIN"/>
    <x v="0"/>
    <n v="37313"/>
    <n v="37313"/>
  </r>
  <r>
    <n v="70909"/>
    <s v="BARRIO NIQUIA BELLO 19"/>
    <n v="43105027"/>
    <s v="3216460350"/>
    <s v="3216460350"/>
    <s v="3216460350"/>
    <s v="AV 42 53 74 LOCAL 144,NIQUIA"/>
    <s v="6.338972"/>
    <s v="-75.574549"/>
    <s v="ANTIOQUIA"/>
    <s v="BELLO"/>
    <s v="BELLO"/>
    <n v="5088"/>
    <s v="2025-09-02"/>
    <n v="1"/>
    <s v="MEDELLIN"/>
    <x v="0"/>
    <n v="37313"/>
    <n v="37313"/>
  </r>
  <r>
    <n v="63803"/>
    <s v="BARRIO BELEN CUCUTA 1"/>
    <n v="1090497579"/>
    <s v="0"/>
    <s v="3006027714"/>
    <s v="3006027714"/>
    <s v="CL 23 29-66 BELEN"/>
    <s v="7.83715"/>
    <s v="-72.50134"/>
    <s v="NORTE DE SANTANDER"/>
    <s v="CÚCUTA"/>
    <s v="CÚCUTA"/>
    <n v="54001"/>
    <s v="2025-09-02"/>
    <n v="1"/>
    <s v="CUCUTA"/>
    <x v="4"/>
    <n v="49671.7"/>
    <n v="49671.7"/>
  </r>
  <r>
    <n v="72319"/>
    <s v="MONTE BELLO SECTOR LAS COLINAS"/>
    <n v="1143863075"/>
    <s v="3223075637"/>
    <s v="3223075637"/>
    <s v="3223075637"/>
    <s v="AV 47 OESTE  9 A 112 MONTE BELLO SEC LAS COLINAS"/>
    <s v="3.489053"/>
    <s v="-76.549065"/>
    <s v="VALLE DEL CAUCA"/>
    <s v="CALI"/>
    <s v="SANTIAGO DE CALI"/>
    <n v="76001"/>
    <s v="2025-09-02"/>
    <n v="1"/>
    <s v="CALI"/>
    <x v="3"/>
    <n v="37313"/>
    <n v="37313"/>
  </r>
  <r>
    <n v="63455"/>
    <s v="BARRIO CENTRO PASTO 27"/>
    <n v="37083351"/>
    <s v="0"/>
    <s v="3136856203"/>
    <s v="3136856203"/>
    <s v="CRA 24 No 13 22 LC 3 EDI DILIA - SANTIAGO"/>
    <s v="1.2122965"/>
    <s v="-77.2825418"/>
    <s v="NARIÑO"/>
    <s v="PASTO"/>
    <s v="SAN JUAN DE PASTO"/>
    <n v="52001"/>
    <s v="2025-09-02"/>
    <n v="1"/>
    <s v="PASTO"/>
    <x v="3"/>
    <n v="49671.7"/>
    <n v="49671.7"/>
  </r>
  <r>
    <n v="70007"/>
    <s v="BARRIO URBANIZACION VILLA MARINA"/>
    <n v="1110525168"/>
    <s v="3246824399"/>
    <s v="3232875750"/>
    <s v="3232875750"/>
    <s v="CR 45 SUR # 117- 05,URBANIZACION VILLA MARINA"/>
    <s v="4.4084601"/>
    <s v="-75.1650369"/>
    <s v="TOLIMA"/>
    <s v="IBAGUÉ"/>
    <s v="IBAGUÉ"/>
    <n v="73001"/>
    <s v="2025-09-02"/>
    <n v="1"/>
    <s v="IBAGUE"/>
    <x v="1"/>
    <n v="49671.7"/>
    <n v="49671.7"/>
  </r>
  <r>
    <n v="70755"/>
    <s v="AMARILO LLANO ALTO 2"/>
    <n v="79516015"/>
    <s v="3227650550"/>
    <s v="3227650550"/>
    <s v="3114649191"/>
    <s v="CR 23 ÉSTE N 32 - 55 BODEGA 1 AMARILO LLANO ALTO 2,AMARILO LLANO ALTO 2"/>
    <s v="4.132565"/>
    <s v="-73.572595"/>
    <s v="META"/>
    <s v="VILLAVICENCIO"/>
    <s v="VILLAVICENCIO"/>
    <n v="50001"/>
    <s v="2025-09-02"/>
    <n v="1"/>
    <s v="VILLAVICENCIO"/>
    <x v="1"/>
    <n v="49671.7"/>
    <n v="49671.7"/>
  </r>
  <r>
    <n v="70677"/>
    <s v="BARRIO RESTREPO IBAGUE 4"/>
    <n v="65760678"/>
    <s v="3227675121"/>
    <s v="3227675121"/>
    <s v="3227675121"/>
    <s v="CL 42 # 6-02 ESQUINA,RESTREPO"/>
    <s v="4.4363953"/>
    <s v="-75.2117895"/>
    <s v="TOLIMA"/>
    <s v="IBAGUÉ"/>
    <s v="IBAGUÉ"/>
    <n v="73001"/>
    <s v="2025-09-02"/>
    <n v="1"/>
    <s v="IBAGUE"/>
    <x v="1"/>
    <n v="49671.7"/>
    <n v="49671.7"/>
  </r>
  <r>
    <n v="76226"/>
    <s v="BARRIO LAS DELICIAS CALI 2"/>
    <n v="66885382"/>
    <s v="3105470113"/>
    <s v="3105470113"/>
    <s v="3105470113"/>
    <s v="CR 4 39 20,LAS DELICIAS"/>
    <s v="3.4618516"/>
    <s v="-76.5099395"/>
    <s v="VALLE DEL CAUCA"/>
    <s v="CALI"/>
    <s v="SANTIAGO DE CALI"/>
    <n v="76001"/>
    <s v="2025-09-02"/>
    <n v="1"/>
    <s v="CALI"/>
    <x v="3"/>
    <n v="37313"/>
    <n v="37313"/>
  </r>
  <r>
    <n v="73077"/>
    <s v="BARRIO LAS DELICIAS IBAGUE"/>
    <n v="1110515407"/>
    <s v="3135052148"/>
    <s v="3143297394"/>
    <s v="3143297394"/>
    <s v="CL 73 # 32 - 62,LAS DELICIAS"/>
    <s v="4.4591371"/>
    <s v="-75.2004204"/>
    <s v="TOLIMA"/>
    <s v="IBAGUÉ"/>
    <s v="IBAGUÉ"/>
    <n v="73001"/>
    <s v="2025-09-02"/>
    <n v="1"/>
    <s v="IBAGUE"/>
    <x v="1"/>
    <n v="49671.7"/>
    <n v="49671.7"/>
  </r>
  <r>
    <n v="80291"/>
    <s v="BARRIO SAN EDUARDO POPAYAN 6"/>
    <n v="1002949505"/>
    <s v="3114001509"/>
    <s v="3166361223"/>
    <s v="3166361223"/>
    <s v="CL 69 EN 8 D 03,SAN EDUARDO"/>
    <s v="2.4805811"/>
    <s v="-76.5636728"/>
    <s v="CAUCA"/>
    <s v="POPAYÁN"/>
    <s v="POPAYÁN"/>
    <n v="19001"/>
    <s v="2025-09-02"/>
    <n v="1"/>
    <s v="CALI"/>
    <x v="3"/>
    <n v="37313"/>
    <n v="37313"/>
  </r>
  <r>
    <n v="63843"/>
    <s v="BARRIO PATIO BONITO BOGOTA 19"/>
    <n v="52296427"/>
    <s v="3203624924"/>
    <s v="3203624924"/>
    <s v="3202459681"/>
    <s v="CARRERA 88 # 38 C - 05 SUR,PATIO BONITO"/>
    <s v="4.6377205"/>
    <s v="-74.1665962"/>
    <s v="CUNDINAMARCA"/>
    <s v="BOGOTÁ"/>
    <s v="BOGOTÁ"/>
    <n v="11001"/>
    <s v="2025-09-02"/>
    <n v="1"/>
    <s v="BOGOTA"/>
    <x v="2"/>
    <n v="37313"/>
    <n v="37313"/>
  </r>
  <r>
    <n v="74274"/>
    <s v="BARRIO LA LIBERTAD CUCUTA 20"/>
    <n v="1090484759"/>
    <s v="3102681073"/>
    <s v="3102681073"/>
    <s v="3102681073"/>
    <s v="CL 21 NRO 11 57,LA LIBERTAD"/>
    <s v="7.884092"/>
    <s v="-72.478232"/>
    <s v="NORTE DE SANTANDER"/>
    <s v="CÚCUTA"/>
    <s v="CÚCUTA"/>
    <n v="54001"/>
    <s v="2025-09-02"/>
    <n v="1"/>
    <s v="CUCUTA"/>
    <x v="4"/>
    <n v="49671.7"/>
    <n v="49671.7"/>
  </r>
  <r>
    <n v="75082"/>
    <s v="BARRIO SANTA INES VILLAVICENCIO"/>
    <n v="901369364"/>
    <s v="3143798281"/>
    <s v="3143798281"/>
    <s v="3143798281"/>
    <s v="CL 37 B 23 14 BRR SANTA INES,SANTA INÉS"/>
    <s v="4.152314"/>
    <s v="-73.628582"/>
    <s v="META"/>
    <s v="VILLAVICENCIO"/>
    <s v="VILLAVICENCIO"/>
    <n v="50001"/>
    <s v="2025-09-02"/>
    <n v="1"/>
    <s v="VILLAVICENCIO"/>
    <x v="1"/>
    <n v="49671.7"/>
    <n v="49671.7"/>
  </r>
  <r>
    <n v="75722"/>
    <s v="BARRIO UNIVERSITARIO PASTO"/>
    <n v="59176807"/>
    <s v="3122687588"/>
    <s v="3122687588"/>
    <s v="3122687588"/>
    <s v="CL 18 46 61 BRR UNIVERSITARIO-UNIERSITARIO,UNIVERSITARIO"/>
    <s v="1.2299728"/>
    <s v="-77.2916593"/>
    <s v="NARIÑO"/>
    <s v="PASTO"/>
    <s v="SAN JUAN DE PASTO"/>
    <n v="52001"/>
    <s v="2025-09-02"/>
    <n v="1"/>
    <s v="PASTO"/>
    <x v="3"/>
    <n v="49671.7"/>
    <n v="49671.7"/>
  </r>
  <r>
    <n v="79181"/>
    <s v="BARRIO PORVENIR CALI 1"/>
    <n v="38612317"/>
    <s v="3160706090"/>
    <s v="3218885938"/>
    <s v="3160706090"/>
    <s v="CL 33 4 A - 08 LC 104,PORVENIR"/>
    <s v="3.4600490"/>
    <s v="-76.5144302"/>
    <s v="VALLE DEL CAUCA"/>
    <s v="CALI"/>
    <s v="SANTIAGO DE CALI"/>
    <n v="76001"/>
    <s v="2025-09-02"/>
    <n v="1"/>
    <s v="CALI"/>
    <x v="3"/>
    <n v="37313"/>
    <n v="37313"/>
  </r>
  <r>
    <n v="74796"/>
    <s v="BARRIO URBANIZACION VILLA MARLEN II IBAGUE"/>
    <n v="1110568270"/>
    <s v="3175678416"/>
    <s v="3175678416"/>
    <s v="3175678416"/>
    <s v="CR 8 B 43 06,URBANIZACIÓN VILLA MARLEN II"/>
    <s v="4.4386422"/>
    <s v="-75.2089210"/>
    <s v="TOLIMA"/>
    <s v="IBAGUÉ"/>
    <s v="IBAGUÉ"/>
    <n v="73001"/>
    <s v="2025-09-02"/>
    <n v="1"/>
    <s v="IBAGUE"/>
    <x v="1"/>
    <n v="49671.7"/>
    <n v="49671.7"/>
  </r>
  <r>
    <n v="74768"/>
    <s v="BARRIO SOCIEGO VILLAVICENCIO"/>
    <n v="80247623"/>
    <s v="3170388885"/>
    <s v="3132850600"/>
    <s v="3132850600"/>
    <s v="CL 21 SUR N. 12 - 20 ÉSTE BRR EL SOCIEGO,SOCIEGO"/>
    <s v="4.116626"/>
    <s v="-73.596020"/>
    <s v="META"/>
    <s v="VILLAVICENCIO"/>
    <s v="VILLAVICENCIO"/>
    <n v="50001"/>
    <s v="2025-09-02"/>
    <n v="1"/>
    <s v="VILLAVICENCIO"/>
    <x v="1"/>
    <n v="49671.7"/>
    <n v="49671.7"/>
  </r>
  <r>
    <n v="79428"/>
    <s v="BARRIO ESPERANZA VII ETAPA VILLAVICENCIO"/>
    <n v="1121820184"/>
    <s v="3507004490"/>
    <s v="3507004490"/>
    <s v="3507004490"/>
    <s v="CR 39 14 39 BARRIO LA ESPERANZA VIII ETAPA,ESPERANZA VIII ETAPA"/>
    <s v="4.1302091"/>
    <s v="-73.6310005"/>
    <s v="META"/>
    <s v="VILLAVICENCIO"/>
    <s v="VILLAVICENCIO"/>
    <n v="50001"/>
    <s v="2025-09-02"/>
    <n v="1"/>
    <s v="VILLAVICENCIO"/>
    <x v="1"/>
    <n v="49671.7"/>
    <n v="49671.7"/>
  </r>
  <r>
    <n v="75609"/>
    <s v="BARRIO TRIGAL DEL NORTE CUCUTA 7"/>
    <n v="88267925"/>
    <s v="3219232080"/>
    <s v="3219232080"/>
    <s v="3219232080"/>
    <s v="AV 1 N 0-02 AP 101,TRIGAL DEL NORTE"/>
    <s v="7.948247"/>
    <s v="-72.503320"/>
    <s v="NORTE DE SANTANDER"/>
    <s v="CÚCUTA"/>
    <s v="CÚCUTA"/>
    <n v="54001"/>
    <s v="2025-09-02"/>
    <n v="1"/>
    <s v="CUCUTA"/>
    <x v="4"/>
    <n v="49671.7"/>
    <n v="49671.7"/>
  </r>
  <r>
    <n v="75353"/>
    <s v="BARRIO PORVENIR VILLAVICENCIO 9"/>
    <n v="1121918616"/>
    <s v="3118147335"/>
    <s v="3118147335"/>
    <s v="3118147335"/>
    <s v="CR 25 28 25 PORVENIR,PORVENIR"/>
    <s v="4.146211"/>
    <s v="-73.628723"/>
    <s v="META"/>
    <s v="VILLAVICENCIO"/>
    <s v="VILLAVICENCIO"/>
    <n v="50001"/>
    <s v="2025-09-02"/>
    <n v="1"/>
    <s v="VILLAVICENCIO"/>
    <x v="1"/>
    <n v="49671.7"/>
    <n v="49671.7"/>
  </r>
  <r>
    <n v="77941"/>
    <s v="BARRIO MARIA AUXILIADORA SABANETA 2"/>
    <n v="43876949"/>
    <s v="3212650712"/>
    <s v="3218881594"/>
    <s v="3218881594"/>
    <s v="CL 55 A SUR 38 68 LC 15,MARIA AUXILIADORA"/>
    <s v="6.1522235"/>
    <s v="-75.6006075"/>
    <s v="ANTIOQUIA"/>
    <s v="SABANETA"/>
    <s v="SABANETA"/>
    <n v="5631"/>
    <s v="2025-09-02"/>
    <n v="1"/>
    <s v="MEDELLIN"/>
    <x v="0"/>
    <n v="37313"/>
    <n v="37313"/>
  </r>
  <r>
    <n v="77732"/>
    <s v="BARRIO BELEN CUCUTA 6"/>
    <n v="37276519"/>
    <s v="3128946224"/>
    <s v="3128946224"/>
    <s v="3128946224"/>
    <s v="CL 35 NRO 25 31,BELEN"/>
    <s v="7.8696242"/>
    <s v="-72.5305740"/>
    <s v="NORTE DE SANTANDER"/>
    <s v="CÚCUTA"/>
    <s v="CÚCUTA"/>
    <n v="54001"/>
    <s v="2025-09-02"/>
    <n v="1"/>
    <s v="CUCUTA"/>
    <x v="4"/>
    <n v="49671.7"/>
    <n v="49671.7"/>
  </r>
  <r>
    <n v="77796"/>
    <s v="BARRIO ALFONSO BONILLA ARAGON CALI 3"/>
    <n v="1007311434"/>
    <s v="3145236307"/>
    <s v="3027729902"/>
    <s v="3146043103"/>
    <s v="CL 91 27 B - 08,ALFONSO BONILLA ARAGON"/>
    <s v="3.4192725"/>
    <s v="-76.4812069"/>
    <s v="VALLE DEL CAUCA"/>
    <s v="CALI"/>
    <s v="SANTIAGO DE CALI"/>
    <n v="76001"/>
    <s v="2025-09-02"/>
    <n v="1"/>
    <s v="CALI"/>
    <x v="3"/>
    <n v="37313"/>
    <n v="37313"/>
  </r>
  <r>
    <n v="21415"/>
    <s v="BARRIO LAURELES XII - MEDELLIN"/>
    <n v="3396179"/>
    <s v="4114581"/>
    <s v="3165548657"/>
    <s v="3206194843"/>
    <s v=" TV 39 A 70 32"/>
    <s v="6.23949938"/>
    <s v="-75.59096194"/>
    <s v="ANTIOQUIA"/>
    <s v="MEDELLÍN"/>
    <s v="MEDELLÍN"/>
    <n v="5001"/>
    <s v="2025-09-03"/>
    <n v="1"/>
    <s v="MEDELLIN"/>
    <x v="0"/>
    <n v="37313"/>
    <n v="37313"/>
  </r>
  <r>
    <n v="28046"/>
    <s v="BARRIO MONTECARLO IBAGUE"/>
    <n v="38211158"/>
    <s v="2783396"/>
    <s v="3203072558"/>
    <s v="3203072558"/>
    <s v=" CR 9 130/40 MONTECRLO"/>
    <s v="4.4485679"/>
    <s v="-75.1548112"/>
    <s v="TOLIMA"/>
    <s v="IBAGUÉ"/>
    <s v="IBAGUÉ"/>
    <n v="73001"/>
    <s v="2025-09-03"/>
    <n v="1"/>
    <s v="IBAGUE"/>
    <x v="1"/>
    <n v="49671.7"/>
    <n v="49671.7"/>
  </r>
  <r>
    <n v="18214"/>
    <s v="BARRIO CENTRO XXXIX - NEIVA"/>
    <n v="55151196"/>
    <s v="8710918"/>
    <s v="3102159924"/>
    <s v="3102159924"/>
    <s v=" CL 8  6-42 OF-101 CENTRO"/>
    <s v="2.92750536"/>
    <s v="-75.28726014"/>
    <s v="HUILA"/>
    <s v="NEIVA"/>
    <s v="NEIVA"/>
    <n v="41001"/>
    <s v="2025-09-03"/>
    <n v="1"/>
    <s v="NEIVA"/>
    <x v="1"/>
    <n v="49671.7"/>
    <n v="49671.7"/>
  </r>
  <r>
    <n v="25730"/>
    <s v="BARRIO CHIMINANGOS CALI"/>
    <n v="94447742"/>
    <s v="3742616"/>
    <s v="3012612270"/>
    <s v="3012612270"/>
    <s v="CR 1  66 -49 CC. CALIMA STAN PC10"/>
    <s v="3.48507"/>
    <s v="-76.49725"/>
    <s v="VALLE DEL CAUCA"/>
    <s v="CALI"/>
    <s v="SANTIAGO DE CALI"/>
    <n v="76001"/>
    <s v="2025-09-03"/>
    <n v="1"/>
    <s v="CALI"/>
    <x v="3"/>
    <n v="37313"/>
    <n v="37313"/>
  </r>
  <r>
    <n v="19825"/>
    <s v="BARRIO TINTAL V BOGOTA"/>
    <n v="52975413"/>
    <s v="2814447"/>
    <s v="3004325829"/>
    <s v="3004325829"/>
    <s v=" CL 34 BIS SUR 86 G 06"/>
    <s v="4.6377220"/>
    <s v="-74.1621055"/>
    <s v="CUNDINAMARCA"/>
    <s v="BOGOTÁ"/>
    <s v="BOGOTÁ"/>
    <n v="11001"/>
    <s v="2025-09-03"/>
    <n v="1"/>
    <s v="BOGOTA"/>
    <x v="2"/>
    <n v="37313"/>
    <n v="37313"/>
  </r>
  <r>
    <n v="22045"/>
    <s v="BARRIO CALIMA III - CALI"/>
    <n v="16647364"/>
    <s v="6652037"/>
    <s v="3136081858"/>
    <s v="3136081858"/>
    <s v=" CR 1 CL 70 CLIMA CE LC 197 P 1"/>
    <s v="3.48646577"/>
    <s v="-76.49426832"/>
    <s v="VALLE DEL CAUCA"/>
    <s v="CALI"/>
    <s v="SANTIAGO DE CALI"/>
    <n v="76001"/>
    <s v="2025-09-03"/>
    <n v="1"/>
    <s v="CALI"/>
    <x v="3"/>
    <n v="37313"/>
    <n v="37313"/>
  </r>
  <r>
    <n v="23781"/>
    <s v="BARRIO MANRIQUE GUADALUPE - MEDELLÍN "/>
    <n v="1037368235"/>
    <s v="5270694"/>
    <s v="3147496834"/>
    <s v="3147496834"/>
    <s v=" CR 37 96 75"/>
    <s v="6.2876354"/>
    <s v="-75.5466347"/>
    <s v="ANTIOQUIA"/>
    <s v="MEDELLÍN"/>
    <s v="MEDELLÍN"/>
    <n v="5001"/>
    <s v="2025-09-03"/>
    <n v="1"/>
    <s v="MEDELLIN"/>
    <x v="0"/>
    <n v="37313"/>
    <n v="37313"/>
  </r>
  <r>
    <n v="31442"/>
    <s v="BARRIO JUAN PABLO LL "/>
    <n v="19407128"/>
    <s v="7655681"/>
    <s v="3115311811"/>
    <s v="3115311811"/>
    <s v=" CL 67 A SUR  18N 95"/>
    <s v="4.5545942"/>
    <s v="-74.1470396"/>
    <s v="CUNDINAMARCA"/>
    <s v="BOGOTÁ"/>
    <s v="BOGOTÁ"/>
    <n v="11001"/>
    <s v="2025-09-03"/>
    <n v="1"/>
    <s v="BOGOTA"/>
    <x v="2"/>
    <n v="37313"/>
    <n v="37313"/>
  </r>
  <r>
    <n v="13544"/>
    <s v="BARRIO CENTRO III - BARRANQUILLA"/>
    <n v="73156462"/>
    <s v="3513112"/>
    <s v="3116568307"/>
    <s v="3116568307"/>
    <s v=" CR 40  38-26 CENTRO ANQUILLA"/>
    <s v="10.9801462"/>
    <s v="-74.7816018"/>
    <s v="ATLÁNTICO"/>
    <s v="BARRANQUILLA"/>
    <s v="BARRANQUILLA"/>
    <n v="8001"/>
    <s v="2025-09-03"/>
    <n v="1"/>
    <s v="BARRANQUILLA"/>
    <x v="5"/>
    <n v="37313"/>
    <n v="37313"/>
  </r>
  <r>
    <n v="16543"/>
    <s v="BARRIO ARANJUEZ XI MEDELLÍN"/>
    <n v="70301444"/>
    <s v="2580915"/>
    <s v="3102226938"/>
    <s v="3102226938"/>
    <s v=" CL 97  44-72 BRR ARANJUEZ"/>
    <s v="6.28832039"/>
    <s v="-75.55146945"/>
    <s v="ANTIOQUIA"/>
    <s v="MEDELLÍN"/>
    <s v="MEDELLÍN"/>
    <n v="5001"/>
    <s v="2025-09-03"/>
    <n v="1"/>
    <s v="MEDELLIN"/>
    <x v="0"/>
    <n v="37313"/>
    <n v="37313"/>
  </r>
  <r>
    <n v="15610"/>
    <s v="BARRIO CENTRO IV MEDELLIN"/>
    <n v="900496100"/>
    <s v="4445989"/>
    <s v="3148899285"/>
    <s v="3148899285"/>
    <s v=" CL 52  46-22 LC-152 CENTRO"/>
    <s v="6.2496954"/>
    <s v="-75.5648256"/>
    <s v="ANTIOQUIA"/>
    <s v="MEDELLÍN"/>
    <s v="MEDELLÍN"/>
    <n v="5001"/>
    <s v="2025-09-03"/>
    <n v="1"/>
    <s v="MEDELLIN"/>
    <x v="0"/>
    <n v="37313"/>
    <n v="37313"/>
  </r>
  <r>
    <n v="24551"/>
    <s v="BARRIO BELEN - IBAGUÉ"/>
    <n v="79751502"/>
    <s v="5157659"/>
    <s v="3172242080"/>
    <s v="3172242080"/>
    <s v=" CL 10  6 08 BELEN CENTENAEIO IBAGUE IBAGUE TOLIMA"/>
    <s v="4.4471052"/>
    <s v="-75.2410541"/>
    <s v="TOLIMA"/>
    <s v="IBAGUÉ"/>
    <s v="IBAGUÉ"/>
    <n v="73001"/>
    <s v="2025-09-03"/>
    <n v="1"/>
    <s v="IBAGUE"/>
    <x v="1"/>
    <n v="49671.7"/>
    <n v="49671.7"/>
  </r>
  <r>
    <n v="24774"/>
    <s v="BARRIO PRADO VERANIEGO II - BOGOTÁ"/>
    <n v="51678125"/>
    <s v="5207463"/>
    <s v="3118906165"/>
    <s v="3118906165"/>
    <s v=" CL 129 45 A 14"/>
    <s v="4.71574544"/>
    <s v="-74.05371605"/>
    <s v="CUNDINAMARCA"/>
    <s v="BOGOTÁ"/>
    <s v="BOGOTÁ"/>
    <n v="11001"/>
    <s v="2025-09-03"/>
    <n v="1"/>
    <s v="BOGOTA"/>
    <x v="2"/>
    <n v="37313"/>
    <n v="37313"/>
  </r>
  <r>
    <n v="30376"/>
    <s v="BARRIO SANTA MONICA - PASTO "/>
    <n v="30740667"/>
    <s v="6719197"/>
    <s v="3174676423"/>
    <s v="3174676423"/>
    <s v="MZ F CA 46 BR SANTA MONICA"/>
    <s v="1.20324"/>
    <s v="-77.257612"/>
    <s v="NARIÑO"/>
    <s v="PASTO"/>
    <s v="SAN JUAN DE PASTO"/>
    <n v="52001"/>
    <s v="2025-09-03"/>
    <n v="1"/>
    <s v="PASTO"/>
    <x v="3"/>
    <n v="49671.7"/>
    <n v="49671.7"/>
  </r>
  <r>
    <n v="31516"/>
    <s v="BARRIO LA FLORIDA 2 BOGOTA "/>
    <n v="79690061"/>
    <s v="2246235"/>
    <s v="3114854213"/>
    <s v="3112271601"/>
    <s v=" CL 70 B  92 68"/>
    <s v="4.6970947"/>
    <s v="-74.1125306"/>
    <s v="CUNDINAMARCA"/>
    <s v="BOGOTÁ"/>
    <s v="BOGOTÁ"/>
    <n v="11001"/>
    <s v="2025-09-03"/>
    <n v="1"/>
    <s v="BOGOTA"/>
    <x v="2"/>
    <n v="37313"/>
    <n v="37313"/>
  </r>
  <r>
    <n v="17196"/>
    <s v="BARRIO PROGRESO PASTO"/>
    <n v="12980730"/>
    <s v="7301179"/>
    <s v="3166826062"/>
    <s v="3166826062"/>
    <s v=" CR 6  16B-50 TER DE TRANSPORTES LC-120B"/>
    <s v="1.1984276"/>
    <s v="-77.2695403"/>
    <s v="NARIÑO"/>
    <s v="PASTO"/>
    <s v="SAN JUAN DE PASTO"/>
    <n v="52001"/>
    <s v="2025-09-03"/>
    <n v="1"/>
    <s v="PASTO"/>
    <x v="3"/>
    <n v="49671.7"/>
    <n v="49671.7"/>
  </r>
  <r>
    <n v="24548"/>
    <s v="BARRIO SAN FRANCISCO VI - BOGOTÁ"/>
    <n v="52233327"/>
    <s v="3743218"/>
    <s v="3112348027"/>
    <s v="3112348027"/>
    <s v=" CR 20 A 65 94 SUR "/>
    <s v="4.5624805"/>
    <s v="-74.1474245"/>
    <s v="CUNDINAMARCA"/>
    <s v="BOGOTÁ"/>
    <s v="BOGOTÁ"/>
    <n v="11001"/>
    <s v="2025-09-03"/>
    <n v="1"/>
    <s v="BOGOTA"/>
    <x v="2"/>
    <n v="37313"/>
    <n v="37313"/>
  </r>
  <r>
    <n v="32127"/>
    <s v="BARRIO SAN FRANCISCO 10 BOGOTÁ"/>
    <n v="79547160"/>
    <s v="6408850"/>
    <s v="3102389435"/>
    <s v="3102389435"/>
    <s v=" CL 65 SUR  20A 14"/>
    <s v="4.56274991"/>
    <s v="-74.14654187"/>
    <s v="CUNDINAMARCA"/>
    <s v="BOGOTÁ"/>
    <s v="BOGOTÁ"/>
    <n v="11001"/>
    <s v="2025-09-03"/>
    <n v="1"/>
    <s v="BOGOTA"/>
    <x v="2"/>
    <n v="37313"/>
    <n v="37313"/>
  </r>
  <r>
    <n v="15841"/>
    <s v="BARRIO SPRING II BOGOTA"/>
    <n v="80818333"/>
    <s v="6270186"/>
    <s v="3102598200"/>
    <s v="3102598200"/>
    <s v="CR 51 134 22"/>
    <s v="4.723502"/>
    <s v="-74.0544532"/>
    <s v="CUNDINAMARCA"/>
    <s v="BOGOTÁ"/>
    <s v="BOGOTÁ"/>
    <n v="11001"/>
    <s v="2025-09-03"/>
    <n v="1"/>
    <s v="BOGOTA"/>
    <x v="2"/>
    <n v="37313"/>
    <n v="37313"/>
  </r>
  <r>
    <n v="26328"/>
    <s v="LA DOCTORA II SABANETA - ANTIOQUIA"/>
    <n v="1041325118"/>
    <s v="5972265"/>
    <s v="3108285868"/>
    <s v="3108285868"/>
    <s v=" CL 75 SUR 29 41 IN 137"/>
    <s v="6.1380312"/>
    <s v="-75.6119970"/>
    <s v="ANTIOQUIA"/>
    <s v="SABANETA"/>
    <s v="SABANETA"/>
    <n v="5631"/>
    <s v="2025-09-03"/>
    <n v="1"/>
    <s v="MEDELLIN"/>
    <x v="0"/>
    <n v="37313"/>
    <n v="37313"/>
  </r>
  <r>
    <n v="27333"/>
    <s v="BARRIO NELSON MANDELA SEC VILLA GLORIA - CARTAGENA DE INDIAS"/>
    <n v="1047399689"/>
    <s v="6418443"/>
    <s v="3215638249"/>
    <s v="3215638249"/>
    <s v=" MZ 11 LT 10"/>
    <s v="10.3621057"/>
    <s v="-75.4815965"/>
    <s v="BOLÍVAR"/>
    <s v="CARTAGENA DE INDIAS"/>
    <s v="CARTAGENA DE INDIAS"/>
    <n v="13001"/>
    <s v="2025-09-03"/>
    <n v="1"/>
    <s v="CARTAGENA"/>
    <x v="5"/>
    <n v="49671.7"/>
    <n v="49671.7"/>
  </r>
  <r>
    <n v="16242"/>
    <s v="BARRIO LAURELES VI MEDELLIN"/>
    <n v="43646881"/>
    <s v="2502241"/>
    <s v="3007014734"/>
    <s v="3007014734"/>
    <s v=" CQ 71  39-26 LAURELES"/>
    <s v="6.24052"/>
    <s v="-75.59212"/>
    <s v="ANTIOQUIA"/>
    <s v="MEDELLÍN"/>
    <s v="MEDELLÍN"/>
    <n v="5001"/>
    <s v="2025-09-03"/>
    <n v="1"/>
    <s v="MEDELLIN"/>
    <x v="0"/>
    <n v="37313"/>
    <n v="37313"/>
  </r>
  <r>
    <n v="27904"/>
    <s v="BARRIO LAS AMERICAS - IBAGUÉ"/>
    <n v="5886383"/>
    <s v="2678681"/>
    <s v="3137006137"/>
    <s v="3137006137"/>
    <s v=" SPM 1 MZ 3 CS 20 AP 101"/>
    <s v="4.4073863"/>
    <s v="-75.145073"/>
    <s v="TOLIMA"/>
    <s v="IBAGUÉ"/>
    <s v="IBAGUÉ"/>
    <n v="73001"/>
    <s v="2025-09-03"/>
    <n v="1"/>
    <s v="IBAGUE"/>
    <x v="1"/>
    <n v="49671.7"/>
    <n v="49671.7"/>
  </r>
  <r>
    <n v="33549"/>
    <s v="BARRIO COLINA BOGOTA 1"/>
    <n v="1020794590"/>
    <s v="4673422"/>
    <s v="3115047858"/>
    <s v="3115047858"/>
    <s v=" CR 53 141 69 LC 108"/>
    <s v="4.726592"/>
    <s v="-74.0562819"/>
    <s v="CUNDINAMARCA"/>
    <s v="BOGOTÁ"/>
    <s v="BOGOTÁ"/>
    <n v="11001"/>
    <s v="2025-09-03"/>
    <n v="1"/>
    <s v="BOGOTA"/>
    <x v="2"/>
    <n v="37313"/>
    <n v="37313"/>
  </r>
  <r>
    <n v="24918"/>
    <s v="BARRIO VALLES DE ARAGON II - VILLAVICENCIO"/>
    <n v="1120499469"/>
    <s v="6822374"/>
    <s v="3218717203"/>
    <s v="3218717203"/>
    <s v=" CR 9 E  20 A SUR 02"/>
    <s v="4.1165136"/>
    <s v="-73.5988839"/>
    <s v="META"/>
    <s v="VILLAVICENCIO"/>
    <s v="VILLAVICENCIO"/>
    <n v="50001"/>
    <s v="2025-09-03"/>
    <n v="1"/>
    <s v="VILLAVICENCIO"/>
    <x v="1"/>
    <n v="49671.7"/>
    <n v="49671.7"/>
  </r>
  <r>
    <n v="30670"/>
    <s v="BARRIO EL BOSQUE"/>
    <n v="37241667"/>
    <s v="5790570"/>
    <s v="3102188019"/>
    <s v="3102188019"/>
    <s v=" CL 9 AN 3A 9A LC 2"/>
    <s v="7.9094600"/>
    <s v="-72.4999396"/>
    <s v="NORTE DE SANTANDER"/>
    <s v="CÚCUTA"/>
    <s v="CÚCUTA"/>
    <n v="54001"/>
    <s v="2025-09-03"/>
    <n v="1"/>
    <s v="CUCUTA"/>
    <x v="4"/>
    <n v="49671.7"/>
    <n v="49671.7"/>
  </r>
  <r>
    <n v="28660"/>
    <s v="BARRIO QUINTA ORIENTAL 3 CÚCUTA"/>
    <n v="80095752"/>
    <s v="5781870"/>
    <s v="3132284421"/>
    <s v="3132284421"/>
    <s v=" AV 11 E GUAIMAEAL 1N 07 LC 01"/>
    <s v="7.899920"/>
    <s v="-72.490807"/>
    <s v="NORTE DE SANTANDER"/>
    <s v="CÚCUTA"/>
    <s v="CÚCUTA"/>
    <n v="54001"/>
    <s v="2025-09-03"/>
    <n v="1"/>
    <s v="CUCUTA"/>
    <x v="4"/>
    <n v="49671.7"/>
    <n v="49671.7"/>
  </r>
  <r>
    <n v="30845"/>
    <s v="BARRIO CAICEDO 4"/>
    <n v="70302932"/>
    <s v="2210094"/>
    <s v="3104582547"/>
    <s v="3104582547"/>
    <s v=" CL 55 7 60"/>
    <s v="6.23428283"/>
    <s v="-75.53341166"/>
    <s v="ANTIOQUIA"/>
    <s v="MEDELLÍN"/>
    <s v="MEDELLÍN"/>
    <n v="5001"/>
    <s v="2025-09-03"/>
    <n v="1"/>
    <s v="MEDELLIN"/>
    <x v="0"/>
    <n v="37313"/>
    <n v="37313"/>
  </r>
  <r>
    <n v="32066"/>
    <s v="BARRIO SANTA MARIA BARRANQUILLA"/>
    <n v="8640361"/>
    <s v="3287097"/>
    <s v="3017441818"/>
    <s v="3017441818"/>
    <s v="CR  4 SUR  91 32"/>
    <s v="10.93276"/>
    <s v="-74.82594"/>
    <s v="ATLÁNTICO"/>
    <s v="BARRANQUILLA"/>
    <s v="BARRANQUILLA"/>
    <n v="8001"/>
    <s v="2025-09-03"/>
    <n v="1"/>
    <s v="BARRANQUILLA"/>
    <x v="5"/>
    <n v="37313"/>
    <n v="37313"/>
  </r>
  <r>
    <n v="26234"/>
    <s v="BARRIO PRADO CENTRO MEDELLIN"/>
    <n v="10240765"/>
    <s v="5047352"/>
    <s v="3165328328"/>
    <s v="3165328328"/>
    <s v=" CR 49 58 32"/>
    <s v="6.2557774"/>
    <s v="-75.5629594"/>
    <s v="ANTIOQUIA"/>
    <s v="MEDELLÍN"/>
    <s v="MEDELLÍN"/>
    <n v="5001"/>
    <s v="2025-09-03"/>
    <n v="1"/>
    <s v="MEDELLIN"/>
    <x v="0"/>
    <n v="37313"/>
    <n v="37313"/>
  </r>
  <r>
    <n v="28537"/>
    <s v="BARRIO VILLA ADRIANA VILAVICENCIO"/>
    <n v="40076486"/>
    <s v="6641564"/>
    <s v="3132906619"/>
    <s v="3132906619"/>
    <s v=" CR 36  17 06  VILLA ADRIANA"/>
    <s v="4.1335752"/>
    <s v="-73.6296613"/>
    <s v="META"/>
    <s v="VILLAVICENCIO"/>
    <s v="VILLAVICENCIO"/>
    <n v="50001"/>
    <s v="2025-09-03"/>
    <n v="1"/>
    <s v="VILLAVICENCIO"/>
    <x v="1"/>
    <n v="49671.7"/>
    <n v="49671.7"/>
  </r>
  <r>
    <n v="47288"/>
    <s v="BARRIO VEREDA PIPIRAL META"/>
    <n v="20659508"/>
    <s v="0"/>
    <s v="3103420372"/>
    <s v="3103420372"/>
    <s v="VRD , KM 71 - VEREDA PIPIRAL,VEREDA PIPIRAL"/>
    <s v="4.202271"/>
    <s v="-73.727392"/>
    <s v="META"/>
    <s v="VILLAVICENCIO"/>
    <s v="VILLAVICENCIO"/>
    <n v="50001"/>
    <s v="2025-09-03"/>
    <n v="1"/>
    <s v="VILLAVICENCIO"/>
    <x v="1"/>
    <n v="49671.7"/>
    <n v="49671.7"/>
  </r>
  <r>
    <n v="41097"/>
    <s v="BARRIO CALLE LARGA SABANETA"/>
    <n v="43873394"/>
    <s v="5966763"/>
    <s v="3137537205"/>
    <s v="3137537205"/>
    <s v="CR 46 C C 74 SUR 91"/>
    <s v="6.151322"/>
    <s v="-75.619796"/>
    <s v="ANTIOQUIA"/>
    <s v="SABANETA"/>
    <s v="SABANETA"/>
    <n v="5631"/>
    <s v="2025-09-03"/>
    <n v="1"/>
    <s v="MEDELLIN"/>
    <x v="0"/>
    <n v="37313"/>
    <n v="37313"/>
  </r>
  <r>
    <n v="36014"/>
    <s v="BARRIO SAN LUIS CALI 2"/>
    <n v="66772434"/>
    <s v="3481388"/>
    <s v="3168866314"/>
    <s v="3168866314"/>
    <s v=" CL 70 1 A 8 13"/>
    <s v="3.4823503"/>
    <s v="-76.4891988"/>
    <s v="VALLE DEL CAUCA"/>
    <s v="CALI"/>
    <s v="SANTIAGO DE CALI"/>
    <n v="76001"/>
    <s v="2025-09-03"/>
    <n v="1"/>
    <s v="CALI"/>
    <x v="3"/>
    <n v="37313"/>
    <n v="37313"/>
  </r>
  <r>
    <n v="36122"/>
    <s v="BARRIO CIUDAD LOS ALAMOS CALI"/>
    <n v="31990995"/>
    <m/>
    <s v="3173102232"/>
    <s v="3173102232"/>
    <s v="CL 60  2BN - 84"/>
    <s v="3.4859220"/>
    <s v="-76.5069098"/>
    <s v="VALLE DEL CAUCA"/>
    <s v="CALI"/>
    <s v="SANTIAGO DE CALI"/>
    <n v="76001"/>
    <s v="2025-09-03"/>
    <n v="1"/>
    <s v="CALI"/>
    <x v="3"/>
    <n v="37313"/>
    <n v="37313"/>
  </r>
  <r>
    <n v="41098"/>
    <s v="BARRIO AV LAS VEGAS SABANETA 1"/>
    <n v="900090524"/>
    <s v="4444912"/>
    <s v="3148869306"/>
    <s v="3148869306"/>
    <s v="CR 48 69 SUR 62,AV LAS VEGAS"/>
    <s v="6.153871"/>
    <s v="-75.617578"/>
    <s v="ANTIOQUIA"/>
    <s v="SABANETA"/>
    <s v="SABANETA"/>
    <n v="5631"/>
    <s v="2025-09-03"/>
    <n v="1"/>
    <s v="MEDELLIN"/>
    <x v="0"/>
    <n v="37313"/>
    <n v="37313"/>
  </r>
  <r>
    <n v="36089"/>
    <s v="BARRIO CENTRO NEIVA 9"/>
    <n v="900800938"/>
    <s v="8710021"/>
    <s v="3152573812"/>
    <s v="3152573812"/>
    <s v="CL 7  3 09"/>
    <s v="2.925448"/>
    <s v="-75.290282"/>
    <s v="HUILA"/>
    <s v="NEIVA"/>
    <s v="NEIVA"/>
    <n v="41001"/>
    <s v="2025-09-03"/>
    <n v="1"/>
    <s v="NEIVA"/>
    <x v="1"/>
    <n v="49671.7"/>
    <n v="49671.7"/>
  </r>
  <r>
    <n v="40186"/>
    <s v="BARRIO CENTRAL BELLO"/>
    <n v="43431519"/>
    <s v="5962117"/>
    <s v="3122622171"/>
    <s v="3122622171"/>
    <s v="CL 48 #50-35"/>
    <s v="6.3330840"/>
    <s v="-75.5586591"/>
    <s v="ANTIOQUIA"/>
    <s v="BELLO"/>
    <s v="BELLO"/>
    <n v="5088"/>
    <s v="2025-09-03"/>
    <n v="1"/>
    <s v="MEDELLIN"/>
    <x v="0"/>
    <n v="37313"/>
    <n v="37313"/>
  </r>
  <r>
    <n v="43000"/>
    <s v="BARRIO CENTRO MEDELLIN 51"/>
    <n v="71290655"/>
    <s v="5137378"/>
    <s v="3003805345"/>
    <s v="3003805345"/>
    <s v="CL 52 46 22 LOCAL 110,CENTRO"/>
    <s v="6.249489"/>
    <s v="-75.56474"/>
    <s v="ANTIOQUIA"/>
    <s v="MEDELLÍN"/>
    <s v="MEDELLÍN"/>
    <n v="5001"/>
    <s v="2025-09-03"/>
    <n v="1"/>
    <s v="MEDELLIN"/>
    <x v="0"/>
    <n v="37313"/>
    <n v="37313"/>
  </r>
  <r>
    <n v="46990"/>
    <s v="BARRIO BELLO BELLO 1"/>
    <n v="901421135"/>
    <s v="0"/>
    <s v="3108772225"/>
    <s v="3113170031"/>
    <s v="crr 46 No 49a 14"/>
    <s v="6.3353670"/>
    <s v="-75.5550101"/>
    <s v="ANTIOQUIA"/>
    <s v="BELLO"/>
    <s v="BELLO"/>
    <n v="5088"/>
    <s v="2025-09-03"/>
    <n v="1"/>
    <s v="MEDELLIN"/>
    <x v="0"/>
    <n v="37313"/>
    <n v="37313"/>
  </r>
  <r>
    <n v="49450"/>
    <s v="BARRIO BATAN BOGOTA"/>
    <n v="53028624"/>
    <s v="5105536"/>
    <s v="3015528525"/>
    <s v="3146675470"/>
    <s v="CR 50 122 03"/>
    <s v="4.7038240"/>
    <s v="-74.0588325"/>
    <s v="CUNDINAMARCA"/>
    <s v="BOGOTÁ"/>
    <s v="BOGOTÁ"/>
    <n v="11001"/>
    <s v="2025-09-03"/>
    <n v="1"/>
    <s v="BOGOTA"/>
    <x v="2"/>
    <n v="37313"/>
    <n v="37313"/>
  </r>
  <r>
    <n v="43254"/>
    <s v="BARRIO PRADO CENTRO MEDELLIN 4"/>
    <n v="1152212368"/>
    <s v="4986568"/>
    <s v="3147627876"/>
    <s v="3147627876"/>
    <s v="CL 60 45 20,PRADO CENTRO"/>
    <s v="6.2550478"/>
    <s v="-75.5595067"/>
    <s v="ANTIOQUIA"/>
    <s v="MEDELLÍN"/>
    <s v="MEDELLÍN"/>
    <n v="5001"/>
    <s v="2025-09-03"/>
    <n v="1"/>
    <s v="MEDELLIN"/>
    <x v="0"/>
    <n v="37313"/>
    <n v="37313"/>
  </r>
  <r>
    <n v="49093"/>
    <s v="BARRIO PUERTAS DEL EDEN NEIVA"/>
    <n v="1075253910"/>
    <s v="0"/>
    <s v="3144860757"/>
    <s v="3144860757"/>
    <s v="CL 77 1 A BIS 22,PUERTAS DEL EDEN"/>
    <s v="2.974940"/>
    <s v="-75.287953"/>
    <s v="HUILA"/>
    <s v="NEIVA"/>
    <s v="NEIVA"/>
    <n v="41001"/>
    <s v="2025-09-03"/>
    <n v="1"/>
    <s v="NEIVA"/>
    <x v="1"/>
    <n v="49671.7"/>
    <n v="49671.7"/>
  </r>
  <r>
    <n v="51156"/>
    <s v="BARRIO TRAPICHE BELLO 2"/>
    <n v="1020407541"/>
    <s v="2085970"/>
    <s v="3005706633"/>
    <s v="3005706634"/>
    <s v="CL 59 AE 67 A 37,TRAPICHE"/>
    <s v="6.3444057"/>
    <s v="-75.5719815"/>
    <s v="ANTIOQUIA"/>
    <s v="BELLO"/>
    <s v="BELLO"/>
    <n v="5088"/>
    <s v="2025-09-03"/>
    <n v="1"/>
    <s v="MEDELLIN"/>
    <x v="0"/>
    <n v="37313"/>
    <n v="37313"/>
  </r>
  <r>
    <n v="39461"/>
    <s v="BARRIO POPULAR 2 MEDELLIN 3"/>
    <n v="1013556721"/>
    <s v="5580017"/>
    <s v="3182169896"/>
    <s v="3182169896"/>
    <s v="CR 46 116 - 24"/>
    <s v="6.302295"/>
    <s v="-75.548671"/>
    <s v="ANTIOQUIA"/>
    <s v="MEDELLÍN"/>
    <s v="MEDELLÍN"/>
    <n v="5001"/>
    <s v="2025-09-03"/>
    <n v="1"/>
    <s v="MEDELLIN"/>
    <x v="0"/>
    <n v="37313"/>
    <n v="37313"/>
  </r>
  <r>
    <n v="42216"/>
    <s v="BARRIO YULDAIMA IBAGUE 1"/>
    <n v="14398269"/>
    <s v="2764038"/>
    <s v="3165297926"/>
    <s v="3165297926"/>
    <s v="CR 5 SUR # 18 A -14, LC 2YULDAIMA"/>
    <s v="4.4341581"/>
    <s v="-75.2396251"/>
    <s v="TOLIMA"/>
    <s v="IBAGUÉ"/>
    <s v="IBAGUÉ"/>
    <n v="73001"/>
    <s v="2025-09-03"/>
    <n v="1"/>
    <s v="IBAGUE"/>
    <x v="1"/>
    <n v="49671.7"/>
    <n v="49671.7"/>
  </r>
  <r>
    <n v="51453"/>
    <s v="BARRIO PRADO CENTRO MEDELLIN 6"/>
    <n v="32556396"/>
    <s v="2549842"/>
    <s v="3127789097"/>
    <s v="3127789097"/>
    <s v="CR 48 63 A 102,PRADO CENTRO"/>
    <s v="6.260276"/>
    <s v="-75.559541"/>
    <s v="ANTIOQUIA"/>
    <s v="MEDELLÍN"/>
    <s v="MEDELLÍN"/>
    <n v="5001"/>
    <s v="2025-09-03"/>
    <n v="1"/>
    <s v="MEDELLIN"/>
    <x v="0"/>
    <n v="37313"/>
    <n v="37313"/>
  </r>
  <r>
    <n v="48104"/>
    <s v="BARRIO BOLIVAR POPAYAN 1"/>
    <n v="1061759348"/>
    <s v="8339009"/>
    <s v="3156883851"/>
    <s v="3103701784"/>
    <s v="CL 7 N 6 A 23 LC 120,BOLÍVAR"/>
    <s v="2.448297222"/>
    <s v="-76.60386583"/>
    <s v="CAUCA"/>
    <s v="POPAYÁN"/>
    <s v="POPAYÁN"/>
    <n v="19001"/>
    <s v="2025-09-03"/>
    <n v="1"/>
    <s v="CALI"/>
    <x v="3"/>
    <n v="37313"/>
    <n v="37313"/>
  </r>
  <r>
    <n v="48382"/>
    <s v="BARRIO CAMILO DAZA CUCUTA"/>
    <n v="37394377"/>
    <s v="0"/>
    <s v="3133433917"/>
    <s v="3133433917"/>
    <s v="AV 8 43-35,CAMILO DAZA"/>
    <s v="7.9395887"/>
    <s v="-72.5211834"/>
    <s v="NORTE DE SANTANDER"/>
    <s v="CÚCUTA"/>
    <s v="CÚCUTA"/>
    <n v="54001"/>
    <s v="2025-09-03"/>
    <n v="1"/>
    <s v="CUCUTA"/>
    <x v="4"/>
    <n v="49671.7"/>
    <n v="49671.7"/>
  </r>
  <r>
    <n v="52392"/>
    <s v="BARRIO ALBERTO GALINDO NEIVA"/>
    <n v="55162573"/>
    <s v="8670860"/>
    <s v="3212630896"/>
    <s v="3212623393"/>
    <s v="CL 94 7 41,ALBERTO GALINDO"/>
    <s v="2.9815423"/>
    <s v="-75.2826084"/>
    <s v="HUILA"/>
    <s v="NEIVA"/>
    <s v="NEIVA"/>
    <n v="41001"/>
    <s v="2025-09-03"/>
    <n v="1"/>
    <s v="NEIVA"/>
    <x v="1"/>
    <n v="49671.7"/>
    <n v="49671.7"/>
  </r>
  <r>
    <n v="53439"/>
    <s v="BARRIO ETAPA 2 LA MADRID VILLAVICENCIO"/>
    <n v="1121827096"/>
    <s v="3115009972"/>
    <s v="3115009972"/>
    <s v="3115009972"/>
    <s v="MZ 46 CASA 1 ETAPA 2 LA MADRID"/>
    <s v="4.058536000"/>
    <s v="-73.67481997"/>
    <s v="META"/>
    <s v="VILLAVICENCIO"/>
    <s v="VILLAVICENCIO"/>
    <n v="50001"/>
    <s v="2025-09-03"/>
    <n v="1"/>
    <s v="VILLAVICENCIO"/>
    <x v="1"/>
    <n v="49671.7"/>
    <n v="49671.7"/>
  </r>
  <r>
    <n v="55688"/>
    <s v="BARRIO BUENOS AIRES BOGOTA 2"/>
    <n v="1114875201"/>
    <s v="0"/>
    <s v="3117400530"/>
    <s v="3117400530"/>
    <s v="CL 49 C BIS SUR 2 B - 60 ESTE"/>
    <s v="4.5412959"/>
    <s v="-74.1069775"/>
    <s v="CUNDINAMARCA"/>
    <s v="BOGOTÁ"/>
    <s v="BOGOTÁ"/>
    <n v="11001"/>
    <s v="2025-09-03"/>
    <n v="1"/>
    <s v="BOGOTA"/>
    <x v="2"/>
    <n v="37313"/>
    <n v="37313"/>
  </r>
  <r>
    <n v="55492"/>
    <s v="BARRIO ALFONSO LOPEZ CALI 1"/>
    <n v="1144075414"/>
    <s v="0"/>
    <s v="3175348197"/>
    <s v="3175348197"/>
    <s v="CL 72 A 7 A BIS 24"/>
    <s v="3.464823888888900"/>
    <s v="-76.482274444444000"/>
    <s v="VALLE DEL CAUCA"/>
    <s v="CALI"/>
    <s v="SANTIAGO DE CALI"/>
    <n v="76001"/>
    <s v="2025-09-03"/>
    <n v="1"/>
    <s v="CALI"/>
    <x v="3"/>
    <n v="37313"/>
    <n v="37313"/>
  </r>
  <r>
    <n v="52895"/>
    <s v="BARRIO EL BOSQUE CUCUTA 1"/>
    <n v="1005282128"/>
    <s v="0"/>
    <s v="3232406126"/>
    <s v="3232406126"/>
    <s v="CL 9 A N 3 A 94 LOCAL 3 URB EL BOSQUE,EL BOSQUE"/>
    <s v="7.9095066"/>
    <s v="-72.4996309"/>
    <s v="NORTE DE SANTANDER"/>
    <s v="CÚCUTA"/>
    <s v="CÚCUTA"/>
    <n v="54001"/>
    <s v="2025-09-03"/>
    <n v="1"/>
    <s v="CUCUTA"/>
    <x v="4"/>
    <n v="49671.7"/>
    <n v="49671.7"/>
  </r>
  <r>
    <n v="56867"/>
    <s v="BARRIO EL RODEO CALI"/>
    <n v="19454059"/>
    <s v="3950744"/>
    <s v="3016566948"/>
    <s v="3016566942"/>
    <s v="CL 41 A NO. 25 A 02"/>
    <s v="3.4359870"/>
    <s v="-76.5027612"/>
    <s v="VALLE DEL CAUCA"/>
    <s v="CALI"/>
    <s v="SANTIAGO DE CALI"/>
    <n v="76001"/>
    <s v="2025-09-03"/>
    <n v="1"/>
    <s v="CALI"/>
    <x v="3"/>
    <n v="37313"/>
    <n v="37313"/>
  </r>
  <r>
    <n v="57739"/>
    <s v="BARRIO HACIENDA LOS MOLINOS BOGOTA"/>
    <n v="1031149878"/>
    <s v="5233586"/>
    <s v="3212785490"/>
    <s v="3212785490"/>
    <s v="CL 49 B SUR 5 H -108"/>
    <s v="4.5507872"/>
    <s v="-74.1153302"/>
    <s v="CUNDINAMARCA"/>
    <s v="BOGOTÁ"/>
    <s v="BOGOTÁ"/>
    <n v="11001"/>
    <s v="2025-09-03"/>
    <n v="1"/>
    <s v="BOGOTA"/>
    <x v="2"/>
    <n v="37313"/>
    <n v="37313"/>
  </r>
  <r>
    <n v="57848"/>
    <s v="BARRIO LA CABAÑA POPAYAN"/>
    <n v="33379694"/>
    <s v="0"/>
    <s v="3108703538"/>
    <s v="3108703538"/>
    <s v="CR 15 9 N 299,LA CABAÑA"/>
    <s v="2.4587738"/>
    <s v="-76.6039061"/>
    <s v="CAUCA"/>
    <s v="POPAYÁN"/>
    <s v="POPAYÁN"/>
    <n v="19001"/>
    <s v="2025-09-03"/>
    <n v="1"/>
    <s v="CALI"/>
    <x v="3"/>
    <n v="37313"/>
    <n v="37313"/>
  </r>
  <r>
    <n v="56911"/>
    <s v="BARRIO JESUS DE LA BUENA ESPERANZA ENVIGADO"/>
    <n v="1039473701"/>
    <s v="6044638878"/>
    <s v="3137017732"/>
    <s v="3187029564"/>
    <s v=" C A L L E 40 S U R 25 B 22"/>
    <s v="6.153530"/>
    <s v="-75.580518"/>
    <s v="ANTIOQUIA"/>
    <s v="ENVIGADO"/>
    <s v="ENVIGADO"/>
    <n v="5266"/>
    <s v="2025-09-03"/>
    <n v="1"/>
    <s v="MEDELLIN"/>
    <x v="0"/>
    <n v="37313"/>
    <n v="37313"/>
  </r>
  <r>
    <n v="57310"/>
    <s v="BARRIO LA FORTALEZA CALI"/>
    <n v="1130611555"/>
    <s v="0"/>
    <s v="3157990685"/>
    <s v="3157990685"/>
    <s v="CR 29 30 A 04"/>
    <s v="3.428412"/>
    <s v="-76.513913"/>
    <s v="VALLE DEL CAUCA"/>
    <s v="CALI"/>
    <s v="SANTIAGO DE CALI"/>
    <n v="76001"/>
    <s v="2025-09-03"/>
    <n v="1"/>
    <s v="CALI"/>
    <x v="3"/>
    <n v="37313"/>
    <n v="37313"/>
  </r>
  <r>
    <n v="58579"/>
    <s v="BARRIO PATIO BONITO BOGOTA 15"/>
    <n v="19237334"/>
    <s v="0"/>
    <s v="3124596879"/>
    <s v="3124596879"/>
    <s v="CL 34 SUR 87 BIS - 03"/>
    <s v="4.6378815"/>
    <s v="-74.1625785"/>
    <s v="CUNDINAMARCA"/>
    <s v="BOGOTÁ"/>
    <s v="BOGOTÁ"/>
    <n v="11001"/>
    <s v="2025-09-03"/>
    <n v="1"/>
    <s v="BOGOTA"/>
    <x v="2"/>
    <n v="37313"/>
    <n v="37313"/>
  </r>
  <r>
    <n v="59376"/>
    <s v="BARRIO MAPORITA VILLAVICENCIO"/>
    <n v="1121833084"/>
    <s v="3138016210"/>
    <s v="3138016210"/>
    <s v="3138016210"/>
    <s v="MZ F CASA 5 MAPORITA,MAPAORITA"/>
    <s v="4.0714531"/>
    <s v="-73.6704710"/>
    <s v="META"/>
    <s v="VILLAVICENCIO"/>
    <s v="VILLAVICENCIO"/>
    <n v="50001"/>
    <s v="2025-09-03"/>
    <n v="1"/>
    <s v="VILLAVICENCIO"/>
    <x v="1"/>
    <n v="49671.7"/>
    <n v="49671.7"/>
  </r>
  <r>
    <n v="56406"/>
    <s v="BARRIO VALLES DE ARAGON VILLAVICENCIO 1"/>
    <n v="17357671"/>
    <s v="3212708436"/>
    <s v="3212708436"/>
    <s v="3212708436"/>
    <s v="CL 21 SUR N 8 - 44 LOCAL 2,VALLES DE ARAGON"/>
    <s v="4.116100"/>
    <s v="-73.598938"/>
    <s v="META"/>
    <s v="VILLAVICENCIO"/>
    <s v="VILLAVICENCIO"/>
    <n v="50001"/>
    <s v="2025-09-03"/>
    <n v="1"/>
    <s v="VILLAVICENCIO"/>
    <x v="1"/>
    <n v="49671.7"/>
    <n v="49671.7"/>
  </r>
  <r>
    <n v="57406"/>
    <s v="BARRIO ALFONSO LOPEZ 2 CALI 1"/>
    <n v="1143868165"/>
    <s v="0"/>
    <s v="3158544385"/>
    <s v="3103964802"/>
    <s v="CR 7 J BIS 76 03"/>
    <s v="3.4579964"/>
    <s v="-76.4800769"/>
    <s v="VALLE DEL CAUCA"/>
    <s v="CALI"/>
    <s v="SANTIAGO DE CALI"/>
    <n v="76001"/>
    <s v="2025-09-03"/>
    <n v="1"/>
    <s v="CALI"/>
    <x v="3"/>
    <n v="37313"/>
    <n v="37313"/>
  </r>
  <r>
    <n v="57701"/>
    <s v="BARRIO COMBEIMA NEIVA 1"/>
    <n v="25776124"/>
    <s v="0"/>
    <s v="3103166454"/>
    <s v="3103166454"/>
    <s v="CL 76 B 1 G 35 CASA 2 COMBEIMA"/>
    <s v="2.913826"/>
    <s v="-75.284120"/>
    <s v="HUILA"/>
    <s v="NEIVA"/>
    <s v="NEIVA"/>
    <n v="41001"/>
    <s v="2025-09-03"/>
    <n v="1"/>
    <s v="NEIVA"/>
    <x v="1"/>
    <n v="49671.7"/>
    <n v="49671.7"/>
  </r>
  <r>
    <n v="59486"/>
    <s v="BARRIO EL SALADO ENVIGADO 1"/>
    <n v="1037576468"/>
    <s v="3117093063"/>
    <s v="3117093063"/>
    <s v="3117093063"/>
    <s v="CL 40 SUR 24 EE 82"/>
    <s v="6.1504828"/>
    <s v="-75.5775104"/>
    <s v="ANTIOQUIA"/>
    <s v="ENVIGADO"/>
    <s v="ENVIGADO"/>
    <n v="5266"/>
    <s v="2025-09-03"/>
    <n v="1"/>
    <s v="MEDELLIN"/>
    <x v="0"/>
    <n v="37313"/>
    <n v="37313"/>
  </r>
  <r>
    <n v="60724"/>
    <s v="BARRIO SAN BENITO VILLAVICENCIO 8"/>
    <n v="40188782"/>
    <s v="3193465332"/>
    <s v="3123791253"/>
    <s v="3125921594"/>
    <s v="CL 24 A 37 - 11,BR R SAN BENITO"/>
    <s v="4.137327"/>
    <s v="-73.633911"/>
    <s v="META"/>
    <s v="VILLAVICENCIO"/>
    <s v="VILLAVICENCIO"/>
    <n v="50001"/>
    <s v="2025-09-03"/>
    <n v="1"/>
    <s v="VILLAVICENCIO"/>
    <x v="1"/>
    <n v="49671.7"/>
    <n v="49671.7"/>
  </r>
  <r>
    <n v="61067"/>
    <s v="BARRIO LUCERO BAJO BOGOTA 4"/>
    <n v="1024609409"/>
    <s v="3212263816"/>
    <s v="3212160607"/>
    <s v="3042455063"/>
    <s v="DIAGONAL 64 A BIS SUR 17 G 43,LUCERO BAJO"/>
    <s v="4.5538000"/>
    <s v="-74.1407733"/>
    <s v="CUNDINAMARCA"/>
    <s v="BOGOTÁ"/>
    <s v="BOGOTÁ"/>
    <n v="11001"/>
    <s v="2025-09-03"/>
    <n v="1"/>
    <s v="BOGOTA"/>
    <x v="2"/>
    <n v="37313"/>
    <n v="37313"/>
  </r>
  <r>
    <n v="58926"/>
    <s v="BARRIO CAMILO DAZA CUCUTA 1"/>
    <n v="1090363967"/>
    <s v="3212834376"/>
    <s v="3203594933"/>
    <s v="3203594933"/>
    <s v="AV 8 NRO 41-24,CAMILO DAZA"/>
    <s v="7.9385458"/>
    <s v="-72.5206176"/>
    <s v="NORTE DE SANTANDER"/>
    <s v="CÚCUTA"/>
    <s v="CÚCUTA"/>
    <n v="54001"/>
    <s v="2025-09-03"/>
    <n v="1"/>
    <s v="CUCUTA"/>
    <x v="4"/>
    <n v="49671.7"/>
    <n v="49671.7"/>
  </r>
  <r>
    <n v="61217"/>
    <s v="BARRIO LOS DOS PUENTES PASTO"/>
    <n v="1085253130"/>
    <s v="3137372058"/>
    <s v="3137372058"/>
    <s v="3103698341"/>
    <s v="BRR LOS DOS PUENTES CR 24 24 23"/>
    <s v="1.216314"/>
    <s v="-77.273095"/>
    <s v="NARIÑO"/>
    <s v="PASTO"/>
    <s v="SAN JUAN DE PASTO"/>
    <n v="52001"/>
    <s v="2025-09-03"/>
    <n v="1"/>
    <s v="PASTO"/>
    <x v="3"/>
    <n v="49671.7"/>
    <n v="49671.7"/>
  </r>
  <r>
    <n v="62050"/>
    <s v="BARRIO LUCERO BAJO 5"/>
    <n v="79824658"/>
    <s v="3174392234"/>
    <s v="3174392234"/>
    <s v="3174392234"/>
    <s v="CR 17 B 64 B SUR 36"/>
    <s v="4.5534640"/>
    <s v="-74.1380765"/>
    <s v="CUNDINAMARCA"/>
    <s v="BOGOTÁ"/>
    <s v="BOGOTÁ"/>
    <n v="11001"/>
    <s v="2025-09-03"/>
    <n v="1"/>
    <s v="BOGOTA"/>
    <x v="2"/>
    <n v="37313"/>
    <n v="37313"/>
  </r>
  <r>
    <n v="61896"/>
    <s v="BARRIO EL TRONCAL CALI 4"/>
    <n v="1005978395"/>
    <s v="3016997386"/>
    <s v="3209996901"/>
    <s v="3137197214"/>
    <s v="CL 45 # 11 - 01"/>
    <s v="3.4504632"/>
    <s v="-76.5035088"/>
    <s v="VALLE DEL CAUCA"/>
    <s v="CALI"/>
    <s v="SANTIAGO DE CALI"/>
    <n v="76001"/>
    <s v="2025-09-03"/>
    <n v="1"/>
    <s v="CALI"/>
    <x v="3"/>
    <n v="37313"/>
    <n v="37313"/>
  </r>
  <r>
    <n v="62389"/>
    <s v="BARRIO ZONA INDUSTRIAL NEIVA 8"/>
    <n v="12117912"/>
    <s v="3184224963"/>
    <s v="3184224963"/>
    <s v="3184224963"/>
    <s v="LC  23-70 MERCANEIVA-ZONA INDUSTRIAL,"/>
    <s v="2.8950771"/>
    <s v="-75.2822701"/>
    <s v="HUILA"/>
    <s v="NEIVA"/>
    <s v="NEIVA"/>
    <n v="41001"/>
    <s v="2025-09-03"/>
    <n v="1"/>
    <s v="NEIVA"/>
    <x v="1"/>
    <n v="49671.7"/>
    <n v="49671.7"/>
  </r>
  <r>
    <n v="61341"/>
    <s v="BARRIO SAN ISIDRO SABANETA"/>
    <n v="1010069486"/>
    <s v="4982580"/>
    <s v="3023622662"/>
    <s v="3156365119"/>
    <s v="CR 31 70 SUR 146"/>
    <s v="6.140699861"/>
    <s v="-75.6086501"/>
    <s v="ANTIOQUIA"/>
    <s v="SABANETA"/>
    <s v="SABANETA"/>
    <n v="5631"/>
    <s v="2025-09-03"/>
    <n v="1"/>
    <s v="MEDELLIN"/>
    <x v="0"/>
    <n v="37313"/>
    <n v="37313"/>
  </r>
  <r>
    <n v="62323"/>
    <s v="BARRIO CANAAN VILLAVICENCIO 1"/>
    <n v="1121847839"/>
    <s v="3144930678"/>
    <s v="3144930678"/>
    <s v="3205060608"/>
    <s v="CL 41 NÚMERO 15 A - 04 BARRIO CANAAN"/>
    <s v="4.144125"/>
    <s v="-73.587209"/>
    <s v="META"/>
    <s v="VILLAVICENCIO"/>
    <s v="VILLAVICENCIO"/>
    <n v="50001"/>
    <s v="2025-09-03"/>
    <n v="1"/>
    <s v="VILLAVICENCIO"/>
    <x v="1"/>
    <n v="49671.7"/>
    <n v="49671.7"/>
  </r>
  <r>
    <n v="62513"/>
    <s v="BARRIO MANRIQUE GUADALUPE MEDELLIN 1"/>
    <n v="98511369"/>
    <s v="0"/>
    <s v="3218510399"/>
    <s v="3218510399"/>
    <s v="CALLE 97 42 B 41,MANRIQUE GUADALUPE"/>
    <s v="6.288188"/>
    <s v="-75.550142"/>
    <s v="ANTIOQUIA"/>
    <s v="MEDELLÍN"/>
    <s v="MEDELLÍN"/>
    <n v="5001"/>
    <s v="2025-09-03"/>
    <n v="1"/>
    <s v="MEDELLIN"/>
    <x v="0"/>
    <n v="37313"/>
    <n v="37313"/>
  </r>
  <r>
    <n v="59890"/>
    <s v="BARRIO TIERRA BUENA BOGOTA 4"/>
    <n v="35516598"/>
    <s v="0"/>
    <s v="3204246085"/>
    <s v="3204246085"/>
    <s v="CR 97 F NO. 26 71 SUR CA 1.TIERRA BUENA"/>
    <s v="4.6498414"/>
    <s v="-74.1717653"/>
    <s v="CUNDINAMARCA"/>
    <s v="BOGOTÁ"/>
    <s v="BOGOTÁ"/>
    <n v="11001"/>
    <s v="2025-09-03"/>
    <n v="1"/>
    <s v="BOGOTA"/>
    <x v="2"/>
    <n v="37313"/>
    <n v="37313"/>
  </r>
  <r>
    <n v="66547"/>
    <s v="BARRIO PRADO CENTRO MEDELLIN 7"/>
    <n v="1036599634"/>
    <s v="0"/>
    <s v="3045283386"/>
    <s v="3045283386"/>
    <s v="CR 50 C 63 04,PRADO CENTRO"/>
    <s v="6.2606043"/>
    <s v="-75.5633224"/>
    <s v="ANTIOQUIA"/>
    <s v="MEDELLÍN"/>
    <s v="MEDELLÍN"/>
    <n v="5001"/>
    <s v="2025-09-03"/>
    <n v="1"/>
    <s v="MEDELLIN"/>
    <x v="0"/>
    <n v="37313"/>
    <n v="37313"/>
  </r>
  <r>
    <n v="68323"/>
    <s v="BARRIO PATIO BONITO BOGOTA 22"/>
    <n v="1030606730"/>
    <s v="3045328223"/>
    <s v="3115783204"/>
    <s v="3045328223"/>
    <s v="CL 2 87 F 43, PATIO BONITO"/>
    <s v="4.6415217"/>
    <s v="-74.1603023"/>
    <s v="CUNDINAMARCA"/>
    <s v="BOGOTÁ"/>
    <s v="BOGOTÁ"/>
    <n v="11001"/>
    <s v="2025-09-03"/>
    <n v="1"/>
    <s v="BOGOTA"/>
    <x v="2"/>
    <n v="37313"/>
    <n v="37313"/>
  </r>
  <r>
    <n v="68377"/>
    <s v="JONGOVITO PASTO 1"/>
    <n v="1085258770"/>
    <s v="3235825242"/>
    <s v="3235825245"/>
    <s v="3226037996"/>
    <s v="BRR SAN FRANCISCO DE JONGOVITO MZ B CA 4"/>
    <s v="1.1932928"/>
    <s v="-77.2890795"/>
    <s v="NARIÑO"/>
    <s v="PASTO"/>
    <s v="SAN JUAN DE PASTO"/>
    <n v="52001"/>
    <s v="2025-09-03"/>
    <n v="1"/>
    <s v="PASTO"/>
    <x v="3"/>
    <n v="49671.7"/>
    <n v="49671.7"/>
  </r>
  <r>
    <n v="68507"/>
    <s v="BARRIO FLORESTA MEDELLIN 5"/>
    <n v="1126707463"/>
    <s v="3152964238"/>
    <s v="3105398692"/>
    <s v="3152964238"/>
    <s v="CARRERA 80 47 90,FLORESTA"/>
    <s v="6.2581611"/>
    <s v="-75.5977538"/>
    <s v="ANTIOQUIA"/>
    <s v="MEDELLÍN"/>
    <s v="MEDELLÍN"/>
    <n v="5001"/>
    <s v="2025-09-03"/>
    <n v="1"/>
    <s v="MEDELLIN"/>
    <x v="0"/>
    <n v="37313"/>
    <n v="37313"/>
  </r>
  <r>
    <n v="60224"/>
    <s v="BARRIO ALAMOS NORTE TIERRA GRATA BOGOTA"/>
    <n v="52983668"/>
    <s v="0"/>
    <s v="3157486925"/>
    <s v="3157486925"/>
    <s v="CR 101 #70 55 LC 15,ÁLAMOS NORTE, TIERRA GRATA"/>
    <s v="4.7018712"/>
    <s v="-74.1193557"/>
    <s v="CUNDINAMARCA"/>
    <s v="BOGOTÁ"/>
    <s v="BOGOTÁ"/>
    <n v="11001"/>
    <s v="2025-09-03"/>
    <n v="1"/>
    <s v="BOGOTA"/>
    <x v="2"/>
    <n v="37313"/>
    <n v="37313"/>
  </r>
  <r>
    <n v="47558"/>
    <s v="BARRIO ZONA INDUSTRIAL NEIVA 3"/>
    <n v="901366248"/>
    <s v="8731111"/>
    <s v="3164380519"/>
    <s v="3176357610"/>
    <s v="CR 7  11- 11 Zona industrial"/>
    <s v="2.913826"/>
    <s v="-75.284120"/>
    <s v="HUILA"/>
    <s v="NEIVA"/>
    <s v="NEIVA"/>
    <n v="41001"/>
    <s v="2025-09-03"/>
    <n v="1"/>
    <s v="NEIVA"/>
    <x v="1"/>
    <n v="49671.7"/>
    <n v="49671.7"/>
  </r>
  <r>
    <n v="66669"/>
    <s v="BARRIO LOS CAMBULOS CALI 1"/>
    <n v="1107069989"/>
    <s v="3183167444"/>
    <s v="3183167444"/>
    <s v="3183167444"/>
    <s v="KR 44 # 9 A - 52 LC 1,LOS CAMBULOS"/>
    <s v="3.416189"/>
    <s v="-76.538731"/>
    <s v="VALLE DEL CAUCA"/>
    <s v="CALI"/>
    <s v="SANTIAGO DE CALI"/>
    <n v="76001"/>
    <s v="2025-09-03"/>
    <n v="1"/>
    <s v="CALI"/>
    <x v="3"/>
    <n v="37313"/>
    <n v="37313"/>
  </r>
  <r>
    <n v="69335"/>
    <s v="BARRIO URB ANIVERSARIO 1 CUCUTA 1"/>
    <n v="37291099"/>
    <s v="0"/>
    <s v="3506636943"/>
    <s v="3506636943"/>
    <s v="MZ 35 11-15,URB ANIVERSARIO 1"/>
    <s v="7.88799888"/>
    <s v="-72.473837777"/>
    <s v="NORTE DE SANTANDER"/>
    <s v="CÚCUTA"/>
    <s v="CÚCUTA"/>
    <n v="54001"/>
    <s v="2025-09-03"/>
    <n v="1"/>
    <s v="CUCUTA"/>
    <x v="4"/>
    <n v="49671.7"/>
    <n v="49671.7"/>
  </r>
  <r>
    <n v="66488"/>
    <s v="BARRIO SABANA VERDE CUCUTA"/>
    <n v="1093755215"/>
    <s v="3107964576"/>
    <s v="3107964576"/>
    <s v="3124644025"/>
    <s v="AV 47 NRO 2ANS -103,SABANA VERDE"/>
    <s v="7.5442498"/>
    <s v="-72.324222744"/>
    <s v="NORTE DE SANTANDER"/>
    <s v="CÚCUTA"/>
    <s v="CÚCUTA"/>
    <n v="54001"/>
    <s v="2025-09-03"/>
    <n v="1"/>
    <s v="CUCUTA"/>
    <x v="4"/>
    <n v="49671.7"/>
    <n v="49671.7"/>
  </r>
  <r>
    <n v="68506"/>
    <s v="SANTA CRUZ 3"/>
    <n v="1066508279"/>
    <s v="3137658363"/>
    <s v="3203344951"/>
    <s v="3137658363"/>
    <s v="CR 46 124 - 3"/>
    <s v="6.3043889"/>
    <s v="-75.548238"/>
    <s v="ANTIOQUIA"/>
    <s v="MEDELLÍN"/>
    <s v="MEDELLÍN"/>
    <n v="5001"/>
    <s v="2025-09-03"/>
    <n v="1"/>
    <s v="MEDELLIN"/>
    <x v="0"/>
    <n v="37313"/>
    <n v="37313"/>
  </r>
  <r>
    <n v="70224"/>
    <s v="BARRIO VEINTE DE JULIO VILLAVICENCIO 1"/>
    <n v="1075213341"/>
    <s v="3219846691"/>
    <s v="3219846691"/>
    <s v="3203602202"/>
    <s v="CR 25 NÚMERO 27 - 12 - VEITE DE JULIO,VEITE DE JULIO"/>
    <s v="4.145732"/>
    <s v="-73.628330"/>
    <s v="META"/>
    <s v="VILLAVICENCIO"/>
    <s v="VILLAVICENCIO"/>
    <n v="50001"/>
    <s v="2025-09-03"/>
    <n v="1"/>
    <s v="VILLAVICENCIO"/>
    <x v="1"/>
    <n v="49671.7"/>
    <n v="49671.7"/>
  </r>
  <r>
    <n v="69791"/>
    <s v="BARRIO DEPARTAMENTAL CALI"/>
    <n v="66747516"/>
    <s v="3165324857"/>
    <s v="3165324857"/>
    <s v="3165324857"/>
    <s v="CL 10 A #46 - 08,DEPARTAMENTAL"/>
    <s v="3.41423916"/>
    <s v="-76.536857222"/>
    <s v="VALLE DEL CAUCA"/>
    <s v="CALI"/>
    <s v="SANTIAGO DE CALI"/>
    <n v="76001"/>
    <s v="2025-09-03"/>
    <n v="1"/>
    <s v="CALI"/>
    <x v="3"/>
    <n v="37313"/>
    <n v="37313"/>
  </r>
  <r>
    <n v="65491"/>
    <s v="BARRIO LOS OLIVOS CUCUTA"/>
    <n v="88234456"/>
    <s v="3107917653"/>
    <s v="3107917653"/>
    <s v="3118106789"/>
    <s v="AV 47 NRO 3-38,LOS OLIVOS"/>
    <s v="7.9025208"/>
    <s v="-72.5422376"/>
    <s v="NORTE DE SANTANDER"/>
    <s v="CÚCUTA"/>
    <s v="CÚCUTA"/>
    <n v="54001"/>
    <s v="2025-09-03"/>
    <n v="1"/>
    <s v="CUCUTA"/>
    <x v="4"/>
    <n v="49671.7"/>
    <n v="49671.7"/>
  </r>
  <r>
    <n v="66349"/>
    <s v="BARRIO JUAN PABLO SEGUNDO BOGOTA"/>
    <n v="52852912"/>
    <s v="3102111917"/>
    <s v="3168797276"/>
    <s v="3155672580"/>
    <s v="CLL 67 A SUR # 18 J 54,JUAN PABLO SEGUNDO"/>
    <s v="4.552101"/>
    <s v="-74.145708"/>
    <s v="CUNDINAMARCA"/>
    <s v="BOGOTÁ"/>
    <s v="BOGOTÁ"/>
    <n v="11001"/>
    <s v="2025-09-03"/>
    <n v="1"/>
    <s v="BOGOTA"/>
    <x v="2"/>
    <n v="37313"/>
    <n v="37313"/>
  </r>
  <r>
    <n v="66489"/>
    <s v="BARRIO CAMILO DAZA CUCUTA 2"/>
    <n v="60445844"/>
    <s v="3102940231"/>
    <s v="3102940231"/>
    <s v="3224169183"/>
    <s v="AV 8 NRO 46-05 LC 1,CAMILO DAZA"/>
    <s v="7.56250"/>
    <s v="-72.3121"/>
    <s v="NORTE DE SANTANDER"/>
    <s v="CÚCUTA"/>
    <s v="CÚCUTA"/>
    <n v="54001"/>
    <s v="2025-09-03"/>
    <n v="1"/>
    <s v="CUCUTA"/>
    <x v="4"/>
    <n v="49671.7"/>
    <n v="49671.7"/>
  </r>
  <r>
    <n v="62891"/>
    <s v="BARRIO EL PARAISO PASTO"/>
    <n v="27204087"/>
    <s v="7217228"/>
    <s v="3167470708"/>
    <s v="3167470708"/>
    <s v="MANZANA B CASA 19 - EL PARAISO,EL PARAISO"/>
    <s v="1.2181890"/>
    <s v="-77.2631305"/>
    <s v="NARIÑO"/>
    <s v="PASTO"/>
    <s v="SAN JUAN DE PASTO"/>
    <n v="52001"/>
    <s v="2025-09-03"/>
    <n v="1"/>
    <s v="PASTO"/>
    <x v="3"/>
    <n v="49671.7"/>
    <n v="49671.7"/>
  </r>
  <r>
    <n v="67351"/>
    <s v="BARRIO LAURELES MEDELLIN 14"/>
    <n v="43979558"/>
    <s v="4130786"/>
    <s v="3007115480"/>
    <s v="3007115480"/>
    <s v="CR 72 CIR 1 14"/>
    <s v="6.2446266"/>
    <s v="-75.5906442"/>
    <s v="ANTIOQUIA"/>
    <s v="MEDELLÍN"/>
    <s v="MEDELLÍN"/>
    <n v="5001"/>
    <s v="2025-09-03"/>
    <n v="1"/>
    <s v="MEDELLIN"/>
    <x v="0"/>
    <n v="37313"/>
    <n v="37313"/>
  </r>
  <r>
    <n v="71403"/>
    <s v="BARRIO URBANIZACION VILLA CLARA IBAGUE"/>
    <n v="28537770"/>
    <s v="3214487915"/>
    <s v="3214487915"/>
    <s v="3214487915"/>
    <s v="MZ 1 C CASA 3,URBANIZACIÓN VILLA CLARA"/>
    <s v="4.4514672"/>
    <s v="-75.1414627"/>
    <s v="TOLIMA"/>
    <s v="IBAGUÉ"/>
    <s v="IBAGUÉ"/>
    <n v="73001"/>
    <s v="2025-09-03"/>
    <n v="1"/>
    <s v="IBAGUE"/>
    <x v="1"/>
    <n v="49671.7"/>
    <n v="49671.7"/>
  </r>
  <r>
    <n v="78073"/>
    <s v="BARRIO NELSON MANDELA SEC LOS ROBLES CARTAGENA DE INDIAS"/>
    <n v="901722929"/>
    <s v="3168614233"/>
    <s v="3168614233"/>
    <s v="3164450547"/>
    <s v="MZ H LT 8,NELSON MANDELA SEC LOS ROBLES"/>
    <s v="10.3644414"/>
    <s v="-75.4762830"/>
    <s v="BOLÍVAR"/>
    <s v="CARTAGENA DE INDIAS"/>
    <s v="CARTAGENA DE INDIAS"/>
    <n v="13001"/>
    <s v="2025-09-03"/>
    <n v="1"/>
    <s v="CARTAGENA"/>
    <x v="5"/>
    <n v="49671.7"/>
    <n v="49671.7"/>
  </r>
  <r>
    <n v="72260"/>
    <s v="BARRIO KATAY PAOPAYAN "/>
    <n v="1061723078"/>
    <s v="3165240381"/>
    <s v="3154061798"/>
    <s v="3165240381"/>
    <s v="CL 18N NRO. 9-30 LC C2 - ANTONIO NARINO,KATAY"/>
    <s v="2.4559305"/>
    <s v="-76.5971955"/>
    <s v="CAUCA"/>
    <s v="POPAYÁN"/>
    <s v="POPAYÁN"/>
    <n v="19001"/>
    <s v="2025-09-03"/>
    <n v="1"/>
    <s v="CALI"/>
    <x v="3"/>
    <n v="37313"/>
    <n v="37313"/>
  </r>
  <r>
    <n v="70043"/>
    <s v="BARRIO NOGALES BARRANQUILLA 1"/>
    <n v="1129576503"/>
    <s v="6053571594"/>
    <s v="3012287403"/>
    <s v="3012287403"/>
    <s v="CL 83 42A3-25,NOGALES"/>
    <s v="10.99180"/>
    <s v="-74.82529"/>
    <s v="ATLÁNTICO"/>
    <s v="BARRANQUILLA"/>
    <s v="BARRANQUILLA"/>
    <n v="8001"/>
    <s v="2025-09-03"/>
    <n v="1"/>
    <s v="BARRANQUILLA"/>
    <x v="5"/>
    <n v="37313"/>
    <n v="37313"/>
  </r>
  <r>
    <n v="63729"/>
    <s v="BARRIO POPULAR MEDELLIN 3"/>
    <n v="901613903"/>
    <s v="6045576348"/>
    <s v="6045576348"/>
    <s v="3162672064"/>
    <s v="CR 46 108 11,POPULAR"/>
    <s v="6.2977685"/>
    <s v="-75.5502924"/>
    <s v="ANTIOQUIA"/>
    <s v="MEDELLÍN"/>
    <s v="MEDELLÍN"/>
    <n v="5001"/>
    <s v="2025-09-03"/>
    <n v="1"/>
    <s v="MEDELLIN"/>
    <x v="0"/>
    <n v="37313"/>
    <n v="37313"/>
  </r>
  <r>
    <n v="78000"/>
    <s v="BARRIO VILLA FANNY CARTAGENA DE INDIAS"/>
    <n v="901783272"/>
    <s v="3227488222"/>
    <s v="3227488222"/>
    <s v="3233564402"/>
    <s v="MZ 5 LT 3 LOCAL 1,VILLA FANNY"/>
    <s v="10.3691285"/>
    <s v="-75.4779157"/>
    <s v="BOLÍVAR"/>
    <s v="CARTAGENA DE INDIAS"/>
    <s v="CARTAGENA DE INDIAS"/>
    <n v="13001"/>
    <s v="2025-09-03"/>
    <n v="1"/>
    <s v="CARTAGENA"/>
    <x v="5"/>
    <n v="49671.7"/>
    <n v="49671.7"/>
  </r>
  <r>
    <n v="78321"/>
    <s v="BARRIO LOS PINOS NEIVA  2"/>
    <n v="1081157178"/>
    <s v="3124285546"/>
    <s v="3124285546"/>
    <s v="3124285546"/>
    <s v="CR 22 44 - 11,LOS PINOS"/>
    <s v="2.955654"/>
    <s v="-75.280385"/>
    <s v="HUILA"/>
    <s v="NEIVA"/>
    <s v="NEIVA"/>
    <n v="41001"/>
    <s v="2025-09-03"/>
    <n v="1"/>
    <s v="NEIVA"/>
    <x v="1"/>
    <n v="49671.7"/>
    <n v="49671.7"/>
  </r>
  <r>
    <n v="72515"/>
    <s v="CALI LAS DELICIAS"/>
    <n v="36811736"/>
    <s v="3175143193"/>
    <s v="3168668372"/>
    <s v="3175143193"/>
    <s v="KR 4 B # 44 A - 22,LAS DELICIAS"/>
    <s v="3.4628557"/>
    <s v="-76.5071370"/>
    <s v="VALLE DEL CAUCA"/>
    <s v="CALI"/>
    <s v="SANTIAGO DE CALI"/>
    <n v="76001"/>
    <s v="2025-09-03"/>
    <n v="1"/>
    <s v="CALI"/>
    <x v="3"/>
    <n v="37313"/>
    <n v="37313"/>
  </r>
  <r>
    <n v="72517"/>
    <s v="BARRIO SANTA MONICA POPULAR CALI 1"/>
    <n v="43421577"/>
    <s v="3107212300"/>
    <s v="3107212300"/>
    <s v="3107212300"/>
    <s v="CL 33 H #24 B- 53,SANTA MÓNICA POPULAR"/>
    <s v="3.4363208"/>
    <s v="-76.5068353"/>
    <s v="VALLE DEL CAUCA"/>
    <s v="CALI"/>
    <s v="SANTIAGO DE CALI"/>
    <n v="76001"/>
    <s v="2025-09-03"/>
    <n v="1"/>
    <s v="CALI"/>
    <x v="3"/>
    <n v="37313"/>
    <n v="37313"/>
  </r>
  <r>
    <n v="67551"/>
    <s v="BARRIO DANUBIO AZUL BOGOTA 6"/>
    <n v="80063939"/>
    <s v="0"/>
    <s v="3112641129"/>
    <s v="3112641129"/>
    <s v="CL 56 SUR 4 P- 20"/>
    <s v="4.542188"/>
    <s v="-74.118898"/>
    <s v="CUNDINAMARCA"/>
    <s v="BOGOTÁ"/>
    <s v="BOGOTÁ"/>
    <n v="11001"/>
    <s v="2025-09-03"/>
    <n v="1"/>
    <s v="BOGOTA"/>
    <x v="2"/>
    <n v="37313"/>
    <n v="37313"/>
  </r>
  <r>
    <n v="78166"/>
    <s v="BARRIO CENTRO PASAJE SAN JOSE MEDELLIN"/>
    <n v="1017265147"/>
    <s v="3197918823"/>
    <s v="3197918823"/>
    <s v="3197918823"/>
    <s v="CL 50 45 45 LC 106,CENTRO PASAJE SAN JOSE"/>
    <s v="6.2477470"/>
    <s v="-75.5648136"/>
    <s v="ANTIOQUIA"/>
    <s v="MEDELLÍN"/>
    <s v="MEDELLÍN"/>
    <n v="5001"/>
    <s v="2025-09-03"/>
    <n v="1"/>
    <s v="MEDELLIN"/>
    <x v="0"/>
    <n v="37313"/>
    <n v="37313"/>
  </r>
  <r>
    <n v="78288"/>
    <s v="BARRIO MANILA EL POBLADO MEDELLIN"/>
    <n v="1128429832"/>
    <s v="3117230238"/>
    <s v="3117230238"/>
    <s v="3117230238"/>
    <s v="CL 12 43 B 8,BARRIO MANILA EL POBLADO"/>
    <s v="6.2132988"/>
    <s v="-75.5708203"/>
    <s v="ANTIOQUIA"/>
    <s v="MEDELLÍN"/>
    <s v="MEDELLÍN"/>
    <n v="5001"/>
    <s v="2025-09-03"/>
    <n v="1"/>
    <s v="MEDELLIN"/>
    <x v="0"/>
    <n v="37313"/>
    <n v="37313"/>
  </r>
  <r>
    <n v="78341"/>
    <s v="BARRIO EL CEDRO BOGOTA 1"/>
    <n v="41699246"/>
    <s v="3024723532"/>
    <s v="3024723532"/>
    <s v="3208884812"/>
    <s v="AC 72 97 A 18 ,EL CEDRO"/>
    <s v="4.7026080"/>
    <s v="-74.1149606"/>
    <s v="CUNDINAMARCA"/>
    <s v="BOGOTÁ"/>
    <s v="BOGOTÁ"/>
    <n v="11001"/>
    <s v="2025-09-03"/>
    <n v="1"/>
    <s v="BOGOTA"/>
    <x v="2"/>
    <n v="37313"/>
    <n v="37313"/>
  </r>
  <r>
    <n v="78457"/>
    <s v="BARRIO CENTRO PASTO  38"/>
    <n v="98379326"/>
    <s v="3137322839"/>
    <s v="3137322839"/>
    <s v="3182025646"/>
    <s v="CL 13 A 20 63 - CENTRO,CENTRO"/>
    <s v="1.2084767"/>
    <s v="-77.2801633"/>
    <s v="NARIÑO"/>
    <s v="PASTO"/>
    <s v="SAN JUAN DE PASTO"/>
    <n v="52001"/>
    <s v="2025-09-03"/>
    <n v="1"/>
    <s v="PASTO"/>
    <x v="3"/>
    <n v="49671.7"/>
    <n v="49671.7"/>
  </r>
  <r>
    <n v="67634"/>
    <s v="BARRIO LA FISCALA BOGOTA 2"/>
    <n v="52296476"/>
    <s v="3142405625"/>
    <s v="3142405625"/>
    <s v="3142405625"/>
    <s v="Diagonal 65 C bis  4 H-44"/>
    <s v="4.5335895"/>
    <s v="-74.1113031"/>
    <s v="CUNDINAMARCA"/>
    <s v="BOGOTÁ"/>
    <s v="BOGOTÁ"/>
    <n v="11001"/>
    <s v="2025-09-03"/>
    <n v="1"/>
    <s v="BOGOTA"/>
    <x v="2"/>
    <n v="37313"/>
    <n v="37313"/>
  </r>
  <r>
    <n v="73313"/>
    <s v="BARRIO SAN JOSE BARRANQUILLA 7"/>
    <n v="901499807"/>
    <s v="3103470798"/>
    <s v="3103470798"/>
    <s v="3103470798"/>
    <s v="CL 30 19-97 LO 6,SAN JOSE"/>
    <s v="10.95684"/>
    <s v="-74.78679"/>
    <s v="ATLÁNTICO"/>
    <s v="BARRANQUILLA"/>
    <s v="BARRANQUILLA"/>
    <n v="8001"/>
    <s v="2025-09-03"/>
    <n v="1"/>
    <s v="BARRANQUILLA"/>
    <x v="5"/>
    <n v="37313"/>
    <n v="37313"/>
  </r>
  <r>
    <n v="72716"/>
    <s v="EL TRIUNFO PASTO"/>
    <n v="1233193194"/>
    <s v="3152989866"/>
    <s v="3152989866"/>
    <s v="3152989866"/>
    <s v="DIAGONAL 16 NO 9 ESTE 28 BARRIO EL TRIUNFO - EL TRIUNFO,EL TRIUNFO"/>
    <s v="1.1903687"/>
    <s v="-77.2641979"/>
    <s v="NARIÑO"/>
    <s v="PASTO"/>
    <s v="SAN JUAN DE PASTO"/>
    <n v="52001"/>
    <s v="2025-09-03"/>
    <n v="1"/>
    <s v="PASTO"/>
    <x v="3"/>
    <n v="49671.7"/>
    <n v="49671.7"/>
  </r>
  <r>
    <n v="73340"/>
    <s v="BARRIO CHAPINERO CUCUTA 10"/>
    <n v="27605957"/>
    <s v="3214581649"/>
    <s v="3132184399"/>
    <s v="3132339246"/>
    <s v="CL 6 NRO 7-138,CHAPINERO"/>
    <s v="7.9152653"/>
    <s v="-72.5131960"/>
    <s v="NORTE DE SANTANDER"/>
    <s v="CÚCUTA"/>
    <s v="CÚCUTA"/>
    <n v="54001"/>
    <s v="2025-09-03"/>
    <n v="1"/>
    <s v="CUCUTA"/>
    <x v="4"/>
    <n v="49671.7"/>
    <n v="49671.7"/>
  </r>
  <r>
    <n v="73175"/>
    <s v="BARRIO AEROPUERTO CUCUTA 14"/>
    <n v="1096539169"/>
    <s v="3133239392"/>
    <s v="3133239392"/>
    <s v="3133239392"/>
    <s v="AV 2 NRO 17-06,AEROPUERTO"/>
    <s v="7.9376151"/>
    <s v="-72.5034116"/>
    <s v="NORTE DE SANTANDER"/>
    <s v="CÚCUTA"/>
    <s v="CÚCUTA"/>
    <n v="54001"/>
    <s v="2025-09-03"/>
    <n v="1"/>
    <s v="CUCUTA"/>
    <x v="4"/>
    <n v="49671.7"/>
    <n v="49671.7"/>
  </r>
  <r>
    <n v="72825"/>
    <s v="BARRIO LA DOCTORA SABANETA 2"/>
    <n v="1039462386"/>
    <s v="3013173229"/>
    <s v="3013173229"/>
    <s v="3013173229"/>
    <s v="CARRERA 34 A 75 SUR 44,LA DOCTORA"/>
    <s v="6.1416056"/>
    <s v="-75.6138723"/>
    <s v="ANTIOQUIA"/>
    <s v="SABANETA"/>
    <s v="SABANETA"/>
    <n v="5631"/>
    <s v="2025-09-03"/>
    <n v="1"/>
    <s v="MEDELLIN"/>
    <x v="0"/>
    <n v="37313"/>
    <n v="37313"/>
  </r>
  <r>
    <n v="73498"/>
    <s v="BARRIO BELLO BELLO 17"/>
    <n v="32495607"/>
    <s v="3113337351"/>
    <s v="3113337351"/>
    <s v="3113337351"/>
    <s v="CR 50 50 15 LOCAL 136 METROBELLO,BELLO"/>
    <s v="6.3345295"/>
    <s v="-75.5586596"/>
    <s v="ANTIOQUIA"/>
    <s v="BELLO"/>
    <s v="BELLO"/>
    <n v="5088"/>
    <s v="2025-09-03"/>
    <n v="1"/>
    <s v="MEDELLIN"/>
    <x v="0"/>
    <n v="37313"/>
    <n v="37313"/>
  </r>
  <r>
    <n v="64631"/>
    <s v="BARRIO SANTA MARTHA BOGOTA 2"/>
    <n v="900410980"/>
    <s v="3118692143"/>
    <s v="3118692143"/>
    <s v="3028246484"/>
    <s v="CL 69 SUR 9 A- 33"/>
    <s v="4.5257772"/>
    <s v="-74.1165566"/>
    <s v="CUNDINAMARCA"/>
    <s v="BOGOTÁ"/>
    <s v="BOGOTÁ"/>
    <n v="11001"/>
    <s v="2025-09-03"/>
    <n v="1"/>
    <s v="BOGOTA"/>
    <x v="2"/>
    <n v="37313"/>
    <n v="37313"/>
  </r>
  <r>
    <n v="79283"/>
    <s v="BARRIO PATIO BONITO BOGOTA 27"/>
    <n v="1233491333"/>
    <s v="3219709160"/>
    <s v="3219709160"/>
    <s v="3219709160"/>
    <s v="CL 26 SUR # 87 C 02,PATIO BONITO"/>
    <s v="4.6394966"/>
    <s v="-74.1612774"/>
    <s v="CUNDINAMARCA"/>
    <s v="BOGOTÁ"/>
    <s v="BOGOTÁ"/>
    <n v="11001"/>
    <s v="2025-09-03"/>
    <n v="1"/>
    <s v="BOGOTA"/>
    <x v="2"/>
    <n v="37313"/>
    <n v="37313"/>
  </r>
  <r>
    <n v="73838"/>
    <s v="BARRIO SAN LUIS CALI  3"/>
    <n v="66846262"/>
    <s v="3166700591"/>
    <s v="3154148189"/>
    <s v="3154148189"/>
    <s v="CL 70 #1 C1 - 19,SAN LUIS"/>
    <s v="3.4772881"/>
    <s v="-76.4875974"/>
    <s v="VALLE DEL CAUCA"/>
    <s v="CALI"/>
    <s v="SANTIAGO DE CALI"/>
    <n v="76001"/>
    <s v="2025-09-03"/>
    <n v="1"/>
    <s v="CALI"/>
    <x v="3"/>
    <n v="37313"/>
    <n v="37313"/>
  </r>
  <r>
    <n v="74291"/>
    <s v="BARRIO URBANIZACION TEQUENDAMA CAÑO "/>
    <n v="31979431"/>
    <s v="3162517680"/>
    <s v="3162517680"/>
    <s v="3162517680"/>
    <s v="CR 43 A 5 C 07,URBANIZACIÓN TEQUENDAMA"/>
    <s v="3.4193001"/>
    <s v="-76.5451630"/>
    <s v="VALLE DEL CAUCA"/>
    <s v="CALI"/>
    <s v="SANTIAGO DE CALI"/>
    <n v="76001"/>
    <s v="2025-09-03"/>
    <n v="1"/>
    <s v="CALI"/>
    <x v="3"/>
    <n v="37313"/>
    <n v="37313"/>
  </r>
  <r>
    <n v="76578"/>
    <s v="BARRIO EL RODEO CALI"/>
    <n v="53016711"/>
    <s v="3112816161"/>
    <s v="3112816161"/>
    <s v="3112816161"/>
    <s v="CL 33 F 23 41,EL RODEO"/>
    <s v="3.4371307"/>
    <s v="-76.5080879"/>
    <s v="VALLE DEL CAUCA"/>
    <s v="CALI"/>
    <s v="SANTIAGO DE CALI"/>
    <n v="76001"/>
    <s v="2025-09-03"/>
    <n v="1"/>
    <s v="CALI"/>
    <x v="3"/>
    <n v="37313"/>
    <n v="37313"/>
  </r>
  <r>
    <n v="74002"/>
    <s v="BARRIO DANUBIO AZUL BOGOTA 7"/>
    <n v="23800175"/>
    <s v="3157028397"/>
    <s v="3157028397"/>
    <s v="3134916283"/>
    <s v="CL 56 SUR 4 B - 20"/>
    <s v="4.5400412"/>
    <s v="-74.1169443"/>
    <s v="CUNDINAMARCA"/>
    <s v="BOGOTÁ"/>
    <s v="BOGOTÁ"/>
    <n v="11001"/>
    <s v="2025-09-03"/>
    <n v="1"/>
    <s v="BOGOTA"/>
    <x v="2"/>
    <n v="37313"/>
    <n v="37313"/>
  </r>
  <r>
    <n v="76788"/>
    <s v="BARRIO SANAGUSTIN BOGOTA"/>
    <n v="1089720287"/>
    <s v="3184845941"/>
    <s v="3184845941"/>
    <s v="3213958133"/>
    <s v="CR 5 D 49 B- 03 SUR"/>
    <s v="4.5480234"/>
    <s v="-74.1135028"/>
    <s v="CUNDINAMARCA"/>
    <s v="BOGOTÁ"/>
    <s v="BOGOTÁ"/>
    <n v="11001"/>
    <s v="2025-09-03"/>
    <n v="1"/>
    <s v="BOGOTA"/>
    <x v="2"/>
    <n v="37313"/>
    <n v="37313"/>
  </r>
  <r>
    <n v="77048"/>
    <s v="BARRIO POPULAR MEDELLIN 5"/>
    <n v="1063156418"/>
    <s v="3022465243"/>
    <s v="3022465243"/>
    <s v="3022465243"/>
    <s v="CL 119 42 C - 109"/>
    <s v="6.302588"/>
    <s v="-75.546104"/>
    <s v="ANTIOQUIA"/>
    <s v="MEDELLÍN"/>
    <s v="MEDELLÍN"/>
    <n v="5001"/>
    <s v="2025-09-03"/>
    <n v="1"/>
    <s v="MEDELLIN"/>
    <x v="0"/>
    <n v="37313"/>
    <n v="37313"/>
  </r>
  <r>
    <n v="75200"/>
    <s v="BARRIO SAN LUIS CALI 4"/>
    <n v="94487163"/>
    <s v="3208487184"/>
    <s v="3208487184"/>
    <s v="3208487184"/>
    <s v="CR 1C 72 14,SAN LUIS"/>
    <s v="3.4785097"/>
    <s v="-76.4855749"/>
    <s v="VALLE DEL CAUCA"/>
    <s v="CALI"/>
    <s v="SANTIAGO DE CALI"/>
    <n v="76001"/>
    <s v="2025-09-03"/>
    <n v="1"/>
    <s v="CALI"/>
    <x v="3"/>
    <n v="37313"/>
    <n v="37313"/>
  </r>
  <r>
    <n v="76620"/>
    <s v="BARRIO MORICHAL VILLAVKCENCO"/>
    <n v="1069745751"/>
    <s v="3204584878"/>
    <s v="3204584878"/>
    <s v="3204584878"/>
    <s v="CR 18 E 38 - 10 MZ 52 CS 16 BRR MORICHAL,MORICHAL"/>
    <s v="4.141098"/>
    <s v="-73.585307"/>
    <s v="META"/>
    <s v="VILLAVICENCIO"/>
    <s v="VILLAVICENCIO"/>
    <n v="50001"/>
    <s v="2025-09-03"/>
    <n v="1"/>
    <s v="VILLAVICENCIO"/>
    <x v="1"/>
    <n v="49671.7"/>
    <n v="49671.7"/>
  </r>
  <r>
    <n v="76726"/>
    <s v="BARRIO URB ANIVERSARIO  1 CUCUTA"/>
    <n v="1090378022"/>
    <s v="3248445177"/>
    <s v="3204125357"/>
    <s v="3204125357"/>
    <s v="CL 10A NRO 15 43,URB ANIVERSARIO 1"/>
    <s v="7.889898"/>
    <s v="-72.474780"/>
    <s v="NORTE DE SANTANDER"/>
    <s v="CÚCUTA"/>
    <s v="CÚCUTA"/>
    <n v="54001"/>
    <s v="2025-09-03"/>
    <n v="1"/>
    <s v="CUCUTA"/>
    <x v="4"/>
    <n v="49671.7"/>
    <n v="49671.7"/>
  </r>
  <r>
    <n v="77025"/>
    <s v="BARRIO EL CENTRO NEIVA 13"/>
    <n v="1075247683"/>
    <s v="3166918072"/>
    <s v="3159272890"/>
    <s v="3159272890"/>
    <s v="CL 9 6 37,EL CENTRO"/>
    <s v="2.928597"/>
    <s v="-75.287693"/>
    <s v="HUILA"/>
    <s v="NEIVA"/>
    <s v="NEIVA"/>
    <n v="41001"/>
    <s v="2025-09-03"/>
    <n v="1"/>
    <s v="NEIVA"/>
    <x v="1"/>
    <n v="49671.7"/>
    <n v="49671.7"/>
  </r>
  <r>
    <n v="79204"/>
    <s v="BARRIO LA FLORESTA MEDELLIN 2"/>
    <n v="1020102762"/>
    <s v="3202315964"/>
    <s v="3202315964"/>
    <s v="3202315964"/>
    <s v="CR 80 50 14 LC 103,LA FLORESTA"/>
    <s v="6.2637238"/>
    <s v="-75.5962664"/>
    <s v="ANTIOQUIA"/>
    <s v="MEDELLÍN"/>
    <s v="MEDELLÍN"/>
    <n v="5001"/>
    <s v="2025-09-03"/>
    <n v="1"/>
    <s v="MEDELLIN"/>
    <x v="0"/>
    <n v="37313"/>
    <n v="37313"/>
  </r>
  <r>
    <n v="75358"/>
    <s v="BARRIO CALANDAMIA KENNEDY BOGOTA"/>
    <n v="80770381"/>
    <s v="3133032861"/>
    <s v="3133032861"/>
    <s v="3224273218"/>
    <s v="CR 89 C 26 03 SUR .CALANDAMIA KENNEDY"/>
    <s v="4.6430766"/>
    <s v="-74.1643674"/>
    <s v="CUNDINAMARCA"/>
    <s v="BOGOTÁ"/>
    <s v="BOGOTÁ"/>
    <n v="11001"/>
    <s v="2025-09-03"/>
    <n v="1"/>
    <s v="BOGOTA"/>
    <x v="2"/>
    <n v="37313"/>
    <n v="37313"/>
  </r>
  <r>
    <n v="75563"/>
    <s v="BARRIO EL CENTRO NEIVA 9"/>
    <n v="1006031604"/>
    <s v="3164350271"/>
    <s v="3164350271"/>
    <s v="3164350271"/>
    <s v="CR 4 4 57,EL CENTRO"/>
    <s v="2.923946"/>
    <s v="-75.288763"/>
    <s v="HUILA"/>
    <s v="NEIVA"/>
    <s v="NEIVA"/>
    <n v="41001"/>
    <s v="2025-09-03"/>
    <n v="1"/>
    <s v="NEIVA"/>
    <x v="1"/>
    <n v="49671.7"/>
    <n v="49671.7"/>
  </r>
  <r>
    <n v="75570"/>
    <s v="BARRIO SAN FELIPE BARRANQUILLA 6"/>
    <n v="1140837432"/>
    <s v="3104402478"/>
    <s v="3104402478"/>
    <s v="3104402478"/>
    <s v="CL 70C 23C 45"/>
    <s v="10.97250"/>
    <s v="-74.81073"/>
    <s v="ATLÁNTICO"/>
    <s v="BARRANQUILLA"/>
    <s v="BARRANQUILLA"/>
    <n v="8001"/>
    <s v="2025-09-03"/>
    <n v="1"/>
    <s v="BARRANQUILLA"/>
    <x v="5"/>
    <n v="37313"/>
    <n v="37313"/>
  </r>
  <r>
    <n v="77246"/>
    <s v="BARRIO CENTRO PASTO 37"/>
    <n v="30726235"/>
    <s v="3177325930"/>
    <s v="3105438974"/>
    <s v="3105438974"/>
    <s v="CL 17 19 80,CENTRO"/>
    <s v="1.2091811"/>
    <s v="-77.2772532"/>
    <s v="NARIÑO"/>
    <s v="PASTO"/>
    <s v="SAN JUAN DE PASTO"/>
    <n v="52001"/>
    <s v="2025-09-03"/>
    <n v="1"/>
    <s v="PASTO"/>
    <x v="3"/>
    <n v="49671.7"/>
    <n v="49671.7"/>
  </r>
  <r>
    <n v="73802"/>
    <s v="BARRIO SANTO DOMINGO BARRANQUILLA 8"/>
    <n v="1045744767"/>
    <s v="3042710371"/>
    <s v="3042710371"/>
    <s v="3023443135"/>
    <s v="CL 90 2D-15,SANTO DOMINGO"/>
    <s v="10.93810"/>
    <s v="-74.82424"/>
    <s v="ATLÁNTICO"/>
    <s v="BARRANQUILLA"/>
    <s v="BARRANQUILLA"/>
    <n v="8001"/>
    <s v="2025-09-03"/>
    <n v="1"/>
    <s v="BARRANQUILLA"/>
    <x v="5"/>
    <n v="37313"/>
    <n v="37313"/>
  </r>
  <r>
    <n v="74877"/>
    <s v="BARRIO EL SALADO IBAGUE 13"/>
    <n v="65783669"/>
    <s v="3229097073"/>
    <s v="3106080070"/>
    <s v="3106080070"/>
    <s v="CR 8 146 25,EL SALADO"/>
    <s v="4.4500406"/>
    <s v="-75.1437723"/>
    <s v="TOLIMA"/>
    <s v="IBAGUÉ"/>
    <s v="IBAGUÉ"/>
    <n v="73001"/>
    <s v="2025-09-03"/>
    <n v="1"/>
    <s v="IBAGUE"/>
    <x v="1"/>
    <n v="49671.7"/>
    <n v="49671.7"/>
  </r>
  <r>
    <n v="74116"/>
    <s v="BARRIO CENTRO NEIVA 34"/>
    <n v="55067367"/>
    <s v="3176403528"/>
    <s v="3164950506"/>
    <s v="3176403528"/>
    <s v="CL 9 4 19 LC 122,CENTRO"/>
    <s v="2.927861"/>
    <s v="-75.290154"/>
    <s v="HUILA"/>
    <s v="NEIVA"/>
    <s v="NEIVA"/>
    <n v="41001"/>
    <s v="2025-09-03"/>
    <n v="1"/>
    <s v="NEIVA"/>
    <x v="1"/>
    <n v="49671.7"/>
    <n v="49671.7"/>
  </r>
  <r>
    <n v="74481"/>
    <s v="BARRIO JARDIN IBAGUE 4"/>
    <n v="1192791902"/>
    <s v="3234383223"/>
    <s v="3234383223"/>
    <s v="3234383223"/>
    <s v="CR 3 79 A 2 C 34 40,JARDÍN"/>
    <s v="4.438738"/>
    <s v=" -75.177881 "/>
    <s v="TOLIMA"/>
    <s v="IBAGUÉ"/>
    <s v="IBAGUÉ"/>
    <n v="73001"/>
    <s v="2025-09-03"/>
    <n v="1"/>
    <s v="IBAGUE"/>
    <x v="1"/>
    <n v="49671.7"/>
    <n v="49671.7"/>
  </r>
  <r>
    <n v="74542"/>
    <s v="BARRIO LIBERTAD VALLE ESTHER CUCUTA"/>
    <n v="1090459389"/>
    <s v="3106771301"/>
    <s v="3106771301"/>
    <s v="3106771301"/>
    <s v="CL 18 NRO 18 02,LIBERTAD VALLE ESTHER"/>
    <s v="7.885157"/>
    <s v="-72.471817"/>
    <s v="NORTE DE SANTANDER"/>
    <s v="CÚCUTA"/>
    <s v="CÚCUTA"/>
    <n v="54001"/>
    <s v="2025-09-03"/>
    <n v="1"/>
    <s v="CUCUTA"/>
    <x v="4"/>
    <n v="49671.7"/>
    <n v="49671.7"/>
  </r>
  <r>
    <n v="74827"/>
    <s v="BARRIO BARIOS UNIDOS BOGOTA"/>
    <n v="1002526529"/>
    <s v="3202209658"/>
    <s v="3142989819"/>
    <s v="3142989819"/>
    <s v="CL 80 38 00 ESCUELA MILITAR"/>
    <s v="4.678644"/>
    <s v="-74.067902"/>
    <s v="CUNDINAMARCA"/>
    <s v="BOGOTÁ"/>
    <s v="BOGOTÁ"/>
    <n v="11001"/>
    <s v="2025-09-03"/>
    <n v="1"/>
    <s v="BOGOTA"/>
    <x v="2"/>
    <n v="37313"/>
    <n v="37313"/>
  </r>
  <r>
    <n v="74897"/>
    <s v="BARRIO PRADO CENTRO MEDELLIN 10"/>
    <n v="901135691"/>
    <s v="3108235642"/>
    <s v="3148217334"/>
    <s v="3148217334"/>
    <s v="CL 67 48A 69,PRADO CENTRO"/>
    <s v="6.2632139"/>
    <s v="-75.5594234"/>
    <s v="ANTIOQUIA"/>
    <s v="MEDELLÍN"/>
    <s v="MEDELLÍN"/>
    <n v="5001"/>
    <s v="2025-09-03"/>
    <n v="1"/>
    <s v="MEDELLIN"/>
    <x v="0"/>
    <n v="37313"/>
    <n v="37313"/>
  </r>
  <r>
    <n v="79290"/>
    <s v="BARRIO LIDO CALI"/>
    <n v="66837701"/>
    <s v="3173730542"/>
    <s v="3182349975"/>
    <s v="3173730542"/>
    <s v="CR 42 1 A 52 LC 2 ,LIDO"/>
    <s v="3.4234765"/>
    <s v="-76.5516832"/>
    <s v="VALLE DEL CAUCA"/>
    <s v="CALI"/>
    <s v="SANTIAGO DE CALI"/>
    <n v="76001"/>
    <s v="2025-09-03"/>
    <n v="1"/>
    <s v="CALI"/>
    <x v="3"/>
    <n v="37313"/>
    <n v="37313"/>
  </r>
  <r>
    <n v="79318"/>
    <s v="BARRIO CAMPO BELLO POPAYAN  2"/>
    <n v="1061810681"/>
    <s v="3128682558"/>
    <s v="3128682558"/>
    <s v="3128682558"/>
    <s v="CR 15 33N 72 CAMPO BELLO,CAMPO BELLO"/>
    <s v="2.4691385"/>
    <s v="-76.5914686"/>
    <s v="CAUCA"/>
    <s v="POPAYÁN"/>
    <s v="POPAYÁN"/>
    <n v="19001"/>
    <s v="2025-09-03"/>
    <n v="1"/>
    <s v="CALI"/>
    <x v="3"/>
    <n v="37313"/>
    <n v="37313"/>
  </r>
  <r>
    <n v="75888"/>
    <s v="BARRIO SAN ISIDRO VILLAVICENCIO 15"/>
    <n v="1121819568"/>
    <s v="3134830149"/>
    <s v="3203041675"/>
    <s v="3203041675"/>
    <s v="CR 26 N 34 - 28 BRR SAN ISIDRO,SAN ISIDRO"/>
    <s v="4.148449"/>
    <s v="-73.632061"/>
    <s v="META"/>
    <s v="VILLAVICENCIO"/>
    <s v="VILLAVICENCIO"/>
    <n v="50001"/>
    <s v="2025-09-03"/>
    <n v="1"/>
    <s v="VILLAVICENCIO"/>
    <x v="1"/>
    <n v="49671.7"/>
    <n v="49671.7"/>
  </r>
  <r>
    <n v="74524"/>
    <s v="BARRIO GALAN BARRANQUILLA 5"/>
    <n v="55247029"/>
    <s v="3008406895"/>
    <s v="3008406895"/>
    <s v="3008406895"/>
    <s v="CL 37 C 1J3-78,GALAN"/>
    <s v="10.93426"/>
    <s v="-74.79113"/>
    <s v="ATLÁNTICO"/>
    <s v="BARRANQUILLA"/>
    <s v="BARRANQUILLA"/>
    <n v="8001"/>
    <s v="2025-09-03"/>
    <n v="1"/>
    <s v="BARRANQUILLA"/>
    <x v="5"/>
    <n v="37313"/>
    <n v="37313"/>
  </r>
  <r>
    <n v="75039"/>
    <s v="BARRIO CENTRO SABANETA "/>
    <n v="98647485"/>
    <s v="3144934152"/>
    <s v="3116270341"/>
    <s v="3105267189"/>
    <s v="CL 79 SUR46 101,CENTRO"/>
    <s v="6.1470180"/>
    <s v="-75.6231534"/>
    <s v="ANTIOQUIA"/>
    <s v="SABANETA"/>
    <s v="SABANETA"/>
    <n v="5631"/>
    <s v="2025-09-03"/>
    <n v="1"/>
    <s v="MEDELLIN"/>
    <x v="0"/>
    <n v="37313"/>
    <n v="37313"/>
  </r>
  <r>
    <n v="79678"/>
    <s v="BARRIO DANUBIO AZUL BOGOTA 9"/>
    <n v="1033743221"/>
    <s v="3027052053"/>
    <s v="3027052053"/>
    <s v="3027052053"/>
    <s v="CR 2 C ESTE 62 34 SUR,DANUBIO AZUL"/>
    <s v="4.5357542"/>
    <s v="-74.1099349"/>
    <s v="CUNDINAMARCA"/>
    <s v="BOGOTÁ"/>
    <s v="BOGOTÁ"/>
    <n v="11001"/>
    <s v="2025-09-03"/>
    <n v="1"/>
    <s v="BOGOTA"/>
    <x v="2"/>
    <n v="37313"/>
    <n v="37313"/>
  </r>
  <r>
    <n v="77940"/>
    <s v="BARRIO AYACUCHO MEDELLIN 1"/>
    <n v="8163355"/>
    <s v="3007863165"/>
    <s v="3122134480"/>
    <s v="3007863165"/>
    <s v="CL 49 45 20,AYACUCHO"/>
    <s v="6.2471968"/>
    <s v="-75.5650223"/>
    <s v="ANTIOQUIA"/>
    <s v="MEDELLÍN"/>
    <s v="MEDELLÍN"/>
    <n v="5001"/>
    <s v="2025-09-03"/>
    <n v="1"/>
    <s v="MEDELLIN"/>
    <x v="0"/>
    <n v="37313"/>
    <n v="37313"/>
  </r>
  <r>
    <n v="77216"/>
    <s v="BARRIO PRADO PINZON BOGOTA 3"/>
    <n v="1004034760"/>
    <s v="3219618131"/>
    <s v="3219618131"/>
    <s v="3505470526"/>
    <s v="CR 49 142 37,PRADO PINZON"/>
    <s v="4.7261846"/>
    <s v="-74.0536638"/>
    <s v="CUNDINAMARCA"/>
    <s v="BOGOTÁ"/>
    <s v="BOGOTÁ"/>
    <n v="11001"/>
    <s v="2025-09-03"/>
    <n v="1"/>
    <s v="BOGOTA"/>
    <x v="2"/>
    <n v="37313"/>
    <n v="37313"/>
  </r>
  <r>
    <n v="77457"/>
    <s v="BARRIO URB MONTECARLO IBAGUE"/>
    <n v="38253818"/>
    <s v="6082721007"/>
    <s v="3222194546"/>
    <s v="3222194546"/>
    <s v="CR 8 141 07 LC 3,URB MONTECARLO"/>
    <s v="4.4457218"/>
    <s v="-75.1457230"/>
    <s v="TOLIMA"/>
    <s v="IBAGUÉ"/>
    <s v="IBAGUÉ"/>
    <n v="73001"/>
    <s v="2025-09-03"/>
    <n v="1"/>
    <s v="IBAGUE"/>
    <x v="1"/>
    <n v="49671.7"/>
    <n v="49671.7"/>
  </r>
  <r>
    <n v="77657"/>
    <s v="BARRIO CENTRO CUCUTA 17"/>
    <n v="88270126"/>
    <s v="3246808367"/>
    <s v="3246808367"/>
    <s v="3246808367"/>
    <s v="AV 5 8-79 LC 162 CC RIVER PLAZA ,CENTRO"/>
    <s v="7.8882321"/>
    <s v="-72.5038039"/>
    <s v="NORTE DE SANTANDER"/>
    <s v="CÚCUTA"/>
    <s v="CÚCUTA"/>
    <n v="54001"/>
    <s v="2025-09-03"/>
    <n v="1"/>
    <s v="CUCUTA"/>
    <x v="4"/>
    <n v="49671.7"/>
    <n v="49671.7"/>
  </r>
  <r>
    <n v="77756"/>
    <s v="BARRIO BELLO BELLO 23"/>
    <n v="98540376"/>
    <s v="3015379091"/>
    <s v="3015379091"/>
    <s v="3206732821"/>
    <s v="CR 51 45 99,BELLO"/>
    <s v="6.3318013"/>
    <s v="-75.5589645"/>
    <s v="ANTIOQUIA"/>
    <s v="BELLO"/>
    <s v="BELLO"/>
    <n v="5088"/>
    <s v="2025-09-03"/>
    <n v="1"/>
    <s v="MEDELLIN"/>
    <x v="0"/>
    <n v="37313"/>
    <n v="37313"/>
  </r>
  <r>
    <n v="79765"/>
    <s v="BARRIO URB SAN JOSE DE TORCOROMA CUCUTA  1"/>
    <n v="5457518"/>
    <s v="3105519624"/>
    <s v="3105519624"/>
    <s v="3105519624"/>
    <s v="CL 11 11C 34,URB SAN JOSÉ DE TORCOROMA"/>
    <s v="7.8922640"/>
    <s v="-72.4772285"/>
    <s v="NORTE DE SANTANDER"/>
    <s v="CÚCUTA"/>
    <s v="CÚCUTA"/>
    <n v="54001"/>
    <s v="2025-09-03"/>
    <n v="1"/>
    <s v="CUCUTA"/>
    <x v="4"/>
    <n v="49671.7"/>
    <n v="49671.7"/>
  </r>
  <r>
    <n v="29210"/>
    <s v="BARRIO TIERRA BUENA 5 BOGOTÁ"/>
    <n v="79837722"/>
    <s v="4498696"/>
    <s v="3214360922"/>
    <s v="3214360922"/>
    <s v="CR 97 F 26 71SUR LC 10B P 2"/>
    <s v="4.6498414"/>
    <s v="-74.1717653"/>
    <s v="CUNDINAMARCA"/>
    <s v="BOGOTÁ"/>
    <s v="BOGOTÁ"/>
    <n v="11001"/>
    <s v="2025-09-04"/>
    <n v="1"/>
    <s v="BOGOTA"/>
    <x v="2"/>
    <n v="37313"/>
    <n v="37313"/>
  </r>
  <r>
    <n v="13167"/>
    <s v="BARRIO LA SALLE - MEDELLIN"/>
    <n v="71734088"/>
    <s v="2365638"/>
    <s v="3117670030"/>
    <s v="3117670030"/>
    <s v=" CR 42B  92-25 LA SALLE"/>
    <s v="6.28384645"/>
    <s v="-75.55014911"/>
    <s v="ANTIOQUIA"/>
    <s v="MEDELLÍN"/>
    <s v="MEDELLÍN"/>
    <n v="5001"/>
    <s v="2025-09-05"/>
    <n v="1"/>
    <s v="MEDELLIN"/>
    <x v="0"/>
    <n v="37313"/>
    <n v="37313"/>
  </r>
  <r>
    <n v="30082"/>
    <s v="BARRIO BELEN SAN BERNARDO 5 MEDELLIN"/>
    <n v="98568064"/>
    <s v="5899573"/>
    <s v="3128311711"/>
    <s v="3128311711"/>
    <s v=" CL 26 75 05"/>
    <s v="6.2275659"/>
    <s v="-75.5954281"/>
    <s v="ANTIOQUIA"/>
    <s v="MEDELLÍN"/>
    <s v="MEDELLÍN"/>
    <n v="5001"/>
    <s v="2025-09-05"/>
    <n v="1"/>
    <s v="MEDELLIN"/>
    <x v="0"/>
    <n v="37313"/>
    <n v="37313"/>
  </r>
  <r>
    <n v="19724"/>
    <s v="BARRIO CENTRO PUERTO SANTANDER"/>
    <n v="37161002"/>
    <s v="5660217"/>
    <s v="3138560157"/>
    <s v="3138560157"/>
    <s v="CRA 3   N   0 A  109 BARRIO CENTRO"/>
    <s v="7.8889425"/>
    <s v="-72.5042141"/>
    <s v="NORTE DE SANTANDER"/>
    <s v="CÚCUTA"/>
    <s v="CÚCUTA"/>
    <n v="54001"/>
    <s v="2025-09-05"/>
    <n v="1"/>
    <s v="CUCUTA"/>
    <x v="4"/>
    <n v="49671.7"/>
    <n v="49671.7"/>
  </r>
  <r>
    <n v="29338"/>
    <s v="BARRIO ALBORADA VILLAVICENCIO"/>
    <n v="1121876315"/>
    <s v="6843749"/>
    <s v="3144447848"/>
    <s v="3144447848"/>
    <s v=" CR 25   4 C 45"/>
    <s v="4.1229976"/>
    <s v="-73.6224577"/>
    <s v="META"/>
    <s v="VILLAVICENCIO"/>
    <s v="VILLAVICENCIO"/>
    <n v="50001"/>
    <s v="2025-09-05"/>
    <n v="1"/>
    <s v="VILLAVICENCIO"/>
    <x v="1"/>
    <n v="49671.7"/>
    <n v="49671.7"/>
  </r>
  <r>
    <n v="15500"/>
    <s v="BARRIO BUENOS AIRES QUINTA LINDA MEDELLÍN"/>
    <n v="71717095"/>
    <s v="2219489"/>
    <s v="3126406129"/>
    <s v="3126406129"/>
    <s v=" CR 15  35-100 BUENOS AIRES QUINTA LINDA"/>
    <s v="6.22938443"/>
    <s v="-75.54372791"/>
    <s v="ANTIOQUIA"/>
    <s v="MEDELLÍN"/>
    <s v="MEDELLÍN"/>
    <n v="5001"/>
    <s v="2025-09-05"/>
    <n v="1"/>
    <s v="MEDELLIN"/>
    <x v="0"/>
    <n v="37313"/>
    <n v="37313"/>
  </r>
  <r>
    <n v="27720"/>
    <s v="BARRIO PARQUE 2 ENVIGADO"/>
    <n v="900859225"/>
    <s v="3332091"/>
    <s v="3004451228"/>
    <s v="3103899457"/>
    <s v="CR 40 35 SUR 73"/>
    <s v="6.170176"/>
    <s v="-75.585089"/>
    <s v="ANTIOQUIA"/>
    <s v="ENVIGADO"/>
    <s v="ENVIGADO"/>
    <n v="5266"/>
    <s v="2025-09-05"/>
    <n v="1"/>
    <s v="MEDELLIN"/>
    <x v="0"/>
    <n v="37313"/>
    <n v="37313"/>
  </r>
  <r>
    <n v="26001"/>
    <s v="   BARRIO CENTAUROS VILLAVICENCIO   "/>
    <n v="40397317"/>
    <s v="6846821"/>
    <s v="3114452300"/>
    <s v="3114452300"/>
    <s v=" CR 26  8 131"/>
    <s v="4.1260067"/>
    <s v="-73.6266461"/>
    <s v="META"/>
    <s v="VILLAVICENCIO"/>
    <s v="VILLAVICENCIO"/>
    <n v="50001"/>
    <s v="2025-09-05"/>
    <n v="1"/>
    <s v="VILLAVICENCIO"/>
    <x v="1"/>
    <n v="49671.7"/>
    <n v="49671.7"/>
  </r>
  <r>
    <n v="34583"/>
    <s v="BARRIO VILLA DEL VIENTO 3 POPAYAN"/>
    <n v="1061790141"/>
    <m/>
    <s v="3103856099"/>
    <s v="3184497055"/>
    <s v=" CL 56  10 92"/>
    <s v="2.479814722"/>
    <s v="-76.5778436"/>
    <s v="CAUCA"/>
    <s v="POPAYÁN"/>
    <s v="POPAYÁN"/>
    <n v="19001"/>
    <s v="2025-09-05"/>
    <n v="1"/>
    <s v="CALI"/>
    <x v="3"/>
    <n v="37313"/>
    <n v="37313"/>
  </r>
  <r>
    <n v="26711"/>
    <s v="BARRIO PANCE 4 CALI"/>
    <n v="900796373"/>
    <s v="5553255"/>
    <s v="3155652416"/>
    <s v="3155652416"/>
    <s v="CL 18 180 00"/>
    <s v="3.30034"/>
    <s v="-76.54353"/>
    <s v="VALLE DEL CAUCA"/>
    <s v="CALI"/>
    <s v="SANTIAGO DE CALI"/>
    <n v="76001"/>
    <s v="2025-09-05"/>
    <n v="1"/>
    <s v="CALI"/>
    <x v="3"/>
    <n v="37313"/>
    <n v="37313"/>
  </r>
  <r>
    <n v="37026"/>
    <s v="BARRIO SANTA LIBRADA BOGOTA 2"/>
    <n v="68299009"/>
    <m/>
    <s v="3103414332"/>
    <s v="3103414332"/>
    <s v=" CL 71 G SUR 14 76 SANTA LI ADA"/>
    <s v="4.5198800"/>
    <s v="-74.1181650"/>
    <s v="CUNDINAMARCA"/>
    <s v="BOGOTÁ"/>
    <s v="BOGOTÁ"/>
    <n v="11001"/>
    <s v="2025-09-05"/>
    <n v="1"/>
    <s v="BOGOTA"/>
    <x v="2"/>
    <n v="37313"/>
    <n v="37313"/>
  </r>
  <r>
    <n v="20853"/>
    <s v="Barrio El Lago II - Bogotá"/>
    <n v="1086894412"/>
    <s v="7523334"/>
    <s v="3002020494"/>
    <s v="3002020494"/>
    <s v=" CR 15 80 20"/>
    <s v="4.6667248"/>
    <s v="-74.0568851"/>
    <s v="CUNDINAMARCA"/>
    <s v="BOGOTÁ"/>
    <s v="BOGOTÁ"/>
    <n v="11001"/>
    <s v="2025-09-05"/>
    <n v="1"/>
    <s v="BOGOTA"/>
    <x v="2"/>
    <n v="37313"/>
    <n v="37313"/>
  </r>
  <r>
    <n v="47309"/>
    <s v="BARRIO MOTILONES CUCUTA 6"/>
    <n v="1092254241"/>
    <s v="0"/>
    <s v="3138648185"/>
    <s v="3138648185"/>
    <s v="CL 2 NO 1-06,MOTILONES"/>
    <s v="7.9144470"/>
    <s v="-72.5244165"/>
    <s v="NORTE DE SANTANDER"/>
    <s v="CÚCUTA"/>
    <s v="CÚCUTA"/>
    <n v="54001"/>
    <s v="2025-09-05"/>
    <n v="1"/>
    <s v="CUCUTA"/>
    <x v="4"/>
    <n v="49671.7"/>
    <n v="49671.7"/>
  </r>
  <r>
    <n v="36121"/>
    <s v="BARRIO ALCAZARES CALI 1"/>
    <n v="31570337"/>
    <s v="3047211"/>
    <s v="3216249805"/>
    <s v="3216249805"/>
    <s v=" CL 71 1 A 13 BL 240 AP 102"/>
    <s v="3.4896837"/>
    <s v="-76.4912207"/>
    <s v="VALLE DEL CAUCA"/>
    <s v="CALI"/>
    <s v="SANTIAGO DE CALI"/>
    <n v="76001"/>
    <s v="2025-09-05"/>
    <n v="1"/>
    <s v="CALI"/>
    <x v="3"/>
    <n v="37313"/>
    <n v="37313"/>
  </r>
  <r>
    <n v="42388"/>
    <s v="BARRIO LAS CUADRES PASTO"/>
    <n v="59312539"/>
    <s v="7315187"/>
    <s v="3136353290"/>
    <s v="3136353290"/>
    <s v="CLL 12   5-96"/>
    <s v="1.2044643"/>
    <s v="-77.2818491"/>
    <s v="NARIÑO"/>
    <s v="PASTO"/>
    <s v="SAN JUAN DE PASTO"/>
    <n v="52001"/>
    <s v="2025-09-05"/>
    <n v="1"/>
    <s v="PASTO"/>
    <x v="3"/>
    <n v="49671.7"/>
    <n v="49671.7"/>
  </r>
  <r>
    <n v="38604"/>
    <s v="BARRIO CERROS MEDELLIN"/>
    <n v="7517945"/>
    <s v="2696909"/>
    <s v="3108415850"/>
    <s v="3108415850"/>
    <s v=" CR 15 45 55 CERROS"/>
    <s v="6.23164"/>
    <s v="-75.544388"/>
    <s v="ANTIOQUIA"/>
    <s v="MEDELLÍN"/>
    <s v="MEDELLÍN"/>
    <n v="5001"/>
    <s v="2025-09-05"/>
    <n v="1"/>
    <s v="MEDELLIN"/>
    <x v="0"/>
    <n v="37313"/>
    <n v="37313"/>
  </r>
  <r>
    <n v="36532"/>
    <s v="BARRIO CHICO NORTE BOGOTA"/>
    <n v="24116644"/>
    <s v="4673291"/>
    <s v="3158795990"/>
    <s v="3192329363"/>
    <s v=" CR 15 93 B 25"/>
    <s v="4.6789670"/>
    <s v="-74.0509085"/>
    <s v="CUNDINAMARCA"/>
    <s v="BOGOTÁ"/>
    <s v="BOGOTÁ"/>
    <n v="11001"/>
    <s v="2025-09-05"/>
    <n v="1"/>
    <s v="BOGOTA"/>
    <x v="2"/>
    <n v="37313"/>
    <n v="37313"/>
  </r>
  <r>
    <n v="38929"/>
    <s v="BARRIO DUJOS NEIVA"/>
    <n v="7704003"/>
    <s v="8750473"/>
    <s v="3173009728"/>
    <s v="3173009728"/>
    <s v=" AV 26 5W 14 DUJOS"/>
    <s v="29.416027"/>
    <s v="-75.301227"/>
    <s v="HUILA"/>
    <s v="NEIVA"/>
    <s v="NEIVA"/>
    <n v="41001"/>
    <s v="2025-09-05"/>
    <n v="1"/>
    <s v="NEIVA"/>
    <x v="1"/>
    <n v="49671.7"/>
    <n v="49671.7"/>
  </r>
  <r>
    <n v="49352"/>
    <s v="BARRIO CALARCA IBAGUE 1"/>
    <n v="65633719"/>
    <s v="2717536"/>
    <s v="3203299737"/>
    <s v="3203299737"/>
    <s v="CR 10 A # 45-51,CALARCA"/>
    <s v="4.44044"/>
    <s v="-75.1065559"/>
    <s v="TOLIMA"/>
    <s v="IBAGUÉ"/>
    <s v="IBAGUÉ"/>
    <n v="73001"/>
    <s v="2025-09-05"/>
    <n v="1"/>
    <s v="IBAGUE"/>
    <x v="1"/>
    <n v="49671.7"/>
    <n v="49671.7"/>
  </r>
  <r>
    <n v="39215"/>
    <s v="BARRIO BARRIO MESA ENVIGADO"/>
    <n v="98659631"/>
    <s v="2702333"/>
    <s v="3163681082"/>
    <s v="3163681082"/>
    <s v=" CR 36 38 SUR 09 BARRIO MESA"/>
    <s v="6.1671749"/>
    <s v="-75.5837400"/>
    <s v="ANTIOQUIA"/>
    <s v="ENVIGADO"/>
    <s v="ENVIGADO"/>
    <n v="5266"/>
    <s v="2025-09-05"/>
    <n v="1"/>
    <s v="MEDELLIN"/>
    <x v="0"/>
    <n v="37313"/>
    <n v="37313"/>
  </r>
  <r>
    <n v="40642"/>
    <s v="BARRIO FUERA DEL MUNICIPIO DE CUCUTA CUCUTA"/>
    <n v="1093774788"/>
    <m/>
    <s v="3132071492"/>
    <s v="3132071492"/>
    <s v="MZ 1 LT 3 VDA BELLA VISTA,FUERA DEL MUNICIPIO DE CUCUTA"/>
    <s v="8.16157"/>
    <s v="-72.4585416666667"/>
    <s v="NORTE DE SANTANDER"/>
    <s v="CÚCUTA"/>
    <s v="CÚCUTA"/>
    <n v="54001"/>
    <s v="2025-09-05"/>
    <n v="1"/>
    <s v="CUCUTA"/>
    <x v="4"/>
    <n v="49671.7"/>
    <n v="49671.7"/>
  </r>
  <r>
    <n v="45875"/>
    <s v="BARRIO CENTRO MEDELLIN 59"/>
    <n v="900517609"/>
    <s v="2314291"/>
    <s v="3005178926"/>
    <s v="3005178926"/>
    <s v="CL 49 A 46 22 LOCAL 107,CENTRO"/>
    <s v="6.2481892"/>
    <s v="-75.565539"/>
    <s v="ANTIOQUIA"/>
    <s v="MEDELLÍN"/>
    <s v="MEDELLÍN"/>
    <n v="5001"/>
    <s v="2025-09-05"/>
    <n v="1"/>
    <s v="MEDELLIN"/>
    <x v="0"/>
    <n v="37313"/>
    <n v="37313"/>
  </r>
  <r>
    <n v="48099"/>
    <s v="BARRIO SANTA LIBRADA BOGOTA 8"/>
    <n v="1023003497"/>
    <s v="3227164658"/>
    <s v="3138154962"/>
    <s v="3138154962"/>
    <s v="CR 14 C 73 D SUR - 17"/>
    <s v="4.516387"/>
    <s v="-74.118394"/>
    <s v="CUNDINAMARCA"/>
    <s v="BOGOTÁ"/>
    <s v="BOGOTÁ"/>
    <n v="11001"/>
    <s v="2025-09-05"/>
    <n v="1"/>
    <s v="BOGOTA"/>
    <x v="2"/>
    <n v="37313"/>
    <n v="37313"/>
  </r>
  <r>
    <n v="48071"/>
    <s v="BARRIO LA PAZ POPAYAN 1"/>
    <n v="31330729"/>
    <s v="0"/>
    <s v="3146120217"/>
    <s v="3146120217"/>
    <s v="CL 70 N 5 A 59 ,LA PAZ"/>
    <s v="2.4763256"/>
    <s v="-76.5603653"/>
    <s v="CAUCA"/>
    <s v="POPAYÁN"/>
    <s v="POPAYÁN"/>
    <n v="19001"/>
    <s v="2025-09-05"/>
    <n v="1"/>
    <s v="CALI"/>
    <x v="3"/>
    <n v="37313"/>
    <n v="37313"/>
  </r>
  <r>
    <n v="52533"/>
    <s v="BARRIO CENTRO PASTO 23"/>
    <n v="1085252148"/>
    <s v="3135864661"/>
    <s v="3226464231"/>
    <s v="3226464231"/>
    <s v="CL 17 25 54 LOCAL 122 CC PASAJE DEL LICEO"/>
    <s v="1.2156637"/>
    <s v="-77.2798445"/>
    <s v="NARIÑO"/>
    <s v="PASTO"/>
    <s v="SAN JUAN DE PASTO"/>
    <n v="52001"/>
    <s v="2025-09-05"/>
    <n v="1"/>
    <s v="PASTO"/>
    <x v="3"/>
    <n v="49671.7"/>
    <n v="49671.7"/>
  </r>
  <r>
    <n v="52332"/>
    <s v="BARRIO SANTA LIBRADA BOGOTA 9"/>
    <n v="1022966974"/>
    <s v="0"/>
    <s v="3132276080"/>
    <s v="3132276080"/>
    <s v="CR 14 L 73 A- 12 SUR"/>
    <s v="4.5179411"/>
    <s v="-74.120122"/>
    <s v="CUNDINAMARCA"/>
    <s v="BOGOTÁ"/>
    <s v="BOGOTÁ"/>
    <n v="11001"/>
    <s v="2025-09-05"/>
    <n v="1"/>
    <s v="BOGOTA"/>
    <x v="2"/>
    <n v="37313"/>
    <n v="37313"/>
  </r>
  <r>
    <n v="52980"/>
    <s v="BARRIO LA LAGUNA PASTO"/>
    <n v="59815766"/>
    <s v="0"/>
    <s v="3173255515"/>
    <s v="3173175515"/>
    <s v="BRR LA LAGUNA SEC SAN DIEGO CA 50"/>
    <s v="1.205015"/>
    <s v="-77.209902"/>
    <s v="NARIÑO"/>
    <s v="PASTO"/>
    <s v="SAN JUAN DE PASTO"/>
    <n v="52001"/>
    <s v="2025-09-05"/>
    <n v="1"/>
    <s v="PASTO"/>
    <x v="3"/>
    <n v="49671.7"/>
    <n v="49671.7"/>
  </r>
  <r>
    <n v="58293"/>
    <s v="BARRIO BUENOS AIRES MEDELLIN 18"/>
    <n v="1017214588"/>
    <s v="0"/>
    <s v="3004542430"/>
    <s v="3004542430"/>
    <s v="CL 45 A 15 B 04"/>
    <s v="6.232227"/>
    <s v="-75.544897"/>
    <s v="ANTIOQUIA"/>
    <s v="MEDELLÍN"/>
    <s v="MEDELLÍN"/>
    <n v="5001"/>
    <s v="2025-09-05"/>
    <n v="1"/>
    <s v="MEDELLIN"/>
    <x v="0"/>
    <n v="37313"/>
    <n v="37313"/>
  </r>
  <r>
    <n v="60367"/>
    <s v="BARRIO JORDAN 8 ETAPA IBAGUE"/>
    <n v="1110451174"/>
    <s v="0"/>
    <s v="3168485814"/>
    <s v="3168485814"/>
    <s v="MZ 20 CASA 8 BRR JORDAN 8 ETAPA"/>
    <s v="4.4420752"/>
    <s v="-75.1942415"/>
    <s v="TOLIMA"/>
    <s v="IBAGUÉ"/>
    <s v="IBAGUÉ"/>
    <n v="73001"/>
    <s v="2025-09-05"/>
    <n v="1"/>
    <s v="IBAGUE"/>
    <x v="1"/>
    <n v="49671.7"/>
    <n v="49671.7"/>
  </r>
  <r>
    <n v="62123"/>
    <s v="BARRIO MONTEBELLO CALI 2"/>
    <n v="1144169849"/>
    <s v="8888698"/>
    <s v="3137145063"/>
    <s v="3137145063"/>
    <s v="CALLE 7 OESTE # 44 A 12"/>
    <s v="3.485651"/>
    <s v="-76.547258"/>
    <s v="VALLE DEL CAUCA"/>
    <s v="CALI"/>
    <s v="SANTIAGO DE CALI"/>
    <n v="76001"/>
    <s v="2025-09-05"/>
    <n v="1"/>
    <s v="CALI"/>
    <x v="3"/>
    <n v="37313"/>
    <n v="37313"/>
  </r>
  <r>
    <n v="61566"/>
    <s v="BARRIO MORICHAL VILLAVICENCIO 4"/>
    <n v="30080371"/>
    <s v="3103486350"/>
    <s v="3103486350"/>
    <s v="3204699399"/>
    <s v="CR 18 ESTE NRO. 36 A 16,MORICHAL"/>
    <s v="4.139001"/>
    <s v="-73.585769"/>
    <s v="META"/>
    <s v="VILLAVICENCIO"/>
    <s v="VILLAVICENCIO"/>
    <n v="50001"/>
    <s v="2025-09-05"/>
    <n v="1"/>
    <s v="VILLAVICENCIO"/>
    <x v="1"/>
    <n v="49671.7"/>
    <n v="49671.7"/>
  </r>
  <r>
    <n v="68333"/>
    <s v="BARRIO BELLO BELLO 10"/>
    <n v="901471925"/>
    <s v="3105058394"/>
    <s v="3105058394"/>
    <s v="3023545090"/>
    <s v="CALLE 32 50 161,BELLO"/>
    <s v="6.3201708"/>
    <s v="-75.5587839"/>
    <s v="ANTIOQUIA"/>
    <s v="BELLO"/>
    <s v="BELLO"/>
    <n v="5088"/>
    <s v="2025-09-05"/>
    <n v="1"/>
    <s v="MEDELLIN"/>
    <x v="0"/>
    <n v="37313"/>
    <n v="37313"/>
  </r>
  <r>
    <n v="65617"/>
    <s v="BARRIO CENTRO AGUA CLARA FUERA DEL MUNICIPIO DE CUCUTA CUCUTA"/>
    <n v="37290059"/>
    <s v="3143103481"/>
    <s v="3143103481"/>
    <s v="3167509797"/>
    <s v=" KDX 18 CENTRO AGUA CLARA,CENTRO AGUA CLARA FUERA DEL MUNICIPIO DE CUCUTA"/>
    <s v="7.88547"/>
    <s v="-72.50465"/>
    <s v="NORTE DE SANTANDER"/>
    <s v="CÚCUTA"/>
    <s v="CÚCUTA"/>
    <n v="54001"/>
    <s v="2025-09-05"/>
    <n v="1"/>
    <s v="CUCUTA"/>
    <x v="4"/>
    <n v="49671.7"/>
    <n v="49671.7"/>
  </r>
  <r>
    <n v="70930"/>
    <s v="BARRIO SANTA ISABEL NEIVA 3"/>
    <n v="1075296513"/>
    <s v="3223398438"/>
    <s v="3223398438"/>
    <s v="3223398438"/>
    <s v="CL 10 SUR21 92,SANTA ISABEL"/>
    <s v="2.915622"/>
    <s v="-75.274917"/>
    <s v="HUILA"/>
    <s v="NEIVA"/>
    <s v="NEIVA"/>
    <n v="41001"/>
    <s v="2025-09-05"/>
    <n v="1"/>
    <s v="NEIVA"/>
    <x v="1"/>
    <n v="49671.7"/>
    <n v="49671.7"/>
  </r>
  <r>
    <n v="71428"/>
    <s v="BARRIO PATIO BONITO BOGOTA 24"/>
    <n v="1031154684"/>
    <s v="3126388259"/>
    <s v="3126388259"/>
    <s v="3126388259"/>
    <s v="CR 89 C BIS 34A SUR 21"/>
    <s v="4.641772"/>
    <s v="-74.166114"/>
    <s v="CUNDINAMARCA"/>
    <s v="BOGOTÁ"/>
    <s v="BOGOTÁ"/>
    <n v="11001"/>
    <s v="2025-09-05"/>
    <n v="1"/>
    <s v="BOGOTA"/>
    <x v="2"/>
    <n v="37313"/>
    <n v="37313"/>
  </r>
  <r>
    <n v="69433"/>
    <s v="BARRIO LA LIBERTAD CUCUTA 18"/>
    <n v="1094860907"/>
    <s v="0"/>
    <s v="3158044814"/>
    <s v="3017136540"/>
    <s v="CL 24 15 64,LA LIBERTAD"/>
    <s v="7.881765"/>
    <s v="-72.475706"/>
    <s v="NORTE DE SANTANDER"/>
    <s v="CÚCUTA"/>
    <s v="CÚCUTA"/>
    <n v="54001"/>
    <s v="2025-09-05"/>
    <n v="1"/>
    <s v="CUCUTA"/>
    <x v="4"/>
    <n v="49671.7"/>
    <n v="49671.7"/>
  </r>
  <r>
    <n v="69947"/>
    <s v="BARRIO SAN ROQUE BARRANQUILLA 5"/>
    <n v="901221051"/>
    <s v="3154062226"/>
    <s v="0"/>
    <s v="3126007295"/>
    <s v="CL 42 41 56 OF 203,SAN ROQUE"/>
    <s v="10.98143"/>
    <s v="-74.78356"/>
    <s v="ATLÁNTICO"/>
    <s v="BARRANQUILLA"/>
    <s v="BARRANQUILLA"/>
    <n v="8001"/>
    <s v="2025-09-05"/>
    <n v="1"/>
    <s v="BARRANQUILLA"/>
    <x v="5"/>
    <n v="37313"/>
    <n v="37313"/>
  </r>
  <r>
    <n v="66546"/>
    <s v="BARRIO ARANJUEZ MEDELLIN 16"/>
    <n v="1017142453"/>
    <s v="5950847"/>
    <s v="3016631352"/>
    <s v="3016631352"/>
    <s v="CR 49A  87-121"/>
    <s v="6.2809142"/>
    <s v="-75.5569172"/>
    <s v="ANTIOQUIA"/>
    <s v="MEDELLÍN"/>
    <s v="MEDELLÍN"/>
    <n v="5001"/>
    <s v="2025-09-05"/>
    <n v="1"/>
    <s v="MEDELLIN"/>
    <x v="0"/>
    <n v="37313"/>
    <n v="37313"/>
  </r>
  <r>
    <n v="71222"/>
    <s v="CUCUTA COMUNEROS"/>
    <n v="1093777086"/>
    <s v="3143441008"/>
    <s v="3143441008"/>
    <s v="3143441008"/>
    <s v="AV 3 CL 10 NRO 9-31,COMUNEROS"/>
    <s v="7.9143068"/>
    <s v="-72.5189326"/>
    <s v="NORTE DE SANTANDER"/>
    <s v="CÚCUTA"/>
    <s v="CÚCUTA"/>
    <n v="54001"/>
    <s v="2025-09-05"/>
    <n v="1"/>
    <s v="CUCUTA"/>
    <x v="4"/>
    <n v="49671.7"/>
    <n v="49671.7"/>
  </r>
  <r>
    <n v="69031"/>
    <s v="LA ESMERALDA POPAYAN 7"/>
    <n v="1116158598"/>
    <s v="0"/>
    <s v="3156733114"/>
    <s v="3104159313"/>
    <s v="CL 9 NRO. 17 - 31 APTO NRO. 2,LA ESMERALDA"/>
    <s v="2.4399497"/>
    <s v="-76.6162174"/>
    <s v="CAUCA"/>
    <s v="POPAYÁN"/>
    <s v="POPAYÁN"/>
    <n v="19001"/>
    <s v="2025-09-05"/>
    <n v="1"/>
    <s v="CALI"/>
    <x v="3"/>
    <n v="37313"/>
    <n v="37313"/>
  </r>
  <r>
    <n v="69546"/>
    <s v="BARRIO SAN ROQUE BARRANQUILA"/>
    <n v="32894939"/>
    <s v="3102919625"/>
    <s v="3102919625"/>
    <s v="3009482948"/>
    <s v="CL 39 36 111,SAN ROQUE"/>
    <s v="10.9780908"/>
    <s v="-74.7824101"/>
    <s v="ATLÁNTICO"/>
    <s v="BARRANQUILLA"/>
    <s v="BARRANQUILLA"/>
    <n v="8001"/>
    <s v="2025-09-05"/>
    <n v="1"/>
    <s v="BARRANQUILLA"/>
    <x v="5"/>
    <n v="37313"/>
    <n v="37313"/>
  </r>
  <r>
    <n v="70306"/>
    <s v="BARRIO VILLA GARCIA PAPAYAN"/>
    <n v="1112470808"/>
    <s v="3148078597"/>
    <s v="3148078597"/>
    <s v="3148078597"/>
    <s v="CL 16 NRO. 19 - 26 BRR VILLA GARCIA,VILLA GARCIA"/>
    <s v="2.4373642"/>
    <s v="-76.6228228"/>
    <s v="CAUCA"/>
    <s v="POPAYÁN"/>
    <s v="POPAYÁN"/>
    <n v="19001"/>
    <s v="2025-09-05"/>
    <n v="1"/>
    <s v="CALI"/>
    <x v="3"/>
    <n v="37313"/>
    <n v="37313"/>
  </r>
  <r>
    <n v="77998"/>
    <s v="BARRIO _x0009_PARQUES DE BOLIVAR ET 4 LC 2 CARTAGENA DE INDIAS"/>
    <n v="1047478938"/>
    <s v="3013928989"/>
    <s v="3002446015"/>
    <s v="3246696611"/>
    <s v="TV 82 CR 127 91 INTERIOR 2,PARQUES DE BOLIVAR ET 4 LC 2"/>
    <s v="10.4288347"/>
    <s v="-75.4426297"/>
    <s v="BOLÍVAR"/>
    <s v="CARTAGENA DE INDIAS"/>
    <s v="CARTAGENA DE INDIAS"/>
    <n v="13001"/>
    <s v="2025-09-05"/>
    <n v="1"/>
    <s v="CARTAGENA"/>
    <x v="5"/>
    <n v="49671.7"/>
    <n v="49671.7"/>
  </r>
  <r>
    <n v="52526"/>
    <s v="BARRIO SANTA ISABEL NEIVA 2"/>
    <n v="1075232434"/>
    <s v="0"/>
    <s v="3182352168"/>
    <s v="3182352168"/>
    <s v="CL 9 SUR20 91,SANTA ISABEL"/>
    <s v="2.9159248"/>
    <s v="-75.2758543"/>
    <s v="HUILA"/>
    <s v="NEIVA"/>
    <s v="NEIVA"/>
    <n v="41001"/>
    <s v="2025-09-05"/>
    <n v="1"/>
    <s v="NEIVA"/>
    <x v="1"/>
    <n v="49671.7"/>
    <n v="49671.7"/>
  </r>
  <r>
    <n v="71191"/>
    <s v="POPAYÁN RINCONCITO DE PRIMAVERA"/>
    <n v="29927410"/>
    <s v="3208573882"/>
    <s v="3208573882"/>
    <s v="3208573882"/>
    <s v="CR 20 CL 63N -3 BRR RINCONCITO DE PRIMAVERA,RINCONCITO DE PRIMAVERA"/>
    <s v="2.490786"/>
    <s v="-76.5722074"/>
    <s v="CAUCA"/>
    <s v="POPAYÁN"/>
    <s v="POPAYÁN"/>
    <n v="19001"/>
    <s v="2025-09-05"/>
    <n v="1"/>
    <s v="CALI"/>
    <x v="3"/>
    <n v="37313"/>
    <n v="37313"/>
  </r>
  <r>
    <n v="64772"/>
    <s v="BARRIO CORREGIMIENTO AIPECITO NEIVA"/>
    <n v="1075259703"/>
    <s v="3157493711"/>
    <s v="3004577184"/>
    <s v="3004577184"/>
    <s v="CL PRINCIPAL - CORREGIMIENTO AIPECITO"/>
    <s v="3.1249219"/>
    <s v="-75.5581218"/>
    <s v="HUILA"/>
    <s v="NEIVA"/>
    <s v="NEIVA"/>
    <n v="41001"/>
    <s v="2025-09-05"/>
    <n v="1"/>
    <s v="NEIVA"/>
    <x v="1"/>
    <n v="49671.7"/>
    <n v="49671.7"/>
  </r>
  <r>
    <n v="65384"/>
    <s v="BARRIO LA LIBERTAD CUCUTA 16"/>
    <n v="13507529"/>
    <s v="0"/>
    <s v="3115371641"/>
    <s v="3115371641"/>
    <s v="CL 19 17-75 AGUAS CALIENTES,LA LIBERTAD"/>
    <s v="7.8839764"/>
    <s v="-72.4724271"/>
    <s v="NORTE DE SANTANDER"/>
    <s v="CÚCUTA"/>
    <s v="CÚCUTA"/>
    <n v="54001"/>
    <s v="2025-09-05"/>
    <n v="1"/>
    <s v="CUCUTA"/>
    <x v="4"/>
    <n v="49671.7"/>
    <n v="49671.7"/>
  </r>
  <r>
    <n v="73788"/>
    <s v="BARRIO LA CANDELARIA MEDLLIN"/>
    <n v="42941761"/>
    <s v="3118424334"/>
    <s v="3163277874"/>
    <s v="3163277874"/>
    <s v="CARRERA 51 37 28,LA CANDELARIA"/>
    <s v="6.2387075"/>
    <s v="-75.5729461"/>
    <s v="ANTIOQUIA"/>
    <s v="MEDELLÍN"/>
    <s v="MEDELLÍN"/>
    <n v="5001"/>
    <s v="2025-09-05"/>
    <n v="1"/>
    <s v="MEDELLIN"/>
    <x v="0"/>
    <n v="37313"/>
    <n v="37313"/>
  </r>
  <r>
    <n v="76278"/>
    <s v="BARRIO LA LADERA POPAYAN 3"/>
    <n v="1058968845"/>
    <s v="3107700518"/>
    <s v="3107700518"/>
    <s v="3136239858"/>
    <s v="CL 15 17 A - 232 BRR LA LADERA,LA LADERA"/>
    <s v="2.4360688"/>
    <s v="-76.6197492"/>
    <s v="CAUCA"/>
    <s v="POPAYÁN"/>
    <s v="POPAYÁN"/>
    <n v="19001"/>
    <s v="2025-09-05"/>
    <n v="1"/>
    <s v="CALI"/>
    <x v="3"/>
    <n v="37313"/>
    <n v="37313"/>
  </r>
  <r>
    <n v="76191"/>
    <s v="BARRIO LOMA DE BOLIVAR CUCUTA 4"/>
    <n v="37254278"/>
    <s v="3219891611"/>
    <s v="3204642149"/>
    <s v="3204642149"/>
    <s v="CL 6 A 13 89,LOMA DE BOLIVAR"/>
    <s v="7.8891664"/>
    <s v="-72.5135276"/>
    <s v="NORTE DE SANTANDER"/>
    <s v="CÚCUTA"/>
    <s v="CÚCUTA"/>
    <n v="54001"/>
    <s v="2025-09-05"/>
    <n v="1"/>
    <s v="CUCUTA"/>
    <x v="4"/>
    <n v="49671.7"/>
    <n v="49671.7"/>
  </r>
  <r>
    <n v="72567"/>
    <s v="LA SEVILLANA CARTAGENA DE INDIAS "/>
    <n v="1001869816"/>
    <s v="3002371782"/>
    <s v="3002371782"/>
    <s v="3002371782"/>
    <s v="MZ 4 LT 14-15,LA SEVILLANA"/>
    <s v="10.4179304"/>
    <s v="-75.4399483"/>
    <s v="BOLÍVAR"/>
    <s v="CARTAGENA DE INDIAS"/>
    <s v="CARTAGENA DE INDIAS"/>
    <n v="13001"/>
    <s v="2025-09-05"/>
    <n v="1"/>
    <s v="CARTAGENA"/>
    <x v="5"/>
    <n v="49671.7"/>
    <n v="49671.7"/>
  </r>
  <r>
    <n v="76296"/>
    <s v="BARRIO CENTRO ENGATIVA BOGOTA"/>
    <n v="1053323742"/>
    <s v="3108578237"/>
    <s v="3108578237"/>
    <s v="3108578237"/>
    <s v="CL 64 A 116 C 03 LC 2,CENTRO ENGATIVA"/>
    <s v="4.7116577"/>
    <s v="-74.1397294"/>
    <s v="CUNDINAMARCA"/>
    <s v="BOGOTÁ"/>
    <s v="BOGOTÁ"/>
    <n v="11001"/>
    <s v="2025-09-05"/>
    <n v="1"/>
    <s v="BOGOTA"/>
    <x v="2"/>
    <n v="37313"/>
    <n v="37313"/>
  </r>
  <r>
    <n v="76519"/>
    <s v="BARRIO MORICHAL VILLAVICENCIO 7"/>
    <n v="1019009080"/>
    <s v="3222100818"/>
    <s v="3103104021"/>
    <s v="3103104021"/>
    <s v="CR 18 E 36 - 22 MZ 14 CS 13 MORICHAL,MORICHAL"/>
    <s v="4.138603"/>
    <s v="-73.585825"/>
    <s v="META"/>
    <s v="VILLAVICENCIO"/>
    <s v="VILLAVICENCIO"/>
    <n v="50001"/>
    <s v="2025-09-05"/>
    <n v="1"/>
    <s v="VILLAVICENCIO"/>
    <x v="1"/>
    <n v="49671.7"/>
    <n v="49671.7"/>
  </r>
  <r>
    <n v="79822"/>
    <s v="BARR LA MINGA PASTO"/>
    <n v="356439"/>
    <s v="3157686775"/>
    <s v="3157686775"/>
    <s v="3157686775"/>
    <s v="MZ 24 CS 13 LA MINGA 1,BRR LA MINGA"/>
    <s v="1.1915033"/>
    <s v="-77.2717633"/>
    <s v="NARIÑO"/>
    <s v="PASTO"/>
    <s v="SAN JUAN DE PASTO"/>
    <n v="52001"/>
    <s v="2025-09-05"/>
    <n v="1"/>
    <s v="PASTO"/>
    <x v="3"/>
    <n v="49671.7"/>
    <n v="49671.7"/>
  </r>
  <r>
    <n v="77160"/>
    <s v="BARRIO BICENTENARIO CARTAGENA DE INDIAS  2"/>
    <n v="1047484567"/>
    <s v="321586095"/>
    <s v="3215860951"/>
    <s v="3008454161"/>
    <s v="URB CD DEL BICENTENARIO SEC 2 MZ 23-28 CA 28"/>
    <s v="10.4254331"/>
    <s v="-75.4401495"/>
    <s v="BOLÍVAR"/>
    <s v="CARTAGENA DE INDIAS"/>
    <s v="CARTAGENA DE INDIAS"/>
    <n v="13001"/>
    <s v="2025-09-05"/>
    <n v="1"/>
    <s v="CARTAGENA"/>
    <x v="5"/>
    <n v="49671.7"/>
    <n v="49671.7"/>
  </r>
  <r>
    <n v="77006"/>
    <s v="BARRIO DEPARTAMENTAL O PANAMERICANO CALI"/>
    <n v="14624670"/>
    <s v="3117539167"/>
    <s v="3165336044"/>
    <s v="3207726760"/>
    <s v="CL 13 80 60 LC 6 ST C LA 14 DE PASOANCHO"/>
    <s v="3.38609"/>
    <s v="-76.53978"/>
    <s v="VALLE DEL CAUCA"/>
    <s v="CALI"/>
    <s v="SANTIAGO DE CALI"/>
    <n v="76001"/>
    <s v="2025-09-05"/>
    <n v="1"/>
    <s v="CALI"/>
    <x v="3"/>
    <n v="37313"/>
    <n v="37313"/>
  </r>
  <r>
    <n v="79162"/>
    <s v="BARRIO LA CANDELARIA CENTRO MEDELLIN MEDELLIN"/>
    <n v="98572835"/>
    <s v="3117819048"/>
    <s v="3117819048"/>
    <s v="3117819048"/>
    <s v="CL 49 53 63 LC 155 B,LA CANDELARIA CENTRO MEDELLIN"/>
    <s v="6.2496683"/>
    <s v="-75.5715002"/>
    <s v="ANTIOQUIA"/>
    <s v="MEDELLÍN"/>
    <s v="MEDELLÍN"/>
    <n v="5001"/>
    <s v="2025-09-05"/>
    <n v="1"/>
    <s v="MEDELLIN"/>
    <x v="0"/>
    <n v="37313"/>
    <n v="37313"/>
  </r>
  <r>
    <n v="77363"/>
    <s v="BARRIO SIMON BOLIVAR PASTO  1"/>
    <n v="13069492"/>
    <s v="3178103294"/>
    <s v="3194542625"/>
    <s v="3194542625"/>
    <s v="CR 21 30 49 LC 2 TO CAFE 3 IGUAZU"/>
    <s v="1.217575"/>
    <s v="-77.2646869"/>
    <s v="NARIÑO"/>
    <s v="PASTO"/>
    <s v="SAN JUAN DE PASTO"/>
    <n v="52001"/>
    <s v="2025-09-05"/>
    <n v="1"/>
    <s v="PASTO"/>
    <x v="3"/>
    <n v="49671.7"/>
    <n v="49671.7"/>
  </r>
  <r>
    <n v="79588"/>
    <s v="BARRIO BELEN MEDELLIN 13"/>
    <n v="43105216"/>
    <s v="3007799269"/>
    <s v="3007799269"/>
    <s v="3007799269"/>
    <s v="CL 9 AA 75 A 04,BELEN"/>
    <s v="6.2191383"/>
    <s v="-75.5986585"/>
    <s v="ANTIOQUIA"/>
    <s v="MEDELLÍN"/>
    <s v="MEDELLÍN"/>
    <n v="5001"/>
    <s v="2025-09-05"/>
    <n v="1"/>
    <s v="MEDELLIN"/>
    <x v="0"/>
    <n v="37313"/>
    <n v="37313"/>
  </r>
  <r>
    <n v="73967"/>
    <s v="BARRIO LAS AMERICAS CALI"/>
    <n v="31579645"/>
    <s v="3195664231"/>
    <s v="3195664231"/>
    <s v="3195664231"/>
    <s v="CR 12 #40 - 05,LAS AMÉRICAS"/>
    <s v="3.4477917"/>
    <s v="-76.5059730"/>
    <s v="VALLE DEL CAUCA"/>
    <s v="CALI"/>
    <s v="SANTIAGO DE CALI"/>
    <n v="76001"/>
    <s v="2025-09-05"/>
    <n v="1"/>
    <s v="CALI"/>
    <x v="3"/>
    <n v="37313"/>
    <n v="37313"/>
  </r>
  <r>
    <n v="74290"/>
    <s v="BARRIO OLAYA HERRERA CALI 1"/>
    <n v="31322335"/>
    <s v="3157749919"/>
    <s v="3157749919"/>
    <s v="3157749919"/>
    <s v="CL 50 NORTE 7 N - 78,OLAYA HERRERA"/>
    <s v="3.4780596"/>
    <s v="-76.5091844"/>
    <s v="VALLE DEL CAUCA"/>
    <s v="CALI"/>
    <s v="SANTIAGO DE CALI"/>
    <n v="76001"/>
    <s v="2025-09-05"/>
    <n v="1"/>
    <s v="CALI"/>
    <x v="3"/>
    <n v="37313"/>
    <n v="37313"/>
  </r>
  <r>
    <n v="75286"/>
    <s v="BARRIO JORDAN 8 ETAPA IBAGUE 2"/>
    <n v="1110584622"/>
    <s v="3159270695"/>
    <s v="3159270695"/>
    <s v="3159270695"/>
    <s v="CA 2 MZ79 A,JORDAN 8 ETAPA"/>
    <s v="4.4404150"/>
    <s v="-75.1922437"/>
    <s v="TOLIMA"/>
    <s v="IBAGUÉ"/>
    <s v="IBAGUÉ"/>
    <n v="73001"/>
    <s v="2025-09-05"/>
    <n v="1"/>
    <s v="IBAGUE"/>
    <x v="1"/>
    <n v="49671.7"/>
    <n v="49671.7"/>
  </r>
  <r>
    <n v="75443"/>
    <s v="BARRIO CAMILO TORRES CUCUTA"/>
    <n v="79967516"/>
    <s v="3142731019"/>
    <s v="3142731019"/>
    <s v="3142731019"/>
    <s v="KDX 9 1B 1,CGT BUENA ESPERANZA"/>
    <s v="8.170464627333041"/>
    <s v="-72.47514668270561"/>
    <s v="NORTE DE SANTANDER"/>
    <s v="CÚCUTA"/>
    <s v="CÚCUTA"/>
    <n v="54001"/>
    <s v="2025-09-05"/>
    <n v="1"/>
    <s v="CUCUTA"/>
    <x v="4"/>
    <n v="49671.7"/>
    <n v="49671.7"/>
  </r>
  <r>
    <n v="75501"/>
    <s v="BARRIO SANTA MONICA PASTO 4"/>
    <n v="1085282930"/>
    <s v="3232993565"/>
    <s v="3113594927"/>
    <s v="3232993565"/>
    <s v="CL 21 E 9 ESTE 35 LC 6 CONDOMINIO SANTA MONICA - SANTA MONICA,SANTA MONICA"/>
    <s v="1.2051052"/>
    <s v="-77.2547171"/>
    <s v="NARIÑO"/>
    <s v="PASTO"/>
    <s v="SAN JUAN DE PASTO"/>
    <n v="52001"/>
    <s v="2025-09-05"/>
    <n v="1"/>
    <s v="PASTO"/>
    <x v="3"/>
    <n v="49671.7"/>
    <n v="49671.7"/>
  </r>
  <r>
    <n v="79602"/>
    <s v="BARRIO SAN ANTONIO BOGOTA  11"/>
    <n v="1014198793"/>
    <s v="3114863083"/>
    <s v="3214774252"/>
    <s v="3214774252"/>
    <s v="CR 111 65 08 LC 2 ,SAN ANTONIO"/>
    <s v="4.7034087"/>
    <s v="-74.1312801"/>
    <s v="CUNDINAMARCA"/>
    <s v="BOGOTÁ"/>
    <s v="BOGOTÁ"/>
    <n v="11001"/>
    <s v="2025-09-05"/>
    <n v="1"/>
    <s v="BOGOTA"/>
    <x v="2"/>
    <n v="37313"/>
    <n v="37313"/>
  </r>
  <r>
    <n v="74795"/>
    <s v="BARRIO SAN SIMON PARTE BAJA IBAGUE 3"/>
    <n v="14237473"/>
    <s v="3153901188"/>
    <s v="3153901188"/>
    <s v="3153901188"/>
    <s v="CA 60 MZ K ,SAN SIMÓN PARTE BAJA"/>
    <s v="4.4432471"/>
    <s v="-75.2185405"/>
    <s v="TOLIMA"/>
    <s v="IBAGUÉ"/>
    <s v="IBAGUÉ"/>
    <n v="73001"/>
    <s v="2025-09-05"/>
    <n v="1"/>
    <s v="IBAGUE"/>
    <x v="1"/>
    <n v="49671.7"/>
    <n v="49671.7"/>
  </r>
  <r>
    <n v="75562"/>
    <s v="BARRIO VILLAS DE SAN PABLO BARRANQUILLA"/>
    <n v="1129501913"/>
    <s v="3016061955"/>
    <s v="3016061955"/>
    <s v="3016061955"/>
    <s v="CR 28 A 143 B - 03,VILLAS DE SAN PABLO"/>
    <s v="10.95819"/>
    <s v="-74.86452"/>
    <s v="ATLÁNTICO"/>
    <s v="BARRANQUILLA"/>
    <s v="BARRANQUILLA"/>
    <n v="8001"/>
    <s v="2025-09-05"/>
    <n v="1"/>
    <s v="BARRANQUILLA"/>
    <x v="5"/>
    <n v="37313"/>
    <n v="37313"/>
  </r>
  <r>
    <n v="75697"/>
    <s v="BARRIO GARCES NAVAS BOGOTA 6"/>
    <n v="23784127"/>
    <s v="3224273218"/>
    <s v="3224273218"/>
    <s v="3224273218"/>
    <s v="CL 74 A 119 - 23,GARCES NAVAS"/>
    <s v="4.7194358"/>
    <s v="-74.1310020"/>
    <s v="CUNDINAMARCA"/>
    <s v="BOGOTÁ"/>
    <s v="BOGOTÁ"/>
    <n v="11001"/>
    <s v="2025-09-05"/>
    <n v="1"/>
    <s v="BOGOTA"/>
    <x v="2"/>
    <n v="37313"/>
    <n v="37313"/>
  </r>
  <r>
    <n v="76889"/>
    <s v="BARRIO  LA LIBERTAD CUCUTA"/>
    <n v="1127662356"/>
    <s v="3118887186"/>
    <s v="3118887186"/>
    <s v="3118887186"/>
    <s v="CL 21 NRO 11 78,LA LIBERTAD"/>
    <s v="7.8844638"/>
    <s v="-72.4777211"/>
    <s v="NORTE DE SANTANDER"/>
    <s v="CÚCUTA"/>
    <s v="CÚCUTA"/>
    <n v="54001"/>
    <s v="2025-09-05"/>
    <n v="1"/>
    <s v="CUCUTA"/>
    <x v="4"/>
    <n v="49671.7"/>
    <n v="49671.7"/>
  </r>
  <r>
    <n v="77262"/>
    <s v="BARRIO BELLO ESTACION BELLO"/>
    <n v="15518038"/>
    <s v="3023712745"/>
    <s v="3023712745"/>
    <s v="3023712745"/>
    <s v="CL 46A 45 22,BELLO ESTACION"/>
    <s v="6.3337723"/>
    <s v="-75.5541772"/>
    <s v="ANTIOQUIA"/>
    <s v="BELLO"/>
    <s v="BELLO"/>
    <n v="5088"/>
    <s v="2025-09-05"/>
    <n v="1"/>
    <s v="MEDELLIN"/>
    <x v="0"/>
    <n v="37313"/>
    <n v="37313"/>
  </r>
  <r>
    <n v="17090"/>
    <s v="BARRIO CAMPO AMOR GUAYABAL MEDELLIN"/>
    <n v="71293417"/>
    <s v="2554909"/>
    <s v="3128769409"/>
    <s v="3128769409"/>
    <s v=" CL 7  52-44 CAMPOAMOR GUAYABAL"/>
    <s v="6.2129308"/>
    <s v="-75.5836555"/>
    <s v="ANTIOQUIA"/>
    <s v="MEDELLÍN"/>
    <s v="MEDELLÍN"/>
    <n v="5001"/>
    <s v="2025-09-08"/>
    <n v="2"/>
    <s v="MEDELLIN"/>
    <x v="0"/>
    <n v="37313"/>
    <n v="74626"/>
  </r>
  <r>
    <n v="19123"/>
    <s v="BARRIO SANTA CRUZ IX MEDELLIN"/>
    <n v="1035416094"/>
    <s v="3660176"/>
    <s v="3122887956"/>
    <s v="3122887956"/>
    <s v=" CR 42 D 103 10"/>
    <s v="6.2926919"/>
    <s v="-75.5501469"/>
    <s v="ANTIOQUIA"/>
    <s v="MEDELLÍN"/>
    <s v="MEDELLÍN"/>
    <n v="5001"/>
    <s v="2025-09-08"/>
    <n v="1"/>
    <s v="MEDELLIN"/>
    <x v="0"/>
    <n v="37313"/>
    <n v="37313"/>
  </r>
  <r>
    <n v="15245"/>
    <s v="BARRIO LA ESMERALDA II POPAYAN"/>
    <n v="25280596"/>
    <s v="8316725"/>
    <s v="3166926463"/>
    <s v="3166926463"/>
    <s v=" CL 8  18-73"/>
    <s v="2.4419455"/>
    <s v="-76.6172375"/>
    <s v="CAUCA"/>
    <s v="POPAYÁN"/>
    <s v="POPAYÁN"/>
    <n v="19001"/>
    <s v="2025-09-08"/>
    <n v="1"/>
    <s v="CALI"/>
    <x v="3"/>
    <n v="37313"/>
    <n v="37313"/>
  </r>
  <r>
    <n v="19122"/>
    <s v="BARRIO MANRIQUE LOS BALSOS MEDELLIN"/>
    <n v="32488690"/>
    <s v="2141621"/>
    <s v="3128284348"/>
    <s v="3128284348"/>
    <s v=" CR 47 105 A 10"/>
    <s v="6.29509907"/>
    <s v="-75.55270967"/>
    <s v="ANTIOQUIA"/>
    <s v="MEDELLÍN"/>
    <s v="MEDELLÍN"/>
    <n v="5001"/>
    <s v="2025-09-08"/>
    <n v="1"/>
    <s v="MEDELLIN"/>
    <x v="0"/>
    <n v="37313"/>
    <n v="37313"/>
  </r>
  <r>
    <n v="31317"/>
    <s v="BARRIO PRAGA "/>
    <n v="87061339"/>
    <s v="7307763"/>
    <s v="3216589355"/>
    <s v="3216589355"/>
    <s v=" CR 6 E 16A 38  PRAGA "/>
    <s v="1.1959385"/>
    <s v="-77.2632950"/>
    <s v="NARIÑO"/>
    <s v="PASTO"/>
    <s v="SAN JUAN DE PASTO"/>
    <n v="52001"/>
    <s v="2025-09-08"/>
    <n v="2"/>
    <s v="PASTO"/>
    <x v="3"/>
    <n v="49671.7"/>
    <n v="99343.4"/>
  </r>
  <r>
    <n v="29995"/>
    <s v="BARRIO EL RETIRO - CALI "/>
    <n v="94446092"/>
    <s v="4360740"/>
    <s v="32077542701"/>
    <s v="3207754271"/>
    <s v=" CR 35 50 01"/>
    <s v="3.41133169"/>
    <s v="-76.49778672"/>
    <s v="VALLE DEL CAUCA"/>
    <s v="CALI"/>
    <s v="SANTIAGO DE CALI"/>
    <n v="76001"/>
    <s v="2025-09-08"/>
    <n v="1"/>
    <s v="CALI"/>
    <x v="3"/>
    <n v="37313"/>
    <n v="37313"/>
  </r>
  <r>
    <n v="13899"/>
    <s v="BARRIO TRISTE MEDELLIN"/>
    <n v="63309375"/>
    <s v="5139693"/>
    <s v="3113540198"/>
    <s v="3113540198"/>
    <s v=" CL 45A  59-57 EN TRISTE EN CIUDAD DE MEDELLIN"/>
    <s v="6.2492017"/>
    <s v="-75.5775317"/>
    <s v="ANTIOQUIA"/>
    <s v="MEDELLÍN"/>
    <s v="MEDELLÍN"/>
    <n v="5001"/>
    <s v="2025-09-08"/>
    <n v="1"/>
    <s v="MEDELLIN"/>
    <x v="0"/>
    <n v="37313"/>
    <n v="37313"/>
  </r>
  <r>
    <n v="16553"/>
    <s v="MEDELLIN CRISTO REY"/>
    <n v="70876057"/>
    <s v="2559942"/>
    <s v="3113242329"/>
    <s v="3113242329"/>
    <s v=" CL 3 SUR  51 A-60"/>
    <s v="6.2057912"/>
    <s v="-75.5856339"/>
    <s v="ANTIOQUIA"/>
    <s v="MEDELLÍN"/>
    <s v="MEDELLÍN"/>
    <n v="5001"/>
    <s v="2025-09-08"/>
    <n v="2"/>
    <s v="MEDELLIN"/>
    <x v="0"/>
    <n v="37313"/>
    <n v="74626"/>
  </r>
  <r>
    <n v="29094"/>
    <s v="BARRIO NUEVA CASTILLA BOGOTÁ"/>
    <n v="52175479"/>
    <s v="4027680"/>
    <s v="3138347955"/>
    <s v="3138347955"/>
    <s v=" CR 88 D 8 A 81 ET 4 CA 5"/>
    <s v="4.6509585"/>
    <s v="-74.1521855"/>
    <s v="CUNDINAMARCA"/>
    <s v="BOGOTÁ"/>
    <s v="BOGOTÁ"/>
    <n v="11001"/>
    <s v="2025-09-08"/>
    <n v="1"/>
    <s v="BOGOTA"/>
    <x v="2"/>
    <n v="37313"/>
    <n v="37313"/>
  </r>
  <r>
    <n v="30295"/>
    <s v="BARRIO PLAYA RICA - BELLO "/>
    <n v="44005012"/>
    <s v="2093761"/>
    <s v="3135380405"/>
    <s v="3135380405"/>
    <s v=" CL 62 63 A A 29"/>
    <s v="6.3464370"/>
    <s v="-75.5671519"/>
    <s v="ANTIOQUIA"/>
    <s v="BELLO"/>
    <s v="BELLO"/>
    <n v="5088"/>
    <s v="2025-09-08"/>
    <n v="2"/>
    <s v="MEDELLIN"/>
    <x v="0"/>
    <n v="37313"/>
    <n v="74626"/>
  </r>
  <r>
    <n v="31444"/>
    <s v="BARRIO LA GLORIA 3"/>
    <n v="1013594852"/>
    <s v="3575967"/>
    <s v="3177697340"/>
    <s v="3192150170"/>
    <s v="CR 4 Este # 41B sur 64"/>
    <s v="4.5487175"/>
    <s v="-74.0925864"/>
    <s v="CUNDINAMARCA"/>
    <s v="BOGOTÁ"/>
    <s v="BOGOTÁ"/>
    <n v="11001"/>
    <s v="2025-09-08"/>
    <n v="1"/>
    <s v="BOGOTA"/>
    <x v="2"/>
    <n v="37313"/>
    <n v="37313"/>
  </r>
  <r>
    <n v="20891"/>
    <s v="Barrio Villa Regina IV - Neiva"/>
    <n v="26424696"/>
    <s v="8767212"/>
    <s v="3124824942"/>
    <s v="3124824942"/>
    <s v=" CL 13 B 43 A 23"/>
    <s v="2.9353161"/>
    <s v="-75.2566808"/>
    <s v="HUILA"/>
    <s v="NEIVA"/>
    <s v="NEIVA"/>
    <n v="41001"/>
    <s v="2025-09-08"/>
    <n v="1"/>
    <s v="NEIVA"/>
    <x v="1"/>
    <n v="49671.7"/>
    <n v="49671.7"/>
  </r>
  <r>
    <n v="18571"/>
    <s v="BARRIO SIETE DE AGOSTO III CALI"/>
    <n v="16696549"/>
    <s v="6627873"/>
    <s v="3187934040"/>
    <s v="3187934040"/>
    <s v="CRA 13  72 25"/>
    <s v="3.4463849"/>
    <s v="-76.4868300"/>
    <s v="VALLE DEL CAUCA"/>
    <s v="CALI"/>
    <s v="SANTIAGO DE CALI"/>
    <n v="76001"/>
    <s v="2025-09-08"/>
    <n v="1"/>
    <s v="CALI"/>
    <x v="3"/>
    <n v="37313"/>
    <n v="37313"/>
  </r>
  <r>
    <n v="29180"/>
    <s v="BARRIO LA CABRERA CÚCUTA"/>
    <n v="91045660"/>
    <s v="5830572"/>
    <s v="3203625742"/>
    <s v="3203625742"/>
    <s v=" CL 18 4 01 LA CA ERA"/>
    <s v="7.8788464"/>
    <s v="-72.5014755"/>
    <s v="NORTE DE SANTANDER"/>
    <s v="CÚCUTA"/>
    <s v="CÚCUTA"/>
    <n v="54001"/>
    <s v="2025-09-08"/>
    <n v="2"/>
    <s v="CUCUTA"/>
    <x v="4"/>
    <n v="49671.7"/>
    <n v="99343.4"/>
  </r>
  <r>
    <n v="30447"/>
    <s v="BARRIO TINTAL  BOGOTA"/>
    <n v="52284620"/>
    <s v="4002576"/>
    <s v="3183103899"/>
    <s v="3183103899"/>
    <s v=" CR 90 C  6 A 67 CA 397"/>
    <s v="4.6502946"/>
    <s v="-74.1587243"/>
    <s v="CUNDINAMARCA"/>
    <s v="BOGOTÁ"/>
    <s v="BOGOTÁ"/>
    <n v="11001"/>
    <s v="2025-09-08"/>
    <n v="1"/>
    <s v="BOGOTA"/>
    <x v="2"/>
    <n v="37313"/>
    <n v="37313"/>
  </r>
  <r>
    <n v="10986"/>
    <s v="BARRIO FLORALIA II"/>
    <n v="14620828"/>
    <s v="4331894"/>
    <s v="3044345709"/>
    <s v="3044345709"/>
    <s v=" CL 72J  2BN-94  FLORALIA"/>
    <s v="3.4934627"/>
    <s v="-76.4913678"/>
    <s v="VALLE DEL CAUCA"/>
    <s v="CALI"/>
    <s v="SANTIAGO DE CALI"/>
    <n v="76001"/>
    <s v="2025-09-08"/>
    <n v="2"/>
    <s v="CALI"/>
    <x v="3"/>
    <n v="37313"/>
    <n v="74626"/>
  </r>
  <r>
    <n v="20999"/>
    <s v="BARRIO URB.  VILLA CAMPESTRE - LA ESTRELLA"/>
    <n v="34043562"/>
    <s v="3284130"/>
    <s v="3117085912"/>
    <s v="3117085912"/>
    <s v=" CR 53 B 79 BB SUR 65"/>
    <s v="6.1545003"/>
    <s v="-75.6339857"/>
    <s v="ANTIOQUIA"/>
    <s v="LA ESTRELLA"/>
    <s v="LA ESTRELLA"/>
    <n v="5380"/>
    <s v="2025-09-08"/>
    <n v="1"/>
    <s v="MEDELLIN"/>
    <x v="0"/>
    <n v="37313"/>
    <n v="37313"/>
  </r>
  <r>
    <n v="35988"/>
    <s v="BARRIO TERCER MILENIO NEIVA 1"/>
    <n v="7701799"/>
    <s v="8625971"/>
    <s v="3183789820"/>
    <s v="3183789820"/>
    <s v="CL 2A  26 25 BRR Alfonso Lopez"/>
    <s v="2.922355"/>
    <s v="-75.270693"/>
    <s v="HUILA"/>
    <s v="NEIVA"/>
    <s v="NEIVA"/>
    <n v="41001"/>
    <s v="2025-09-08"/>
    <n v="1"/>
    <s v="NEIVA"/>
    <x v="1"/>
    <n v="49671.7"/>
    <n v="49671.7"/>
  </r>
  <r>
    <n v="32949"/>
    <s v="BARRIO POZON CARTAGENA DE INDIAS 1"/>
    <n v="1081904592"/>
    <s v="6050962"/>
    <s v="3016404533"/>
    <s v="3012798599"/>
    <s v=" CR 88 MZ 172 LT 17 POZON"/>
    <s v="10.4132866"/>
    <s v="-75.4577771"/>
    <s v="BOLÍVAR"/>
    <s v="CARTAGENA DE INDIAS"/>
    <s v="CARTAGENA DE INDIAS"/>
    <n v="13001"/>
    <s v="2025-09-08"/>
    <n v="1"/>
    <s v="CARTAGENA"/>
    <x v="5"/>
    <n v="49671.7"/>
    <n v="49671.7"/>
  </r>
  <r>
    <n v="22695"/>
    <s v="BARRIO EL SALADO II - CÚCUTA"/>
    <n v="1090426928"/>
    <s v="5953896"/>
    <s v="3213330184"/>
    <s v="3213330184"/>
    <s v=" CL 6   8 34"/>
    <s v="7.91328025"/>
    <s v="-72.47641835"/>
    <s v="NORTE DE SANTANDER"/>
    <s v="CÚCUTA"/>
    <s v="CÚCUTA"/>
    <n v="54001"/>
    <s v="2025-09-08"/>
    <n v="1"/>
    <s v="CUCUTA"/>
    <x v="4"/>
    <n v="49671.7"/>
    <n v="49671.7"/>
  </r>
  <r>
    <n v="30733"/>
    <s v="BARRIO CAMPO AMOR 3"/>
    <n v="70786144"/>
    <s v="5082646"/>
    <s v="3005709138"/>
    <s v="3005709138"/>
    <s v=" CL 7 58 04"/>
    <s v="6.21392649"/>
    <s v="-75.58556609"/>
    <s v="ANTIOQUIA"/>
    <s v="MEDELLÍN"/>
    <s v="MEDELLÍN"/>
    <n v="5001"/>
    <s v="2025-09-08"/>
    <n v="1"/>
    <s v="MEDELLIN"/>
    <x v="0"/>
    <n v="37313"/>
    <n v="37313"/>
  </r>
  <r>
    <n v="22452"/>
    <s v="BARRIO LA ESTRELLA II - LA ESTRELLA"/>
    <n v="71292439"/>
    <s v="5775567"/>
    <s v="3126866302"/>
    <s v="3126866302"/>
    <s v=" CL 73 SUR  63 AA 185"/>
    <s v="6.16458197"/>
    <s v="-75.64526578"/>
    <s v="ANTIOQUIA"/>
    <s v="LA ESTRELLA"/>
    <s v="LA ESTRELLA"/>
    <n v="5380"/>
    <s v="2025-09-08"/>
    <n v="1"/>
    <s v="MEDELLIN"/>
    <x v="0"/>
    <n v="37313"/>
    <n v="37313"/>
  </r>
  <r>
    <n v="33150"/>
    <s v="BARRIO CIUDAD DEL RODEO CUCUTA"/>
    <n v="60363475"/>
    <s v="4239530"/>
    <s v="3102305489"/>
    <s v="3102305489"/>
    <s v=" CL 21 29 B 99 MZ E LC 5 CONJ RESIDENCIAL LOS AERAYANES"/>
    <s v="7.892053333"/>
    <s v="-72.5506211"/>
    <s v="NORTE DE SANTANDER"/>
    <s v="CÚCUTA"/>
    <s v="CÚCUTA"/>
    <n v="54001"/>
    <s v="2025-09-08"/>
    <n v="1"/>
    <s v="CUCUTA"/>
    <x v="4"/>
    <n v="49671.7"/>
    <n v="49671.7"/>
  </r>
  <r>
    <n v="27571"/>
    <s v="BARRIO CENTRO 26 - BARRANQUILLA"/>
    <n v="900484290"/>
    <s v="3701537"/>
    <s v="3172545504"/>
    <s v="3172545504"/>
    <s v=" CR 43 50 12 LO 53"/>
    <s v="10.98455"/>
    <s v="-74.79015"/>
    <s v="ATLÁNTICO"/>
    <s v="BARRANQUILLA"/>
    <s v="BARRANQUILLA"/>
    <n v="8001"/>
    <s v="2025-09-08"/>
    <n v="1"/>
    <s v="BARRANQUILLA"/>
    <x v="5"/>
    <n v="37313"/>
    <n v="37313"/>
  </r>
  <r>
    <n v="31677"/>
    <s v="BARRIO EL PARAÍSO  BELLO"/>
    <n v="8401174"/>
    <s v="4510839"/>
    <s v="3135586574"/>
    <s v="3135586574"/>
    <s v=" CL 56 63 A 31"/>
    <s v="6.3397824"/>
    <s v="-75.5688277"/>
    <s v="ANTIOQUIA"/>
    <s v="BELLO"/>
    <s v="BELLO"/>
    <n v="5088"/>
    <s v="2025-09-08"/>
    <n v="2"/>
    <s v="MEDELLIN"/>
    <x v="0"/>
    <n v="37313"/>
    <n v="74626"/>
  </r>
  <r>
    <n v="41220"/>
    <s v="  BARRIO CENTRO MEDELLIN   44"/>
    <n v="811046361"/>
    <s v="2513565"/>
    <s v="3206750488"/>
    <s v="3206750488"/>
    <s v="CR 58 N 45A  18"/>
    <s v="6.2490083"/>
    <s v="-75.5761639"/>
    <s v="ANTIOQUIA"/>
    <s v="MEDELLÍN"/>
    <s v="MEDELLÍN"/>
    <n v="5001"/>
    <s v="2025-09-08"/>
    <n v="1"/>
    <s v="MEDELLIN"/>
    <x v="0"/>
    <n v="37313"/>
    <n v="37313"/>
  </r>
  <r>
    <n v="33571"/>
    <s v="BARRIO TERMINAL SUR MEDELLIN"/>
    <n v="24684694"/>
    <m/>
    <s v="3176493977"/>
    <s v="3126533858"/>
    <s v=" CR 65 8 B 91 LC 029"/>
    <s v="6.2160571"/>
    <s v="-75.5869038"/>
    <s v="ANTIOQUIA"/>
    <s v="MEDELLÍN"/>
    <s v="MEDELLÍN"/>
    <n v="5001"/>
    <s v="2025-09-08"/>
    <n v="2"/>
    <s v="MEDELLIN"/>
    <x v="0"/>
    <n v="37313"/>
    <n v="74626"/>
  </r>
  <r>
    <n v="43516"/>
    <s v="BARRIO LA ESMERALDA POPAYAN 3"/>
    <n v="1061727392"/>
    <s v="8348385"/>
    <s v="3165379355"/>
    <s v="3165379355"/>
    <s v="CR 19 6A17,LA ESMERALDA"/>
    <s v="2.4440059"/>
    <s v="-76.6176969"/>
    <s v="CAUCA"/>
    <s v="POPAYÁN"/>
    <s v="POPAYÁN"/>
    <n v="19001"/>
    <s v="2025-09-08"/>
    <n v="1"/>
    <s v="CALI"/>
    <x v="3"/>
    <n v="37313"/>
    <n v="37313"/>
  </r>
  <r>
    <n v="38477"/>
    <s v="BARRIO ALTAMIRA BOGOTA 1"/>
    <n v="1013581347"/>
    <s v="2060996"/>
    <s v="3112392782"/>
    <s v="3112392782"/>
    <s v=" CR 11 ESTE42 B 46 SUR  ALTAMIRA"/>
    <s v="4.5448962"/>
    <s v="-74.0877976"/>
    <s v="CUNDINAMARCA"/>
    <s v="BOGOTÁ"/>
    <s v="BOGOTÁ"/>
    <n v="11001"/>
    <s v="2025-09-08"/>
    <n v="1"/>
    <s v="BOGOTA"/>
    <x v="2"/>
    <n v="37313"/>
    <n v="37313"/>
  </r>
  <r>
    <n v="42270"/>
    <s v="BARRIO LLANO LARGO POPAYAN"/>
    <n v="10539543"/>
    <s v="8333778"/>
    <s v="3155781921"/>
    <s v="3155781921"/>
    <s v="CL 5 A 21. 48,LLANO LARGO"/>
    <s v="2.4458253"/>
    <s v="-76.6189014"/>
    <s v="CAUCA"/>
    <s v="POPAYÁN"/>
    <s v="POPAYÁN"/>
    <n v="19001"/>
    <s v="2025-09-08"/>
    <n v="1"/>
    <s v="CALI"/>
    <x v="3"/>
    <n v="37313"/>
    <n v="37313"/>
  </r>
  <r>
    <n v="43648"/>
    <s v="BARRIO BARRIO TRISTE MEDELLIN"/>
    <n v="8229573"/>
    <s v="2317371"/>
    <s v="3104503767"/>
    <s v="3104503767"/>
    <s v="CL 45 58 36"/>
    <s v="6.248226"/>
    <s v="-75.57681"/>
    <s v="ANTIOQUIA"/>
    <s v="MEDELLÍN"/>
    <s v="MEDELLÍN"/>
    <n v="5001"/>
    <s v="2025-09-08"/>
    <n v="1"/>
    <s v="MEDELLIN"/>
    <x v="0"/>
    <n v="37313"/>
    <n v="37313"/>
  </r>
  <r>
    <n v="40084"/>
    <s v="BARRIO EL CENTRO CUCUTA 10"/>
    <n v="1090437205"/>
    <s v="5754206"/>
    <s v="3213600211"/>
    <s v="3213600211"/>
    <s v="AV 6 9-50 CC SAN JOSE LC 2,EL CENTRO"/>
    <s v="7.8871791"/>
    <s v="-72.50508"/>
    <s v="NORTE DE SANTANDER"/>
    <s v="CÚCUTA"/>
    <s v="CÚCUTA"/>
    <n v="54001"/>
    <s v="2025-09-08"/>
    <n v="1"/>
    <s v="CUCUTA"/>
    <x v="4"/>
    <n v="49671.7"/>
    <n v="49671.7"/>
  </r>
  <r>
    <n v="37744"/>
    <s v="BARRIO VILLA MEDILA VILLAVICENCIO"/>
    <n v="79903608"/>
    <s v="6837745"/>
    <s v="3213877350"/>
    <s v="3213877350"/>
    <s v=" CL 21 SUR 10 10 VILLA MELIDA"/>
    <s v="4.116250"/>
    <s v="-73.597832"/>
    <s v="META"/>
    <s v="VILLAVICENCIO"/>
    <s v="VILLAVICENCIO"/>
    <n v="50001"/>
    <s v="2025-09-08"/>
    <n v="1"/>
    <s v="VILLAVICENCIO"/>
    <x v="1"/>
    <n v="49671.7"/>
    <n v="49671.7"/>
  </r>
  <r>
    <n v="45694"/>
    <s v="BARRIO SALITRE BOGOTA 3"/>
    <n v="35495291"/>
    <m/>
    <s v="3153363705"/>
    <s v="3153363705"/>
    <s v="CR 92 # 157-93,SALITRE"/>
    <s v="4.7542075"/>
    <s v="-74.0806783"/>
    <s v="CUNDINAMARCA"/>
    <s v="BOGOTÁ"/>
    <s v="BOGOTÁ"/>
    <n v="11001"/>
    <s v="2025-09-08"/>
    <n v="1"/>
    <s v="BOGOTA"/>
    <x v="2"/>
    <n v="37313"/>
    <n v="37313"/>
  </r>
  <r>
    <n v="49979"/>
    <s v="BARRIO LA VICTORIA BOGOTA 2"/>
    <n v="52444653"/>
    <s v="3629754"/>
    <s v="3125952317"/>
    <s v="3125952317"/>
    <s v="TV 3 ESTE #43-16 SUR,LA VICTORIA"/>
    <s v="4.547833"/>
    <s v="-74.093868"/>
    <s v="CUNDINAMARCA"/>
    <s v="BOGOTÁ"/>
    <s v="BOGOTÁ"/>
    <n v="11001"/>
    <s v="2025-09-08"/>
    <n v="1"/>
    <s v="BOGOTA"/>
    <x v="2"/>
    <n v="37313"/>
    <n v="37313"/>
  </r>
  <r>
    <n v="42176"/>
    <s v="BARRIO MACHANGARA POPAYAN 2"/>
    <n v="25286257"/>
    <s v="8200703"/>
    <s v="3116225217"/>
    <s v="3116225217"/>
    <s v="CRA 6 14 N 39 LOCAL 103"/>
    <s v="2.4515284"/>
    <s v="-76.5995279"/>
    <s v="CAUCA"/>
    <s v="POPAYÁN"/>
    <s v="POPAYÁN"/>
    <n v="19001"/>
    <s v="2025-09-08"/>
    <n v="1"/>
    <s v="CALI"/>
    <x v="3"/>
    <n v="37313"/>
    <n v="37313"/>
  </r>
  <r>
    <n v="50119"/>
    <s v="BARRIO DELIRIO COVISAN VILLAVICENCIO"/>
    <n v="30082535"/>
    <s v="0"/>
    <s v="3103405666"/>
    <s v="3103405666"/>
    <s v="CR 18 ESTE N. 41 - 25,DELIRIO COVISAN"/>
    <s v="4.143573"/>
    <s v="-73.584910"/>
    <s v="META"/>
    <s v="VILLAVICENCIO"/>
    <s v="VILLAVICENCIO"/>
    <n v="50001"/>
    <s v="2025-09-08"/>
    <n v="1"/>
    <s v="VILLAVICENCIO"/>
    <x v="1"/>
    <n v="49671.7"/>
    <n v="49671.7"/>
  </r>
  <r>
    <n v="50037"/>
    <s v="BARRIO EL VALLADO CALI"/>
    <n v="16289362"/>
    <s v="3272775"/>
    <s v="3157726783"/>
    <s v="3157726783"/>
    <s v="CR 39 55 A 01,EL VALLADO"/>
    <s v="3.4073838"/>
    <s v="-76.4965230"/>
    <s v="VALLE DEL CAUCA"/>
    <s v="CALI"/>
    <s v="SANTIAGO DE CALI"/>
    <n v="76001"/>
    <s v="2025-09-08"/>
    <n v="1"/>
    <s v="CALI"/>
    <x v="3"/>
    <n v="37313"/>
    <n v="37313"/>
  </r>
  <r>
    <n v="52016"/>
    <s v="BARRIO EL LLANO CUCUTA 10"/>
    <n v="60370160"/>
    <s v="0"/>
    <s v="3108189743"/>
    <s v="3107855698"/>
    <s v="CL 12 NO 9-19,EL LLANO"/>
    <s v="7.884054"/>
    <s v="-72.507698"/>
    <s v="NORTE DE SANTANDER"/>
    <s v="CÚCUTA"/>
    <s v="CÚCUTA"/>
    <n v="54001"/>
    <s v="2025-09-08"/>
    <n v="1"/>
    <s v="CUCUTA"/>
    <x v="4"/>
    <n v="49671.7"/>
    <n v="49671.7"/>
  </r>
  <r>
    <n v="42030"/>
    <s v="BARRIO CORAZON DE JESUS PASTO"/>
    <n v="27307931"/>
    <s v="7365953"/>
    <s v=" 3218600510  "/>
    <s v="3122371351"/>
    <s v="MZ 11 CASA 19,B CORAZÓN DE JESÚS"/>
    <s v="1.2209940"/>
    <s v="-77.2700118"/>
    <s v="NARIÑO"/>
    <s v="PASTO"/>
    <s v="SAN JUAN DE PASTO"/>
    <n v="52001"/>
    <s v="2025-09-08"/>
    <n v="4"/>
    <s v="PASTO"/>
    <x v="3"/>
    <n v="49671.7"/>
    <n v="198686.8"/>
  </r>
  <r>
    <n v="50298"/>
    <s v="BARRIO POPULAR MEDELLIN 2"/>
    <n v="1128434756"/>
    <s v="0"/>
    <s v="3218710330"/>
    <s v="3218710330"/>
    <s v="CR 42B #107B-16"/>
    <s v="6.2952326"/>
    <s v="-75.5478316"/>
    <s v="ANTIOQUIA"/>
    <s v="MEDELLÍN"/>
    <s v="MEDELLÍN"/>
    <n v="5001"/>
    <s v="2025-09-08"/>
    <n v="2"/>
    <s v="MEDELLIN"/>
    <x v="0"/>
    <n v="37313"/>
    <n v="74626"/>
  </r>
  <r>
    <n v="50720"/>
    <s v="BARRIO SANTA ELENA POPAYAN 2"/>
    <n v="25273864"/>
    <s v="0"/>
    <s v="3206760429"/>
    <s v="3206854887"/>
    <s v="CR 27 A 5 A 122,SANTA ELENA"/>
    <s v="2.4475899"/>
    <s v="-76.6237758"/>
    <s v="CAUCA"/>
    <s v="POPAYÁN"/>
    <s v="POPAYÁN"/>
    <n v="19001"/>
    <s v="2025-09-08"/>
    <n v="1"/>
    <s v="CALI"/>
    <x v="3"/>
    <n v="37313"/>
    <n v="37313"/>
  </r>
  <r>
    <n v="47067"/>
    <s v="BARRIO EL CENTRO CUCUTA  40"/>
    <n v="88261469"/>
    <s v="3203165356"/>
    <s v="3203165356"/>
    <s v="3203165356"/>
    <s v="AV 24  9-60"/>
    <s v="7.8927096"/>
    <s v="-72.5405344"/>
    <s v="NORTE DE SANTANDER"/>
    <s v="CÚCUTA"/>
    <s v="CÚCUTA"/>
    <n v="54001"/>
    <s v="2025-09-08"/>
    <n v="1"/>
    <s v="CUCUTA"/>
    <x v="4"/>
    <n v="49671.7"/>
    <n v="49671.7"/>
  </r>
  <r>
    <n v="50308"/>
    <s v="BARRIO CAICEDO MEDELLIN 4"/>
    <n v="1128428101"/>
    <s v="2222568"/>
    <s v="3005473941"/>
    <s v="3005473941"/>
    <s v="CL 54 17 A 40"/>
    <s v="6.237803"/>
    <s v="-75.541452"/>
    <s v="ANTIOQUIA"/>
    <s v="MEDELLÍN"/>
    <s v="MEDELLÍN"/>
    <n v="5001"/>
    <s v="2025-09-08"/>
    <n v="1"/>
    <s v="MEDELLIN"/>
    <x v="0"/>
    <n v="37313"/>
    <n v="37313"/>
  </r>
  <r>
    <n v="48347"/>
    <s v="BARRIO EL PARAISO BELLO"/>
    <n v="43917111"/>
    <s v="3114499818"/>
    <s v="3114499818"/>
    <s v="3114499818"/>
    <s v="Calle 57 # 63A - 44 barrio paraiso"/>
    <s v="6.3412231"/>
    <s v="-75.5687913"/>
    <s v="ANTIOQUIA"/>
    <s v="BELLO"/>
    <s v="BELLO"/>
    <n v="5088"/>
    <s v="2025-09-08"/>
    <n v="2"/>
    <s v="MEDELLIN"/>
    <x v="0"/>
    <n v="37313"/>
    <n v="74626"/>
  </r>
  <r>
    <n v="54473"/>
    <s v="BARRIO VILLAS DE VERACRUZ CALI"/>
    <n v="1143876890"/>
    <s v="0"/>
    <s v="3105477015"/>
    <s v="3108492727"/>
    <s v="CR 1 C 58 A 1 63 LC 1"/>
    <s v="3.4754408"/>
    <s v="-76.4965496"/>
    <s v="VALLE DEL CAUCA"/>
    <s v="CALI"/>
    <s v="SANTIAGO DE CALI"/>
    <n v="76001"/>
    <s v="2025-09-08"/>
    <n v="1"/>
    <s v="CALI"/>
    <x v="3"/>
    <n v="37313"/>
    <n v="37313"/>
  </r>
  <r>
    <n v="53840"/>
    <s v="BARRIO LA CONQUISTA CUCUTA 1"/>
    <n v="1090470220"/>
    <s v="0"/>
    <s v="3107580614"/>
    <s v="3107580614"/>
    <s v="MZ 2 LT 16,LA CONQUISTA"/>
    <s v="7.9459459"/>
    <s v="-72.4978590"/>
    <s v="NORTE DE SANTANDER"/>
    <s v="CÚCUTA"/>
    <s v="CÚCUTA"/>
    <n v="54001"/>
    <s v="2025-09-08"/>
    <n v="1"/>
    <s v="CUCUTA"/>
    <x v="4"/>
    <n v="49671.7"/>
    <n v="49671.7"/>
  </r>
  <r>
    <n v="54456"/>
    <s v="BARRIO NUEVO RICAURTE VILLAVICENCIO"/>
    <n v="1122648358"/>
    <s v="3204640605"/>
    <s v="3204640605"/>
    <s v="3204640605"/>
    <s v="carrera 37  23  80 san venito"/>
    <s v="4.136813"/>
    <s v="-73.633379"/>
    <s v="META"/>
    <s v="VILLAVICENCIO"/>
    <s v="VILLAVICENCIO"/>
    <n v="50001"/>
    <s v="2025-09-08"/>
    <n v="1"/>
    <s v="VILLAVICENCIO"/>
    <x v="1"/>
    <n v="49671.7"/>
    <n v="49671.7"/>
  </r>
  <r>
    <n v="53030"/>
    <s v="BARRIO LATINO CUCUTA 11"/>
    <n v="88220544"/>
    <s v="0"/>
    <s v="3203537159"/>
    <s v="3125772237"/>
    <s v="AV 1 6-10,BRR LATINO"/>
    <s v="7.8916032"/>
    <s v="-72.5004326"/>
    <s v="NORTE DE SANTANDER"/>
    <s v="CÚCUTA"/>
    <s v="CÚCUTA"/>
    <n v="54001"/>
    <s v="2025-09-08"/>
    <n v="1"/>
    <s v="CUCUTA"/>
    <x v="4"/>
    <n v="49671.7"/>
    <n v="49671.7"/>
  </r>
  <r>
    <n v="53205"/>
    <s v="BARRIO OSPINA PEREZ CUCUTA 4"/>
    <n v="79208322"/>
    <s v="5790224"/>
    <s v="3202458877"/>
    <s v="3202458877"/>
    <s v="AV 5 # 15 - 35"/>
    <s v="7.9232490"/>
    <s v="-72.5225369"/>
    <s v="NORTE DE SANTANDER"/>
    <s v="CÚCUTA"/>
    <s v="CÚCUTA"/>
    <n v="54001"/>
    <s v="2025-09-08"/>
    <n v="1"/>
    <s v="CUCUTA"/>
    <x v="4"/>
    <n v="49671.7"/>
    <n v="49671.7"/>
  </r>
  <r>
    <n v="57275"/>
    <s v="BARRIO LLERAS CUCUTA"/>
    <n v="88243990"/>
    <s v="5747527"/>
    <s v="3107574339"/>
    <s v="3107574339"/>
    <s v="CL 1N 0-44,LLERAS"/>
    <s v="7.8989375"/>
    <s v="-72.5010096"/>
    <s v="NORTE DE SANTANDER"/>
    <s v="CÚCUTA"/>
    <s v="CÚCUTA"/>
    <n v="54001"/>
    <s v="2025-09-08"/>
    <n v="1"/>
    <s v="CUCUTA"/>
    <x v="4"/>
    <n v="49671.7"/>
    <n v="49671.7"/>
  </r>
  <r>
    <n v="57625"/>
    <s v="BARRIO SABANA DEL DORADO BOGOTA"/>
    <n v="51846546"/>
    <s v="3158911029"/>
    <s v="3107886700"/>
    <s v="3107886700"/>
    <s v="CR 113 B 63 39"/>
    <s v="4.7096948"/>
    <s v="-74.1392409"/>
    <s v="CUNDINAMARCA"/>
    <s v="BOGOTÁ"/>
    <s v="BOGOTÁ"/>
    <n v="11001"/>
    <s v="2025-09-08"/>
    <n v="1"/>
    <s v="BOGOTA"/>
    <x v="2"/>
    <n v="37313"/>
    <n v="37313"/>
  </r>
  <r>
    <n v="59348"/>
    <s v="BARRIO LAS AMERICAS BARRANQUILLA 1"/>
    <n v="72339041"/>
    <s v="3106901699"/>
    <s v="3106901699"/>
    <s v="3106901699"/>
    <s v="DG 54 B 4 A 77,LAS AMERICAS"/>
    <s v="10.945306"/>
    <s v="-74.811843"/>
    <s v="ATLÁNTICO"/>
    <s v="BARRANQUILLA"/>
    <s v="BARRANQUILLA"/>
    <n v="8001"/>
    <s v="2025-09-08"/>
    <n v="1"/>
    <s v="BARRANQUILLA"/>
    <x v="5"/>
    <n v="37313"/>
    <n v="37313"/>
  </r>
  <r>
    <n v="60950"/>
    <s v="BARRIO EL PROGRESO CUCUTA "/>
    <n v="88247171"/>
    <s v="3106071295"/>
    <s v="3106071295"/>
    <s v="3133147609"/>
    <s v="CL 24 A 64-90,EL PROGRESO"/>
    <s v="7.9226506"/>
    <s v="-72.5430844"/>
    <s v="NORTE DE SANTANDER"/>
    <s v="CÚCUTA"/>
    <s v="CÚCUTA"/>
    <n v="54001"/>
    <s v="2025-09-08"/>
    <n v="1"/>
    <s v="CUCUTA"/>
    <x v="4"/>
    <n v="49671.7"/>
    <n v="49671.7"/>
  </r>
  <r>
    <n v="60872"/>
    <s v="BARRIO ALMENDROS BOGOTA"/>
    <n v="79529439"/>
    <s v="0"/>
    <s v="3014166407"/>
    <s v="3014166407"/>
    <s v="AVENIDA CALLE 153 109 A 15"/>
    <s v="4.7561324"/>
    <s v="-74.0951198"/>
    <s v="CUNDINAMARCA"/>
    <s v="BOGOTÁ"/>
    <s v="BOGOTÁ"/>
    <n v="11001"/>
    <s v="2025-09-08"/>
    <n v="1"/>
    <s v="BOGOTA"/>
    <x v="2"/>
    <n v="37313"/>
    <n v="37313"/>
  </r>
  <r>
    <n v="59751"/>
    <s v="BARRIO VILLA HERMOSA BOGOTA"/>
    <n v="1000254533"/>
    <s v="6834136"/>
    <s v="3127056690"/>
    <s v="3127056690"/>
    <s v="CALLE 158 103 21"/>
    <s v="4.757342"/>
    <s v="-74.089703"/>
    <s v="CUNDINAMARCA"/>
    <s v="BOGOTÁ"/>
    <s v="BOGOTÁ"/>
    <n v="11001"/>
    <s v="2025-09-08"/>
    <n v="1"/>
    <s v="BOGOTA"/>
    <x v="2"/>
    <n v="37313"/>
    <n v="37313"/>
  </r>
  <r>
    <n v="62337"/>
    <s v="BARRIO EL PROGRESO CUCUTA 1"/>
    <n v="1094664110"/>
    <s v="0"/>
    <s v="3132309100"/>
    <s v="3176853227"/>
    <s v="AV 70 21-82,EL PROGRESO"/>
    <s v="7.9196157"/>
    <s v="-72.5484132"/>
    <s v="NORTE DE SANTANDER"/>
    <s v="CÚCUTA"/>
    <s v="CÚCUTA"/>
    <n v="54001"/>
    <s v="2025-09-08"/>
    <n v="1"/>
    <s v="CUCUTA"/>
    <x v="4"/>
    <n v="49671.7"/>
    <n v="49671.7"/>
  </r>
  <r>
    <n v="37531"/>
    <s v="BARRIO SUBA TURINGA BOGOTA"/>
    <n v="1014247923"/>
    <m/>
    <s v="3203334439"/>
    <s v="3203334439"/>
    <s v=" CL 158 101 A 02 LC 2 SUBA TURINGA"/>
    <s v="4.7571713"/>
    <s v="-74.0883472"/>
    <s v="CUNDINAMARCA"/>
    <s v="BOGOTÁ"/>
    <s v="BOGOTÁ"/>
    <n v="11001"/>
    <s v="2025-09-08"/>
    <n v="1"/>
    <s v="BOGOTA"/>
    <x v="2"/>
    <n v="37313"/>
    <n v="37313"/>
  </r>
  <r>
    <n v="37581"/>
    <s v="BARRIO CENTRO CALI 13"/>
    <n v="901227261"/>
    <s v="8823205"/>
    <s v="3113082822"/>
    <s v="3113083318"/>
    <s v="CL  29 RTE   6 N 31"/>
    <s v="3.4704756"/>
    <s v="-76.5281331"/>
    <s v="VALLE DEL CAUCA"/>
    <s v="CALI"/>
    <s v="SANTIAGO DE CALI"/>
    <n v="76001"/>
    <s v="2025-09-08"/>
    <n v="1"/>
    <s v="CALI"/>
    <x v="3"/>
    <n v="37313"/>
    <n v="37313"/>
  </r>
  <r>
    <n v="39901"/>
    <s v="BARRIO MACHANGARA POPAYAN"/>
    <n v="34325252"/>
    <s v="8339733"/>
    <s v="3163838803"/>
    <s v="3163838803"/>
    <s v="TV 9 N 4 N 125 LC 28"/>
    <s v="2.4508895"/>
    <s v="-76.6084662"/>
    <s v="CAUCA"/>
    <s v="POPAYÁN"/>
    <s v="POPAYÁN"/>
    <n v="19001"/>
    <s v="2025-09-08"/>
    <n v="1"/>
    <s v="CALI"/>
    <x v="3"/>
    <n v="37313"/>
    <n v="37313"/>
  </r>
  <r>
    <n v="66926"/>
    <s v="BARRIO 8 DE DICIEMBRE CUCUTA"/>
    <n v="1090374864"/>
    <s v="3144407351"/>
    <s v="3208500442"/>
    <s v="3208500442"/>
    <s v="CL 14 NRO 13AN 95 BR 8 DE DICIEMBRE"/>
    <s v="7.9175325"/>
    <s v="-72.5080080"/>
    <s v="NORTE DE SANTANDER"/>
    <s v="CÚCUTA"/>
    <s v="CÚCUTA"/>
    <n v="54001"/>
    <s v="2025-09-08"/>
    <n v="1"/>
    <s v="CUCUTA"/>
    <x v="4"/>
    <n v="49671.7"/>
    <n v="49671.7"/>
  </r>
  <r>
    <n v="66937"/>
    <s v="BARRIO URBANIZACION MODELIA I IBAGUE"/>
    <n v="38362522"/>
    <s v="0"/>
    <s v="3186458186"/>
    <s v="3178459840"/>
    <s v="MZ 108 CASA 20,URBANIZACION MODELIA I"/>
    <s v="4.4495555"/>
    <s v="-75.1357307"/>
    <s v="TOLIMA"/>
    <s v="IBAGUÉ"/>
    <s v="IBAGUÉ"/>
    <n v="73001"/>
    <s v="2025-09-08"/>
    <n v="1"/>
    <s v="IBAGUE"/>
    <x v="1"/>
    <n v="49671.7"/>
    <n v="49671.7"/>
  </r>
  <r>
    <n v="68539"/>
    <s v="BARRIO CENTRO IBAGUE 43"/>
    <n v="39789941"/>
    <s v="0"/>
    <s v="3014150210"/>
    <s v="3014150210"/>
    <s v="CR 4 # 10-28,CENTRO"/>
    <s v="4.445289"/>
    <s v="-75.241472"/>
    <s v="TOLIMA"/>
    <s v="IBAGUÉ"/>
    <s v="IBAGUÉ"/>
    <n v="73001"/>
    <s v="2025-09-08"/>
    <n v="1"/>
    <s v="IBAGUE"/>
    <x v="1"/>
    <n v="49671.7"/>
    <n v="49671.7"/>
  </r>
  <r>
    <n v="46754"/>
    <s v="BARRIO ANCON IBAGUE 1"/>
    <n v="93374267"/>
    <s v="2625789"/>
    <s v="3132785743"/>
    <s v="3132785743"/>
    <s v="CR 12 # 16 A - 03,ANCÓN"/>
    <s v="4.451117"/>
    <s v="-75.234438 "/>
    <s v="TOLIMA"/>
    <s v="IBAGUÉ"/>
    <s v="IBAGUÉ"/>
    <n v="73001"/>
    <s v="2025-09-08"/>
    <n v="1"/>
    <s v="IBAGUE"/>
    <x v="1"/>
    <n v="49671.7"/>
    <n v="49671.7"/>
  </r>
  <r>
    <n v="50986"/>
    <s v="BARRIO ANTONIO RICAURTE VILLAVICENCIO 1"/>
    <n v="1121860495"/>
    <s v="0"/>
    <s v="3144062904"/>
    <s v="3144062904"/>
    <s v="CR 25 NRO. 25 E 30 34 ANTONIO RICAURTE"/>
    <s v="4.143831"/>
    <s v="-73.627144"/>
    <s v="META"/>
    <s v="VILLAVICENCIO"/>
    <s v="VILLAVICENCIO"/>
    <n v="50001"/>
    <s v="2025-09-08"/>
    <n v="1"/>
    <s v="VILLAVICENCIO"/>
    <x v="1"/>
    <n v="49671.7"/>
    <n v="49671.7"/>
  </r>
  <r>
    <n v="37463"/>
    <s v="BARRIO BELLANITA BELLO"/>
    <n v="43927215"/>
    <m/>
    <s v="3217764450"/>
    <s v="3217764450"/>
    <s v=" CL 63 59 22 BELLANITA"/>
    <s v="6.343780000"/>
    <s v="-75.5641894"/>
    <s v="ANTIOQUIA"/>
    <s v="BELLO"/>
    <s v="BELLO"/>
    <n v="5088"/>
    <s v="2025-09-08"/>
    <n v="1"/>
    <s v="MEDELLIN"/>
    <x v="0"/>
    <n v="37313"/>
    <n v="37313"/>
  </r>
  <r>
    <n v="66444"/>
    <s v="BARRIO JARDIN I ETAPA IBAGUE"/>
    <n v="1110490393"/>
    <s v="0"/>
    <s v="3115365180"/>
    <s v="3115365180"/>
    <s v="CL 76 # 4B - 36,JARDIN I ETAPA"/>
    <s v="4.439800"/>
    <s v="-75.183775"/>
    <s v="TOLIMA"/>
    <s v="IBAGUÉ"/>
    <s v="IBAGUÉ"/>
    <n v="73001"/>
    <s v="2025-09-08"/>
    <n v="1"/>
    <s v="IBAGUE"/>
    <x v="1"/>
    <n v="49671.7"/>
    <n v="49671.7"/>
  </r>
  <r>
    <n v="68960"/>
    <s v="BARRIO LA SIERRA BARRANQUILLA"/>
    <n v="1129579045"/>
    <s v="3215921067"/>
    <s v="0"/>
    <s v="3042432244"/>
    <s v="CL 55 A 5 A 1 223,LA SIERRA"/>
    <s v="10.94696"/>
    <s v="-74.81277"/>
    <s v="ATLÁNTICO"/>
    <s v="BARRANQUILLA"/>
    <s v="BARRANQUILLA"/>
    <n v="8001"/>
    <s v="2025-09-08"/>
    <n v="1"/>
    <s v="BARRANQUILLA"/>
    <x v="5"/>
    <n v="37313"/>
    <n v="37313"/>
  </r>
  <r>
    <n v="69076"/>
    <s v="BARRIO PANDIACO PASTO  2"/>
    <n v="1085295821"/>
    <s v="0"/>
    <s v="3014039434"/>
    <s v="3014039434"/>
    <s v="CARRERA 44 CALLE 18 A 55 PANDIACO,PANDIACO"/>
    <s v="1.2300320"/>
    <s v="-77.2883241"/>
    <s v="NARIÑO"/>
    <s v="PASTO"/>
    <s v="SAN JUAN DE PASTO"/>
    <n v="52001"/>
    <s v="2025-09-08"/>
    <n v="2"/>
    <s v="PASTO"/>
    <x v="3"/>
    <n v="49671.7"/>
    <n v="99343.4"/>
  </r>
  <r>
    <n v="69641"/>
    <s v="BARRIO PATIO BONITO BOGOTA 23"/>
    <n v="88186278"/>
    <s v="3212351798"/>
    <s v="3212351798"/>
    <s v="3212351798"/>
    <s v="CALLE 5 A N 87 A 97,PATIO BONITO"/>
    <s v="4.6421818"/>
    <s v="-74.1591558 "/>
    <s v="CUNDINAMARCA"/>
    <s v="BOGOTÁ"/>
    <s v="BOGOTÁ"/>
    <n v="11001"/>
    <s v="2025-09-08"/>
    <n v="1"/>
    <s v="BOGOTA"/>
    <x v="2"/>
    <n v="37313"/>
    <n v="37313"/>
  </r>
  <r>
    <n v="69892"/>
    <s v="BARRIO HACIENDA LA MIEL IBAGUE 1"/>
    <n v="1110570710"/>
    <s v="3209008180"/>
    <s v="3209008180"/>
    <s v="3209008180"/>
    <s v="CA 49 A LOCAL 103,HACIENDA LA MIEL"/>
    <s v="4.3633343"/>
    <s v="-75.1021232"/>
    <s v="TOLIMA"/>
    <s v="IBAGUÉ"/>
    <s v="IBAGUÉ"/>
    <n v="73001"/>
    <s v="2025-09-08"/>
    <n v="1"/>
    <s v="IBAGUE"/>
    <x v="1"/>
    <n v="49671.7"/>
    <n v="49671.7"/>
  </r>
  <r>
    <n v="71300"/>
    <s v="BARRIO LA SIERRA BARRANQUILLA 1"/>
    <n v="1045678812"/>
    <s v="3017489887"/>
    <s v="3017489887"/>
    <s v="3017489887"/>
    <s v="CR 6 65-44,LA SIERRA"/>
    <s v="10.94734"/>
    <s v="-74.81649"/>
    <s v="ATLÁNTICO"/>
    <s v="BARRANQUILLA"/>
    <s v="BARRANQUILLA"/>
    <n v="8001"/>
    <s v="2025-09-08"/>
    <n v="1"/>
    <s v="BARRANQUILLA"/>
    <x v="5"/>
    <n v="37313"/>
    <n v="37313"/>
  </r>
  <r>
    <n v="72002"/>
    <s v="BOGOTA VIILAS DEL DORADO"/>
    <n v="1069053350"/>
    <s v="3193264524"/>
    <s v="3193264524"/>
    <s v="3193264524"/>
    <s v="CL 64 A 111 B 04"/>
    <s v="4.631540"/>
    <s v="-74.108904"/>
    <s v="CUNDINAMARCA"/>
    <s v="BOGOTÁ"/>
    <s v="BOGOTÁ"/>
    <n v="11001"/>
    <s v="2025-09-08"/>
    <n v="1"/>
    <s v="BOGOTA"/>
    <x v="2"/>
    <n v="37313"/>
    <n v="37313"/>
  </r>
  <r>
    <n v="37568"/>
    <s v="BARRIO CAICEDO MEDELLIN 1"/>
    <n v="3379482"/>
    <s v="2216512"/>
    <s v="3104068980"/>
    <s v="3104068980"/>
    <s v=" CL 55 F 4 A 05 CAICEDO"/>
    <s v="6.2362888"/>
    <s v="-75.5304175"/>
    <s v="ANTIOQUIA"/>
    <s v="MEDELLÍN"/>
    <s v="MEDELLÍN"/>
    <n v="5001"/>
    <s v="2025-09-08"/>
    <n v="1"/>
    <s v="MEDELLIN"/>
    <x v="0"/>
    <n v="37313"/>
    <n v="37313"/>
  </r>
  <r>
    <n v="71422"/>
    <s v="BARRIO SAN CRISTOBAL SUR  BOGOTA"/>
    <n v="51569929"/>
    <s v="3213568632"/>
    <s v="3213568632"/>
    <s v="3213568632"/>
    <s v="CALLE 47 SUR 6 11 ESTE,SAN CRISTOBAL SUR"/>
    <s v="4.5422674"/>
    <s v="-74.0931711"/>
    <s v="CUNDINAMARCA"/>
    <s v="BOGOTÁ"/>
    <s v="BOGOTÁ"/>
    <n v="11001"/>
    <s v="2025-09-08"/>
    <n v="1"/>
    <s v="BOGOTA"/>
    <x v="2"/>
    <n v="37313"/>
    <n v="37313"/>
  </r>
  <r>
    <n v="72059"/>
    <s v="CUCUTA CLARET"/>
    <n v="1093764571"/>
    <s v="3228335949"/>
    <s v="3102118960"/>
    <s v="3102118960"/>
    <s v="MZ 16 LT 1 IV ETAPA BR CLARET LC 3,CLARET"/>
    <s v="7.9164642"/>
    <s v="-72.5281069"/>
    <s v="NORTE DE SANTANDER"/>
    <s v="CÚCUTA"/>
    <s v="CÚCUTA"/>
    <n v="54001"/>
    <s v="2025-09-08"/>
    <n v="1"/>
    <s v="CUCUTA"/>
    <x v="4"/>
    <n v="49671.7"/>
    <n v="49671.7"/>
  </r>
  <r>
    <n v="72047"/>
    <s v="VILLAVICENCIO DELIRIO COVISAN"/>
    <n v="86067298"/>
    <s v="3143318319"/>
    <s v="3123416624"/>
    <s v="3123416624"/>
    <s v="CR 18 ESTE43 - 74 - DELIRIO COVISAN,DELIRIO COVISAN"/>
    <s v="4.145183"/>
    <s v="-73.584328"/>
    <s v="META"/>
    <s v="VILLAVICENCIO"/>
    <s v="VILLAVICENCIO"/>
    <n v="50001"/>
    <s v="2025-09-08"/>
    <n v="1"/>
    <s v="VILLAVICENCIO"/>
    <x v="1"/>
    <n v="49671.7"/>
    <n v="49671.7"/>
  </r>
  <r>
    <n v="76053"/>
    <s v="BARRIO PORVENIR VILLAVICENCIO 10"/>
    <n v="900418346"/>
    <s v="3112106410"/>
    <s v="3164820635"/>
    <s v="3164820635"/>
    <s v="CR 31 31 45 BRR PORVENIR,PORVENIR"/>
    <s v="4.145240"/>
    <s v="-73.633608"/>
    <s v="META"/>
    <s v="VILLAVICENCIO"/>
    <s v="VILLAVICENCIO"/>
    <n v="50001"/>
    <s v="2025-09-08"/>
    <n v="1"/>
    <s v="VILLAVICENCIO"/>
    <x v="1"/>
    <n v="49671.7"/>
    <n v="49671.7"/>
  </r>
  <r>
    <n v="70905"/>
    <s v="_x0009_VILLATINA"/>
    <n v="22133063"/>
    <s v="3188393310"/>
    <s v="3127982755"/>
    <s v="3188393310"/>
    <s v="CL  56 B  16-35"/>
    <s v="6.2396403"/>
    <s v="-75.5392389"/>
    <s v="ANTIOQUIA"/>
    <s v="MEDELLÍN"/>
    <s v="MEDELLÍN"/>
    <n v="5001"/>
    <s v="2025-09-08"/>
    <n v="1"/>
    <s v="MEDELLIN"/>
    <x v="0"/>
    <n v="37313"/>
    <n v="37313"/>
  </r>
  <r>
    <n v="71377"/>
    <s v="BARRIO CENTRO BARRANQUILLA"/>
    <n v="5771332"/>
    <s v="3152270398"/>
    <s v="3152270398"/>
    <s v="3152270398"/>
    <s v="CR 43 9 Y 10 LC 446"/>
    <s v="10.98123"/>
    <s v="-74.77411"/>
    <s v="ATLÁNTICO"/>
    <s v="BARRANQUILLA"/>
    <s v="BARRANQUILLA"/>
    <n v="8001"/>
    <s v="2025-09-08"/>
    <n v="1"/>
    <s v="BARRANQUILLA"/>
    <x v="5"/>
    <n v="37313"/>
    <n v="37313"/>
  </r>
  <r>
    <n v="70305"/>
    <s v="BARRIO LOMAS DE GRANADA POPAYAN 6"/>
    <n v="1061784088"/>
    <s v="3137380143"/>
    <s v="3137380143"/>
    <s v="3137391214"/>
    <s v="CL 4 NRO. 56 -104 - LOMAS DE GRANADA"/>
    <s v="2.4589496"/>
    <s v="-76.6449716"/>
    <s v="CAUCA"/>
    <s v="POPAYÁN"/>
    <s v="POPAYÁN"/>
    <n v="19001"/>
    <s v="2025-09-08"/>
    <n v="2"/>
    <s v="CALI"/>
    <x v="3"/>
    <n v="37313"/>
    <n v="74626"/>
  </r>
  <r>
    <n v="70450"/>
    <s v="BARRIO UNA CUADRA ARRIBA DEL PARQUE LA ESTRELLA"/>
    <n v="1040736315"/>
    <s v="6046180001"/>
    <s v="3013977812"/>
    <s v="3013977812"/>
    <s v="CARRERA 61 81 SUR 66,UNA CUADRA ARRIBA DEL PARQUE"/>
    <s v="6.1569078"/>
    <s v="-75.6440314"/>
    <s v="ANTIOQUIA"/>
    <s v="LA ESTRELLA"/>
    <s v="LA ESTRELLA"/>
    <n v="5380"/>
    <s v="2025-09-08"/>
    <n v="1"/>
    <s v="MEDELLIN"/>
    <x v="0"/>
    <n v="37313"/>
    <n v="37313"/>
  </r>
  <r>
    <n v="64802"/>
    <s v="BARRIO NUEVA FLORESTA CALI 8"/>
    <n v="16788802"/>
    <s v="3711933"/>
    <s v="3166954776"/>
    <s v="3166954776"/>
    <s v="CL 57 24 C 05,NUEVA FLORESTA"/>
    <s v="3.4398717"/>
    <s v="-76.4950710"/>
    <s v="VALLE DEL CAUCA"/>
    <s v="CALI"/>
    <s v="SANTIAGO DE CALI"/>
    <n v="76001"/>
    <s v="2025-09-08"/>
    <n v="1"/>
    <s v="CALI"/>
    <x v="3"/>
    <n v="37313"/>
    <n v="37313"/>
  </r>
  <r>
    <n v="65204"/>
    <s v="BARRIO BUENOS AIRES BELLO 1"/>
    <n v="15453133"/>
    <s v="0"/>
    <s v="3146190085"/>
    <s v="3147667873"/>
    <s v="CALLE 62 57 02,BUENOS AIRES"/>
    <s v="6.3430266"/>
    <s v="-75.5630468"/>
    <s v="ANTIOQUIA"/>
    <s v="BELLO"/>
    <s v="BELLO"/>
    <n v="5088"/>
    <s v="2025-09-08"/>
    <n v="1"/>
    <s v="MEDELLIN"/>
    <x v="0"/>
    <n v="37313"/>
    <n v="37313"/>
  </r>
  <r>
    <n v="73740"/>
    <s v="BARRIO CASTILLA IMPERIAL BOGOTA "/>
    <n v="52098804"/>
    <s v="3102908774"/>
    <s v="3102908774"/>
    <s v="3213609686"/>
    <s v="CL 8 86 65 TO 1 AP 108.CASTILLA IMPERIAL"/>
    <s v="4.6465502"/>
    <s v="-74.1517116"/>
    <s v="CUNDINAMARCA"/>
    <s v="BOGOTÁ"/>
    <s v="BOGOTÁ"/>
    <n v="11001"/>
    <s v="2025-09-08"/>
    <n v="1"/>
    <s v="BOGOTA"/>
    <x v="2"/>
    <n v="37313"/>
    <n v="37313"/>
  </r>
  <r>
    <n v="70451"/>
    <s v="la estrella antioquia 1"/>
    <n v="1038408180"/>
    <s v="3136385337"/>
    <s v="3205124902"/>
    <s v="3205124902"/>
    <s v="CALLE 77 SUR 60 22,LA ESTRELLA"/>
    <s v="6.1597492"/>
    <s v="-75.6429814"/>
    <s v="ANTIOQUIA"/>
    <s v="LA ESTRELLA"/>
    <s v="LA ESTRELLA"/>
    <n v="5380"/>
    <s v="2025-09-08"/>
    <n v="1"/>
    <s v="MEDELLIN"/>
    <x v="0"/>
    <n v="37313"/>
    <n v="37313"/>
  </r>
  <r>
    <n v="70497"/>
    <s v="BARRIO AY MI LLANURA VILLAVICENCIO 10"/>
    <n v="1121932221"/>
    <s v="3213647656"/>
    <s v="3213647956"/>
    <s v="3212324787"/>
    <s v="CR 7 8 - 20 MZ 13 CA 7 - AY MI LLANURA,AY MI LLANURA"/>
    <s v="4.1310083"/>
    <s v="-73.6085600"/>
    <s v="META"/>
    <s v="VILLAVICENCIO"/>
    <s v="VILLAVICENCIO"/>
    <n v="50001"/>
    <s v="2025-09-08"/>
    <n v="1"/>
    <s v="VILLAVICENCIO"/>
    <x v="1"/>
    <n v="49671.7"/>
    <n v="49671.7"/>
  </r>
  <r>
    <n v="78246"/>
    <s v="BARRIO LAS MARGARITAS CUCUTA 1"/>
    <n v="1007283032"/>
    <s v="3235000989"/>
    <s v="3054226016"/>
    <s v="3054226016"/>
    <s v="CL 12A NRO 29 03,LAS MARGARITAS"/>
    <s v="7.8857280"/>
    <s v="-72.4630442"/>
    <s v="NORTE DE SANTANDER"/>
    <s v="CÚCUTA"/>
    <s v="CÚCUTA"/>
    <n v="54001"/>
    <s v="2025-09-08"/>
    <n v="1"/>
    <s v="CUCUTA"/>
    <x v="4"/>
    <n v="49671.7"/>
    <n v="49671.7"/>
  </r>
  <r>
    <n v="72658"/>
    <s v="SANTA RITA ORIENTAL BOGOTA"/>
    <n v="1023942328"/>
    <s v="3103021922"/>
    <s v="3103021922"/>
    <s v="3103021922"/>
    <s v="CALLE 48 SUR 5 37 ESTE,SANTA RITA ORIENTAL"/>
    <s v="4.5413521"/>
    <s v="-74.0934641"/>
    <s v="CUNDINAMARCA"/>
    <s v="BOGOTÁ"/>
    <s v="BOGOTÁ"/>
    <n v="11001"/>
    <s v="2025-09-08"/>
    <n v="1"/>
    <s v="BOGOTA"/>
    <x v="2"/>
    <n v="37313"/>
    <n v="37313"/>
  </r>
  <r>
    <n v="71678"/>
    <s v="CUCUTA  CONDOMINIO"/>
    <n v="1093763187"/>
    <s v="3228839792"/>
    <s v="3228839792"/>
    <s v="3228839792"/>
    <s v="AV 16 E NRO. 7N - 51 CASA 49,CONDOMINIO CONDADO DE CASTILLA"/>
    <s v="7.9072665"/>
    <s v="-72.4865454"/>
    <s v="NORTE DE SANTANDER"/>
    <s v="CÚCUTA"/>
    <s v="CÚCUTA"/>
    <n v="54001"/>
    <s v="2025-09-08"/>
    <n v="1"/>
    <s v="CUCUTA"/>
    <x v="4"/>
    <n v="49671.7"/>
    <n v="49671.7"/>
  </r>
  <r>
    <n v="67824"/>
    <s v="BARRIO ZULIMA CUCUTA "/>
    <n v="1232588648"/>
    <s v="3148279671"/>
    <s v="3148279671"/>
    <s v="3012628264"/>
    <s v="AV 11 E 15 N 14 ET. 4 URB ZULIMA,ZULIMA"/>
    <s v="7.91421225"/>
    <s v="-72.49357741"/>
    <s v="NORTE DE SANTANDER"/>
    <s v="CÚCUTA"/>
    <s v="CÚCUTA"/>
    <n v="54001"/>
    <s v="2025-09-08"/>
    <n v="1"/>
    <s v="CUCUTA"/>
    <x v="4"/>
    <n v="49671.7"/>
    <n v="49671.7"/>
  </r>
  <r>
    <n v="68303"/>
    <s v="JUNIN CALI VALLE"/>
    <n v="1151942606"/>
    <s v="3104709552"/>
    <s v="3105334579"/>
    <s v="3105334579"/>
    <s v="CL 13 23 D 100,JUNIN"/>
    <s v="3.4321643"/>
    <s v="-76.5275748"/>
    <s v="VALLE DEL CAUCA"/>
    <s v="CALI"/>
    <s v="SANTIAGO DE CALI"/>
    <n v="76001"/>
    <s v="2025-09-08"/>
    <n v="1"/>
    <s v="CALI"/>
    <x v="3"/>
    <n v="37313"/>
    <n v="37313"/>
  </r>
  <r>
    <n v="75949"/>
    <s v="BARRIO GUAYABAL MEDELLIN 11"/>
    <n v="1000654725"/>
    <s v="0"/>
    <s v="3218769325"/>
    <s v="3011305622"/>
    <s v="CR 52 7 109,GUAYABAL"/>
    <s v="6.2136219"/>
    <s v="-75.5826891"/>
    <s v="ANTIOQUIA"/>
    <s v="MEDELLÍN"/>
    <s v="MEDELLÍN"/>
    <n v="5001"/>
    <s v="2025-09-08"/>
    <n v="1"/>
    <s v="MEDELLIN"/>
    <x v="0"/>
    <n v="37313"/>
    <n v="37313"/>
  </r>
  <r>
    <n v="76119"/>
    <s v="BARRIO PORTALES DE  ALICANTE CARTAGENA DE NDIAS"/>
    <n v="22803783"/>
    <s v="3166209192"/>
    <s v="3166209192"/>
    <s v="3166209192"/>
    <s v="CONJ 3 BL 2 AP 111 EL POZON,PORTALES DE ALICANTE"/>
    <s v="10.4045561"/>
    <s v="-75.4593936"/>
    <s v="BOLÍVAR"/>
    <s v="CARTAGENA DE INDIAS"/>
    <s v="CARTAGENA DE INDIAS"/>
    <n v="13001"/>
    <s v="2025-09-08"/>
    <n v="1"/>
    <s v="CARTAGENA"/>
    <x v="5"/>
    <n v="49671.7"/>
    <n v="49671.7"/>
  </r>
  <r>
    <n v="72948"/>
    <s v="BARRIO CAICEDO MEDELLIN 11"/>
    <n v="1017179595"/>
    <s v="3225623061"/>
    <s v="3225623061"/>
    <s v="3225623061"/>
    <s v="CALLE 56 18 06,CAICEDO"/>
    <s v="6.2387624"/>
    <s v="-75.5428418"/>
    <s v="ANTIOQUIA"/>
    <s v="MEDELLÍN"/>
    <s v="MEDELLÍN"/>
    <n v="5001"/>
    <s v="2025-09-08"/>
    <n v="1"/>
    <s v="MEDELLIN"/>
    <x v="0"/>
    <n v="37313"/>
    <n v="37313"/>
  </r>
  <r>
    <n v="80293"/>
    <s v="BARRIO EL RECUERDO POPAYAN 5"/>
    <n v="1002778421"/>
    <s v="3188433132"/>
    <s v="3188433132"/>
    <m/>
    <s v="CR 7 17N 26 EL RECUERDO,EL RECUERDO"/>
    <s v="2.4531325"/>
    <s v="-76.5979003"/>
    <s v="CAUCA"/>
    <s v="POPAYÁN"/>
    <s v="POPAYÁN"/>
    <n v="19001"/>
    <s v="2025-09-08"/>
    <n v="1"/>
    <s v="CALI"/>
    <x v="3"/>
    <n v="37313"/>
    <n v="37313"/>
  </r>
  <r>
    <n v="73544"/>
    <s v="BARRIO SAN LUIS II CALI "/>
    <n v="66877045"/>
    <s v="3128612056"/>
    <s v="3128612056"/>
    <s v="3128612056"/>
    <s v="CL 72 A  1 A2 - 03,SAN LUIS II"/>
    <s v="3.4895377"/>
    <s v="-76.4894196"/>
    <s v="VALLE DEL CAUCA"/>
    <s v="CALI"/>
    <s v="SANTIAGO DE CALI"/>
    <n v="76001"/>
    <s v="2025-09-08"/>
    <n v="1"/>
    <s v="CALI"/>
    <x v="3"/>
    <n v="37313"/>
    <n v="37313"/>
  </r>
  <r>
    <n v="73061"/>
    <s v="BARRIO LA FLORESTA PASTO 1"/>
    <n v="1085258765"/>
    <s v="3104451078"/>
    <s v="3104451078"/>
    <s v="3104451078"/>
    <s v="MANZANA 5 CASA 6 - LA FLORESTA,LA FLORESTA"/>
    <s v="1.2279302"/>
    <s v="-77.2669080"/>
    <s v="NARIÑO"/>
    <s v="PASTO"/>
    <s v="SAN JUAN DE PASTO"/>
    <n v="52001"/>
    <s v="2025-09-08"/>
    <n v="2"/>
    <s v="PASTO"/>
    <x v="3"/>
    <n v="49671.7"/>
    <n v="99343.4"/>
  </r>
  <r>
    <n v="64403"/>
    <s v="BARRIO CARRIZAL BARRANQUILLA 4"/>
    <n v="1140867134"/>
    <s v="3138100709"/>
    <s v="3158072584"/>
    <s v="3115802584"/>
    <s v="CR 2 50 47,CARRIZAL"/>
    <s v="10.93413"/>
    <s v="-74.80790"/>
    <s v="ATLÁNTICO"/>
    <s v="BARRANQUILLA"/>
    <s v="BARRANQUILLA"/>
    <n v="8001"/>
    <s v="2025-09-08"/>
    <n v="1"/>
    <s v="BARRANQUILLA"/>
    <x v="5"/>
    <n v="37313"/>
    <n v="37313"/>
  </r>
  <r>
    <n v="65244"/>
    <s v="BARRIO AY MI LLANURA VILLAVICENCIO 8"/>
    <n v="1121818430"/>
    <s v="3138651087"/>
    <s v="3138651087"/>
    <s v="3212033588"/>
    <s v="CL 8 NO. 9 - 21 AY MI LLANURA,AY MI LLANURA"/>
    <s v="4.1024117"/>
    <s v="-73.6221687"/>
    <s v="META"/>
    <s v="VILLAVICENCIO"/>
    <s v="VILLAVICENCIO"/>
    <n v="50001"/>
    <s v="2025-09-08"/>
    <n v="1"/>
    <s v="VILLAVICENCIO"/>
    <x v="1"/>
    <n v="49671.7"/>
    <n v="49671.7"/>
  </r>
  <r>
    <n v="74113"/>
    <s v="BARRIO SAN LUIS BARRANQUILLA  2"/>
    <n v="1143258122"/>
    <s v="3186044811"/>
    <s v="3186044811"/>
    <s v="3186044811"/>
    <s v="CL 107 2 SUR - 63,SAN LUIS"/>
    <s v="10.93436"/>
    <s v="-74.83327"/>
    <s v="ATLÁNTICO"/>
    <s v="BARRANQUILLA"/>
    <s v="BARRANQUILLA"/>
    <n v="8001"/>
    <s v="2025-09-08"/>
    <n v="1"/>
    <s v="BARRANQUILLA"/>
    <x v="5"/>
    <n v="37313"/>
    <n v="37313"/>
  </r>
  <r>
    <n v="74146"/>
    <s v="BARRIO CORREGIMIENTO PASACABALLO CARTAGENA DE INDIAS"/>
    <n v="901649039"/>
    <s v="3004788474"/>
    <s v="3004788474"/>
    <s v="3004788474"/>
    <s v="CL 17-9-5,CORREGIMIENTO PASACABALLO"/>
    <s v="10.2851684"/>
    <s v="-75.5190810"/>
    <s v="BOLÍVAR"/>
    <s v="CARTAGENA DE INDIAS"/>
    <s v="CARTAGENA DE INDIAS"/>
    <n v="13001"/>
    <s v="2025-09-08"/>
    <n v="1"/>
    <s v="CARTAGENA"/>
    <x v="5"/>
    <n v="49671.7"/>
    <n v="49671.7"/>
  </r>
  <r>
    <n v="74279"/>
    <s v="BARRIO EL LLANO CUCUTA 15"/>
    <n v="1090415091"/>
    <s v="3204750475"/>
    <s v="3204750475"/>
    <s v="3124043413"/>
    <s v="AV 9 8 90,EL LLANO"/>
    <s v="7.8872595"/>
    <s v="-72.5081491"/>
    <s v="NORTE DE SANTANDER"/>
    <s v="CÚCUTA"/>
    <s v="CÚCUTA"/>
    <n v="54001"/>
    <s v="2025-09-08"/>
    <n v="1"/>
    <s v="CUCUTA"/>
    <x v="4"/>
    <n v="49671.7"/>
    <n v="49671.7"/>
  </r>
  <r>
    <n v="74254"/>
    <s v="BARRIO BOLIVAR POPAYAN 5"/>
    <n v="1061532130"/>
    <s v="3116606526"/>
    <s v="3122698569"/>
    <s v="3116606526"/>
    <s v="CR 6  7N - 07 BRR BOLÍVAR"/>
    <s v="2.4498746"/>
    <s v="-76.6010512"/>
    <s v="CAUCA"/>
    <s v="POPAYÁN"/>
    <s v="POPAYÁN"/>
    <n v="19001"/>
    <s v="2025-09-08"/>
    <n v="1"/>
    <s v="CALI"/>
    <x v="3"/>
    <n v="37313"/>
    <n v="37313"/>
  </r>
  <r>
    <n v="74797"/>
    <s v="BARRIO RICAURTE PARTE BAJA IBAGUE 3"/>
    <n v="65759683"/>
    <s v="3112683696"/>
    <s v="3112683696"/>
    <s v="3112683696"/>
    <s v="CL 21 A 13 33,RICAURTE PARTE BAJA"/>
    <s v="4.4289133"/>
    <s v="-75.2446500"/>
    <s v="TOLIMA"/>
    <s v="IBAGUÉ"/>
    <s v="IBAGUÉ"/>
    <n v="73001"/>
    <s v="2025-09-08"/>
    <n v="1"/>
    <s v="IBAGUE"/>
    <x v="1"/>
    <n v="49671.7"/>
    <n v="49671.7"/>
  </r>
  <r>
    <n v="75029"/>
    <s v="BARRIO TRISTE MEDELLIN 6"/>
    <n v="39424134"/>
    <s v="3168263744"/>
    <s v="3042935131"/>
    <s v="3168263744"/>
    <s v="CARRERA 58 45 20,TRISTE"/>
    <s v="6.2482801"/>
    <s v="-75.5762403"/>
    <s v="ANTIOQUIA"/>
    <s v="MEDELLÍN"/>
    <s v="MEDELLÍN"/>
    <n v="5001"/>
    <s v="2025-09-08"/>
    <n v="1"/>
    <s v="MEDELLIN"/>
    <x v="0"/>
    <n v="37313"/>
    <n v="37313"/>
  </r>
  <r>
    <n v="78449"/>
    <s v="BARRIO EL VALLADO CALI 2"/>
    <n v="1058973760"/>
    <s v="3146569821"/>
    <s v="3146569821"/>
    <s v="3146569821"/>
    <s v="CL 50 40C 16,EL VALLADO"/>
    <s v="3.4074078"/>
    <s v="-76.5021814"/>
    <s v="VALLE DEL CAUCA"/>
    <s v="CALI"/>
    <s v="SANTIAGO DE CALI"/>
    <n v="76001"/>
    <s v="2025-09-08"/>
    <n v="1"/>
    <s v="CALI"/>
    <x v="3"/>
    <n v="37313"/>
    <n v="37313"/>
  </r>
  <r>
    <n v="79042"/>
    <s v="BARRIO SABANAS DEL DORADO BOGOTA 4"/>
    <n v="46679136"/>
    <s v="3108578237"/>
    <s v="3104286986"/>
    <s v="3108578237"/>
    <s v="CL 63 H 119 - 23 ,SABANAS DEL DORADO"/>
    <s v="4.7118231"/>
    <s v="-74.1421777"/>
    <s v="CUNDINAMARCA"/>
    <s v="BOGOTÁ"/>
    <s v="BOGOTÁ"/>
    <n v="11001"/>
    <s v="2025-09-08"/>
    <n v="1"/>
    <s v="BOGOTA"/>
    <x v="2"/>
    <n v="37313"/>
    <n v="37313"/>
  </r>
  <r>
    <n v="75520"/>
    <s v="BARRIO VENTILADOR NEIVA 1"/>
    <n v="1081416528"/>
    <s v="3123084697"/>
    <s v="3123084697"/>
    <s v="3123084697"/>
    <s v="CL 2 19 - 45,VENTILADOR"/>
    <s v="2.923633"/>
    <s v="-75.274153"/>
    <s v="HUILA"/>
    <s v="NEIVA"/>
    <s v="NEIVA"/>
    <n v="41001"/>
    <s v="2025-09-08"/>
    <n v="1"/>
    <s v="NEIVA"/>
    <x v="1"/>
    <n v="49671.7"/>
    <n v="49671.7"/>
  </r>
  <r>
    <n v="75834"/>
    <s v="BARRIO SANTA CLARA PASTO 1"/>
    <n v="27232721"/>
    <s v="3102379116"/>
    <s v="3235980277"/>
    <s v="3167434284"/>
    <s v="DG 16 5E 38 BR MIRAFLORES II ETAPA"/>
    <s v="1.1938096"/>
    <s v="-77.2734785"/>
    <s v="NARIÑO"/>
    <s v="PASTO"/>
    <s v="SAN JUAN DE PASTO"/>
    <n v="52001"/>
    <s v="2025-09-08"/>
    <n v="1"/>
    <s v="PASTO"/>
    <x v="3"/>
    <n v="49671.7"/>
    <n v="49671.7"/>
  </r>
  <r>
    <n v="78553"/>
    <s v="BARRIO MIRAFLORES 1 PASTO"/>
    <n v="27094693"/>
    <s v="3156469341"/>
    <s v="3113689229"/>
    <s v="3156469341"/>
    <s v="CR 2 E 16 D 36 MIRAFLORES I,MIRAFLORES 1"/>
    <s v="1.1946392"/>
    <s v="-77.2661041"/>
    <s v="NARIÑO"/>
    <s v="PASTO"/>
    <s v="SAN JUAN DE PASTO"/>
    <n v="52001"/>
    <s v="2025-09-08"/>
    <n v="1"/>
    <s v="PASTO"/>
    <x v="3"/>
    <n v="49671.7"/>
    <n v="49671.7"/>
  </r>
  <r>
    <n v="74213"/>
    <s v="BARRIO BARZAL VILLAVICENCIO 19"/>
    <n v="40186535"/>
    <s v="3229047610"/>
    <s v="3229047610"/>
    <s v="3104929272"/>
    <s v="CL 33 NRO. 36 - 55 BRR BARZAL - BARZAL,BARZAL"/>
    <s v="4.144059"/>
    <s v="-73.636836"/>
    <s v="META"/>
    <s v="VILLAVICENCIO"/>
    <s v="VILLAVICENCIO"/>
    <n v="50001"/>
    <s v="2025-09-08"/>
    <n v="1"/>
    <s v="VILLAVICENCIO"/>
    <x v="1"/>
    <n v="49671.7"/>
    <n v="49671.7"/>
  </r>
  <r>
    <n v="74283"/>
    <s v="BARRIO ATALAYA  I CUCUTA"/>
    <n v="1090411021"/>
    <s v="3138703071"/>
    <s v="3138703071"/>
    <s v="3124017417"/>
    <s v="MZ L3 LOTE 1,ATALAYA I"/>
    <s v="7.9099099"/>
    <s v="-72.5278917"/>
    <s v="NORTE DE SANTANDER"/>
    <s v="CÚCUTA"/>
    <s v="CÚCUTA"/>
    <n v="54001"/>
    <s v="2025-09-08"/>
    <n v="1"/>
    <s v="CUCUTA"/>
    <x v="4"/>
    <n v="49671.7"/>
    <n v="49671.7"/>
  </r>
  <r>
    <n v="75109"/>
    <s v="BARRIO PETECUY CALI"/>
    <n v="1144192643"/>
    <s v="3202894012"/>
    <s v="3202894012"/>
    <s v="3235223907"/>
    <s v="CL 77 01 B 3 - 22,PETECUY"/>
    <s v="3.4801727"/>
    <s v="-76.4818958"/>
    <s v="VALLE DEL CAUCA"/>
    <s v="CALI"/>
    <s v="SANTIAGO DE CALI"/>
    <n v="76001"/>
    <s v="2025-09-08"/>
    <n v="1"/>
    <s v="CALI"/>
    <x v="3"/>
    <n v="37313"/>
    <n v="37313"/>
  </r>
  <r>
    <n v="79510"/>
    <s v="BARRIO URB NIZA CUCUTA  1"/>
    <n v="1243138954"/>
    <s v="3014307256"/>
    <s v="3014307256"/>
    <s v="3014307256"/>
    <s v="AV 18 E NRO 21N-07,URB NIZA"/>
    <s v="7.9208262"/>
    <s v="-72.4876616"/>
    <s v="NORTE DE SANTANDER"/>
    <s v="CÚCUTA"/>
    <s v="CÚCUTA"/>
    <n v="54001"/>
    <s v="2025-09-08"/>
    <n v="1"/>
    <s v="CUCUTA"/>
    <x v="4"/>
    <n v="49671.7"/>
    <n v="49671.7"/>
  </r>
  <r>
    <n v="79609"/>
    <s v="BARRIO VILLA ALAMOS BOGOTA"/>
    <n v="1032478299"/>
    <s v="3123206910"/>
    <s v="3218158292"/>
    <s v="3218158292"/>
    <s v="CL 70 B 111 85 ET 1 CA 15,VILLA ALAMOS"/>
    <s v="4.7081967"/>
    <s v="-74.1293078"/>
    <s v="CUNDINAMARCA"/>
    <s v="BOGOTÁ"/>
    <s v="BOGOTÁ"/>
    <n v="11001"/>
    <s v="2025-09-08"/>
    <n v="1"/>
    <s v="BOGOTA"/>
    <x v="2"/>
    <n v="37313"/>
    <n v="37313"/>
  </r>
  <r>
    <n v="74421"/>
    <s v="BARRIO BELISARIO CUCUTA"/>
    <n v="1090537470"/>
    <s v="3156217823"/>
    <s v="3156217823"/>
    <s v="3156217823"/>
    <s v="AV 9 NRO 15-60,BELISARIO"/>
    <s v="7.9023781"/>
    <s v="-72.5340682"/>
    <s v="NORTE DE SANTANDER"/>
    <s v="CÚCUTA"/>
    <s v="CÚCUTA"/>
    <n v="54001"/>
    <s v="2025-09-08"/>
    <n v="1"/>
    <s v="CUCUTA"/>
    <x v="4"/>
    <n v="49671.7"/>
    <n v="49671.7"/>
  </r>
  <r>
    <n v="75084"/>
    <s v="BARRIO BETANIA PASTO"/>
    <n v="1087425461"/>
    <s v="3027674049"/>
    <s v="3013211085"/>
    <s v="3027674049"/>
    <s v="MZ E2 CA 8 BRR NUEVA ARANDA"/>
    <s v="1.1998815"/>
    <s v="-77.2610654"/>
    <s v="NARIÑO"/>
    <s v="PASTO"/>
    <s v="SAN JUAN DE PASTO"/>
    <n v="52001"/>
    <s v="2025-09-08"/>
    <n v="1"/>
    <s v="PASTO"/>
    <x v="3"/>
    <n v="49671.7"/>
    <n v="49671.7"/>
  </r>
  <r>
    <n v="75407"/>
    <s v="BARRIO MAGDALENA CUCUTA 1"/>
    <n v="1090413027"/>
    <s v="3209474368"/>
    <s v="3223801660"/>
    <s v="3209474368"/>
    <s v="AV 20A NRO 23 28,MAGDALENA"/>
    <s v="7.8740089"/>
    <s v="-72.5212460"/>
    <s v="NORTE DE SANTANDER"/>
    <s v="CÚCUTA"/>
    <s v="CÚCUTA"/>
    <n v="54001"/>
    <s v="2025-09-08"/>
    <n v="1"/>
    <s v="CUCUTA"/>
    <x v="4"/>
    <n v="49671.7"/>
    <n v="49671.7"/>
  </r>
  <r>
    <n v="75742"/>
    <s v="BARRIO TUNA BAJA BOGOTA 1"/>
    <n v="1193461675"/>
    <s v="3142036683"/>
    <s v="3142036683"/>
    <s v="3209671597"/>
    <s v="CR 99 154 A - 05,TUNA BAJA"/>
    <s v="4.7540617"/>
    <s v="-74.0866671"/>
    <s v="CUNDINAMARCA"/>
    <s v="BOGOTÁ"/>
    <s v="BOGOTÁ"/>
    <n v="11001"/>
    <s v="2025-09-08"/>
    <n v="1"/>
    <s v="BOGOTA"/>
    <x v="2"/>
    <n v="37313"/>
    <n v="37313"/>
  </r>
  <r>
    <n v="80039"/>
    <s v="BARRIO MIRAFLORES PASTO 4"/>
    <n v="1085295378"/>
    <s v="3177807668"/>
    <s v="3177807668"/>
    <m/>
    <s v="DG 17 1 44 BRR MIRAFLORES ,MIRAFLORES"/>
    <s v="1.1952302"/>
    <s v="-77.2671824"/>
    <s v="NARIÑO"/>
    <s v="PASTO"/>
    <s v="SAN JUAN DE PASTO"/>
    <n v="52001"/>
    <s v="2025-09-08"/>
    <n v="1"/>
    <s v="PASTO"/>
    <x v="3"/>
    <n v="49671.7"/>
    <n v="49671.7"/>
  </r>
  <r>
    <n v="76780"/>
    <s v="BARRIO ANDALUCIA LA FRANCIA MEDELLIN 3"/>
    <n v="43476895"/>
    <s v="3206805623"/>
    <s v="3206805623"/>
    <s v="3206805623"/>
    <s v="CL 106 A 46 A 19,ANDALUCIA LA FRANCIA"/>
    <s v="6.2954526"/>
    <s v="-75.5521897"/>
    <s v="ANTIOQUIA"/>
    <s v="MEDELLÍN"/>
    <s v="MEDELLÍN"/>
    <n v="5001"/>
    <s v="2025-09-08"/>
    <n v="1"/>
    <s v="MEDELLIN"/>
    <x v="0"/>
    <n v="37313"/>
    <n v="37313"/>
  </r>
  <r>
    <n v="76939"/>
    <s v="BARRIO TINTAL KENNEDY BOGOTA"/>
    <n v="1233509676"/>
    <s v="3118967490"/>
    <s v="3118967490"/>
    <s v="3214477875"/>
    <s v="CL 7 90 64 LC 2.TINTAL KENNEDY"/>
    <s v="4.651724"/>
    <s v="-74.156599"/>
    <s v="CUNDINAMARCA"/>
    <s v="BOGOTÁ"/>
    <s v="BOGOTÁ"/>
    <n v="11001"/>
    <s v="2025-09-08"/>
    <n v="1"/>
    <s v="BOGOTA"/>
    <x v="2"/>
    <n v="37313"/>
    <n v="37313"/>
  </r>
  <r>
    <n v="75329"/>
    <s v="BARRIO LLERAS RESTREPO CUCUTA 8"/>
    <n v="1090372272"/>
    <s v="3108095124"/>
    <s v="3108095124"/>
    <s v="3108095124"/>
    <s v="AV 0 3-16 LC 1,LLERAS RESTREPO"/>
    <s v="7.8947374"/>
    <s v="-72.4998378"/>
    <s v="NORTE DE SANTANDER"/>
    <s v="CÚCUTA"/>
    <s v="CÚCUTA"/>
    <n v="54001"/>
    <s v="2025-09-08"/>
    <n v="1"/>
    <s v="CUCUTA"/>
    <x v="4"/>
    <n v="49671.7"/>
    <n v="49671.7"/>
  </r>
  <r>
    <n v="75615"/>
    <s v="BARRIO CUBEROS NIÑO CUCUTA  1"/>
    <n v="1090394630"/>
    <s v="3202568599"/>
    <s v="3202568599"/>
    <s v="3202568599"/>
    <s v="CL 23 NRO 10 59 LC 1,CUBEROS NIÑO"/>
    <s v="7.8752102"/>
    <s v="-72.5080785"/>
    <s v="NORTE DE SANTANDER"/>
    <s v="CÚCUTA"/>
    <s v="CÚCUTA"/>
    <n v="54001"/>
    <s v="2025-09-08"/>
    <n v="1"/>
    <s v="CUCUTA"/>
    <x v="4"/>
    <n v="49671.7"/>
    <n v="49671.7"/>
  </r>
  <r>
    <n v="79736"/>
    <s v="BARRIO SANTO DOMINGO DE GUZMAN BARRANQUILLA 1"/>
    <n v="1026268913"/>
    <s v="3214667342"/>
    <s v="3125495875"/>
    <m/>
    <s v="CL 90 5 B - 06,SANTO DOMINGO DE GUZMAN"/>
    <s v="10.9433425"/>
    <s v="-74.8240458"/>
    <s v="ATLÁNTICO"/>
    <s v="BARRANQUILLA"/>
    <s v="BARRANQUILLA"/>
    <n v="8001"/>
    <s v="2025-09-08"/>
    <n v="1"/>
    <s v="BARRANQUILLA"/>
    <x v="5"/>
    <n v="37313"/>
    <n v="37313"/>
  </r>
  <r>
    <n v="77550"/>
    <s v="BARRIO CAGUAN NEIVA 4"/>
    <n v="1075258159"/>
    <s v="3184344619"/>
    <s v="3183354302"/>
    <s v="3184344619"/>
    <s v="CL 4 1 88,CAGUAN"/>
    <s v="2.8655034"/>
    <s v="-75.2358756"/>
    <s v="HUILA"/>
    <s v="NEIVA"/>
    <s v="NEIVA"/>
    <n v="41001"/>
    <s v="2025-09-08"/>
    <n v="1"/>
    <s v="NEIVA"/>
    <x v="1"/>
    <n v="49671.7"/>
    <n v="49671.7"/>
  </r>
  <r>
    <n v="77983"/>
    <s v="BARRIO SAN BENITO VILLAVICENCIO 15"/>
    <n v="40419699"/>
    <s v="3114806515"/>
    <s v="3143933143"/>
    <s v="3143933143"/>
    <s v="CL 22 N 37 33 LC 1 SAN BENITO,SAN BENITO"/>
    <s v="4.135316"/>
    <s v="-73.632793"/>
    <s v="META"/>
    <s v="VILLAVICENCIO"/>
    <s v="VILLAVICENCIO"/>
    <n v="50001"/>
    <s v="2025-09-08"/>
    <n v="1"/>
    <s v="VILLAVICENCIO"/>
    <x v="1"/>
    <n v="49671.7"/>
    <n v="49671.7"/>
  </r>
  <r>
    <n v="77560"/>
    <s v="BARRIO MODELO POPAYAN 2"/>
    <n v="901415950"/>
    <s v="0"/>
    <s v="3217519479"/>
    <s v="3217519479"/>
    <s v="TV 9 5N 60 - OTRO NO CODIFICADO (POP),MODELO"/>
    <s v="2.4501183"/>
    <s v="-76.6084936"/>
    <s v="CAUCA"/>
    <s v="POPAYÁN"/>
    <s v="POPAYÁN"/>
    <n v="19001"/>
    <s v="2025-09-08"/>
    <n v="1"/>
    <s v="CALI"/>
    <x v="3"/>
    <n v="37313"/>
    <n v="37313"/>
  </r>
  <r>
    <n v="79855"/>
    <s v="BARRIO CENTRO BARRANQUILLA 52"/>
    <n v="1102579312"/>
    <s v="3042287403"/>
    <s v="3042287403"/>
    <m/>
    <s v="CR 45 B 34 - 32 LC 75,CENTRO"/>
    <s v="10.9848401"/>
    <s v="-74.7778842"/>
    <s v="ATLÁNTICO"/>
    <s v="BARRANQUILLA"/>
    <s v="BARRANQUILLA"/>
    <n v="8001"/>
    <s v="2025-09-08"/>
    <n v="1"/>
    <s v="BARRANQUILLA"/>
    <x v="5"/>
    <n v="37313"/>
    <n v="37313"/>
  </r>
  <r>
    <n v="23480"/>
    <s v="BARRIO COLÓN I - CALI"/>
    <n v="16484147"/>
    <s v="4882548"/>
    <s v="3104418356"/>
    <s v="3104418356"/>
    <s v=" CL 19 33 A 10"/>
    <s v="3.4234798"/>
    <s v="-76.5225943"/>
    <s v="VALLE DEL CAUCA"/>
    <s v="CALI"/>
    <s v="SANTIAGO DE CALI"/>
    <n v="76001"/>
    <s v="2025-09-09"/>
    <n v="1"/>
    <s v="CALI"/>
    <x v="3"/>
    <n v="37313"/>
    <n v="37313"/>
  </r>
  <r>
    <n v="28786"/>
    <s v="BARRIO PLAYON MEDELLÍN"/>
    <n v="70826943"/>
    <s v="4611212"/>
    <s v="3023886816"/>
    <s v="3023886816"/>
    <s v="CR 49 B 120 - 3"/>
    <s v="6.30397469"/>
    <s v="-75.55123419"/>
    <s v="ANTIOQUIA"/>
    <s v="MEDELLÍN"/>
    <s v="MEDELLÍN"/>
    <n v="5001"/>
    <s v="2025-09-09"/>
    <n v="1"/>
    <s v="MEDELLIN"/>
    <x v="0"/>
    <n v="37313"/>
    <n v="37313"/>
  </r>
  <r>
    <n v="23492"/>
    <s v="BARRIO FONTIBON ZONA FRANCA - BOGOTÁ"/>
    <n v="79454306"/>
    <s v="4159851"/>
    <s v="3103394519"/>
    <s v="3103394519"/>
    <s v="CL 14 107 54 CA 55"/>
    <s v="4.669665"/>
    <s v="-74.158467"/>
    <s v="CUNDINAMARCA"/>
    <s v="BOGOTÁ"/>
    <s v="BOGOTÁ"/>
    <n v="11001"/>
    <s v="2025-09-09"/>
    <n v="1"/>
    <s v="BOGOTA"/>
    <x v="2"/>
    <n v="37313"/>
    <n v="37313"/>
  </r>
  <r>
    <n v="17017"/>
    <s v="BARRIO LOS ANDES BARRANQUILLA"/>
    <n v="72157240"/>
    <s v="3035773"/>
    <s v="3013339327"/>
    <s v="3013339327"/>
    <s v=" CR 21B  58-38 LOS ANDES"/>
    <s v="10.9686141"/>
    <s v="-74.8024004"/>
    <s v="ATLÁNTICO"/>
    <s v="BARRANQUILLA"/>
    <s v="BARRANQUILLA"/>
    <n v="8001"/>
    <s v="2025-09-09"/>
    <n v="1"/>
    <s v="BARRANQUILLA"/>
    <x v="5"/>
    <n v="37313"/>
    <n v="37313"/>
  </r>
  <r>
    <n v="26942"/>
    <s v="BARRIO BELEN IBAGUE"/>
    <n v="65787563"/>
    <s v="2735402"/>
    <s v="3134624831"/>
    <s v="3134624831"/>
    <s v=" CR 10 4 A 17"/>
    <s v="4.451456"/>
    <s v="-75.243885"/>
    <s v="TOLIMA"/>
    <s v="IBAGUÉ"/>
    <s v="IBAGUÉ"/>
    <n v="73001"/>
    <s v="2025-09-09"/>
    <n v="1"/>
    <s v="IBAGUE"/>
    <x v="1"/>
    <n v="49671.7"/>
    <n v="49671.7"/>
  </r>
  <r>
    <n v="29021"/>
    <s v="BARRIO FLORIDA 2 VILLAVICENCIO"/>
    <n v="28916571"/>
    <s v="6828286"/>
    <s v="3118801048"/>
    <s v="3118801048"/>
    <s v=" CL 19  34 A 04"/>
    <s v="4.134941"/>
    <s v="-73.629185"/>
    <s v="META"/>
    <s v="VILLAVICENCIO"/>
    <s v="VILLAVICENCIO"/>
    <n v="50001"/>
    <s v="2025-09-09"/>
    <n v="2"/>
    <s v="VILLAVICENCIO"/>
    <x v="1"/>
    <n v="49671.7"/>
    <n v="99343.4"/>
  </r>
  <r>
    <n v="15925"/>
    <s v="BARRIO COLON II CALI"/>
    <n v="41904091"/>
    <s v="3374805"/>
    <s v="3135621696"/>
    <s v="3135621696"/>
    <s v=" CL 15  33A-09 COLON"/>
    <s v="3.4232458"/>
    <s v="-76.5257506"/>
    <s v="VALLE DEL CAUCA"/>
    <s v="CALI"/>
    <s v="SANTIAGO DE CALI"/>
    <n v="76001"/>
    <s v="2025-09-09"/>
    <n v="1"/>
    <s v="CALI"/>
    <x v="3"/>
    <n v="37313"/>
    <n v="37313"/>
  </r>
  <r>
    <n v="24107"/>
    <s v="BARRIO ESTANCIA LL DE FONTIBON - BOGOTÁ "/>
    <n v="52726780"/>
    <s v="4043044"/>
    <s v="3057128844"/>
    <s v="3057128844"/>
    <s v=" CL 14 B 116 70 BL 1 CS 1"/>
    <s v="4.67896727"/>
    <s v="-74.16460566"/>
    <s v="CUNDINAMARCA"/>
    <s v="BOGOTÁ"/>
    <s v="BOGOTÁ"/>
    <n v="11001"/>
    <s v="2025-09-09"/>
    <n v="1"/>
    <s v="BOGOTA"/>
    <x v="2"/>
    <n v="37313"/>
    <n v="37313"/>
  </r>
  <r>
    <n v="28130"/>
    <s v="BARRIO LA ESTANCIA POPAYAN"/>
    <n v="10542683"/>
    <s v="8356713"/>
    <s v="3183741113"/>
    <s v="3183741113"/>
    <s v=" CL 20N 4B 11"/>
    <s v="2.4513604"/>
    <s v="-76.5936913"/>
    <s v="CAUCA"/>
    <s v="POPAYÁN"/>
    <s v="POPAYÁN"/>
    <n v="19001"/>
    <s v="2025-09-09"/>
    <n v="1"/>
    <s v="CALI"/>
    <x v="3"/>
    <n v="37313"/>
    <n v="37313"/>
  </r>
  <r>
    <n v="29125"/>
    <s v="BARRIO EL LIMONAR 3 MEDELLIN"/>
    <n v="98450278"/>
    <s v="3371235"/>
    <s v="3116109003"/>
    <s v="3116109003"/>
    <s v=" CR 59 B 48 D SUR 05"/>
    <s v="6.1766580"/>
    <s v="-75.6409399"/>
    <s v="ANTIOQUIA"/>
    <s v="MEDELLÍN"/>
    <s v="MEDELLÍN"/>
    <n v="5001"/>
    <s v="2025-09-09"/>
    <n v="1"/>
    <s v="MEDELLIN"/>
    <x v="0"/>
    <n v="37313"/>
    <n v="37313"/>
  </r>
  <r>
    <n v="18786"/>
    <s v="BARRIO CEVILLAR V BARRANQUILLA"/>
    <n v="72268377"/>
    <s v="3626232"/>
    <s v="3114141098"/>
    <s v="3114141098"/>
    <s v=" CR 16 46 B 37"/>
    <s v="10.9595574"/>
    <s v="-74.8014345"/>
    <s v="ATLÁNTICO"/>
    <s v="BARRANQUILLA"/>
    <s v="BARRANQUILLA"/>
    <n v="8001"/>
    <s v="2025-09-09"/>
    <n v="2"/>
    <s v="BARRANQUILLA"/>
    <x v="5"/>
    <n v="37313"/>
    <n v="74626"/>
  </r>
  <r>
    <n v="31625"/>
    <s v="BARRIO SUBA OASIS BOGOTÁ"/>
    <n v="21500953"/>
    <s v="4761359"/>
    <s v="3216878828"/>
    <s v="3216878828"/>
    <s v=" CR 114  151 17 CA 99"/>
    <s v="4.7528893"/>
    <s v="-74.0969046"/>
    <s v="CUNDINAMARCA"/>
    <s v="BOGOTÁ"/>
    <s v="BOGOTÁ"/>
    <n v="11001"/>
    <s v="2025-09-09"/>
    <n v="1"/>
    <s v="BOGOTA"/>
    <x v="2"/>
    <n v="37313"/>
    <n v="37313"/>
  </r>
  <r>
    <n v="18793"/>
    <s v="BARRIO EL LIMONAR PRADO MEDELLIN"/>
    <n v="71734184"/>
    <s v="5846034"/>
    <s v="3117480234"/>
    <s v="3117480234"/>
    <s v=" CL 55 SUR 59 A 19"/>
    <s v="6.1749347"/>
    <s v="-75.6407204"/>
    <s v="ANTIOQUIA"/>
    <s v="MEDELLÍN"/>
    <s v="MEDELLÍN"/>
    <n v="5001"/>
    <s v="2025-09-09"/>
    <n v="1"/>
    <s v="MEDELLIN"/>
    <x v="0"/>
    <n v="37313"/>
    <n v="37313"/>
  </r>
  <r>
    <n v="29305"/>
    <s v="BARRIO ROSALPI BELLO"/>
    <n v="98701275"/>
    <s v="2064000"/>
    <s v="3218501942"/>
    <s v="3218501942"/>
    <s v=" CL 54 54 46"/>
    <s v="6.33831472"/>
    <s v="-75.56213584"/>
    <s v="ANTIOQUIA"/>
    <s v="BELLO"/>
    <s v="BELLO"/>
    <n v="5088"/>
    <s v="2025-09-09"/>
    <n v="1"/>
    <s v="MEDELLIN"/>
    <x v="0"/>
    <n v="37313"/>
    <n v="37313"/>
  </r>
  <r>
    <n v="32477"/>
    <s v="BARRIO EL DORADO CALI"/>
    <n v="1144028071"/>
    <s v="7481160"/>
    <s v="3186511096"/>
    <s v="3008540712"/>
    <s v="CL 14  34-38"/>
    <s v="3.42199"/>
    <s v="-76.52764"/>
    <s v="VALLE DEL CAUCA"/>
    <s v="CALI"/>
    <s v="SANTIAGO DE CALI"/>
    <n v="76001"/>
    <s v="2025-09-09"/>
    <n v="1"/>
    <s v="CALI"/>
    <x v="3"/>
    <n v="37313"/>
    <n v="37313"/>
  </r>
  <r>
    <n v="23118"/>
    <s v="BARRIO SANTA BÁRBARA - CALI"/>
    <n v="76043774"/>
    <s v="4305028"/>
    <s v="3176380837"/>
    <s v="3176380837"/>
    <s v=" CR 5 66 26"/>
    <s v="3.4664658"/>
    <s v="-76.4879112"/>
    <s v="VALLE DEL CAUCA"/>
    <s v="CALI"/>
    <s v="SANTIAGO DE CALI"/>
    <n v="76001"/>
    <s v="2025-09-09"/>
    <n v="2"/>
    <s v="CALI"/>
    <x v="3"/>
    <n v="37313"/>
    <n v="74626"/>
  </r>
  <r>
    <n v="30298"/>
    <s v="BARRIO BELLO CENTRO 3"/>
    <n v="43680356"/>
    <s v="2751362"/>
    <s v="3155576292"/>
    <s v="3155576292"/>
    <s v=" CR 50 54 10"/>
    <s v="6.3377380"/>
    <s v="-75.5588655"/>
    <s v="ANTIOQUIA"/>
    <s v="BELLO"/>
    <s v="BELLO"/>
    <n v="5088"/>
    <s v="2025-09-09"/>
    <n v="1"/>
    <s v="MEDELLIN"/>
    <x v="0"/>
    <n v="37313"/>
    <n v="37313"/>
  </r>
  <r>
    <n v="27670"/>
    <s v="BARRIO TRECE DE NOVIEMBRE MEDELLIN"/>
    <n v="71623773"/>
    <s v="2921524"/>
    <s v="3103862687"/>
    <s v="3103862687"/>
    <s v=" CR 23 56 H E 26"/>
    <s v="6.2484233"/>
    <s v="-75.5428258"/>
    <s v="ANTIOQUIA"/>
    <s v="MEDELLÍN"/>
    <s v="MEDELLÍN"/>
    <n v="5001"/>
    <s v="2025-09-09"/>
    <n v="1"/>
    <s v="MEDELLIN"/>
    <x v="0"/>
    <n v="37313"/>
    <n v="37313"/>
  </r>
  <r>
    <n v="33485"/>
    <s v="BARRIO VILLA ALEJANDRA VILLAVICENCIO"/>
    <n v="4113545"/>
    <s v="6779846"/>
    <s v="3105814218"/>
    <s v="3105814218"/>
    <s v=" CL 5  19 03 LC 1 ESQUINERO   VILLA ALEJANDRA"/>
    <s v="4.1286134"/>
    <s v="-73.6177362"/>
    <s v="META"/>
    <s v="VILLAVICENCIO"/>
    <s v="VILLAVICENCIO"/>
    <n v="50001"/>
    <s v="2025-09-09"/>
    <n v="3"/>
    <s v="VILLAVICENCIO"/>
    <x v="1"/>
    <n v="49671.7"/>
    <n v="149015.09999999998"/>
  </r>
  <r>
    <n v="32964"/>
    <s v="BARRIO VILLA DEL NORTE POPAYAN 1"/>
    <n v="34532687"/>
    <s v="8050962"/>
    <s v="3008103497"/>
    <s v="3117887817"/>
    <s v="CR 6 N  25 N   39"/>
    <s v="2.47792416"/>
    <s v="-76.560765"/>
    <s v="CAUCA"/>
    <s v="POPAYÁN"/>
    <s v="POPAYÁN"/>
    <n v="19001"/>
    <s v="2025-09-09"/>
    <n v="1"/>
    <s v="CALI"/>
    <x v="3"/>
    <n v="37313"/>
    <n v="37313"/>
  </r>
  <r>
    <n v="26504"/>
    <s v="BARRIO OLARTE I BOGOTA"/>
    <n v="900628189"/>
    <s v="7504659"/>
    <s v="3214591032"/>
    <s v="3214591032"/>
    <s v=" CR 72 D 56A SUR 21"/>
    <s v="4.6021180"/>
    <s v="-74.1660974"/>
    <s v="CUNDINAMARCA"/>
    <s v="BOGOTÁ"/>
    <s v="NAZARETH"/>
    <n v="11001"/>
    <s v="2025-09-09"/>
    <n v="1"/>
    <s v="BOGOTA"/>
    <x v="2"/>
    <n v="37313"/>
    <n v="37313"/>
  </r>
  <r>
    <n v="32010"/>
    <s v="BARRIO BERNAL 2 PASTO"/>
    <n v="1087415939"/>
    <s v="4294596"/>
    <s v="3187613463"/>
    <s v="3187613463"/>
    <s v=" CR 4 A 19 111"/>
    <s v="1.2014442"/>
    <s v="-77.2657237"/>
    <s v="NARIÑO"/>
    <s v="PASTO"/>
    <s v="SAN JUAN DE PASTO"/>
    <n v="52001"/>
    <s v="2025-09-09"/>
    <n v="1"/>
    <s v="PASTO"/>
    <x v="3"/>
    <n v="49671.7"/>
    <n v="49671.7"/>
  </r>
  <r>
    <n v="15679"/>
    <s v="BARRIO AV. IDEMA PASTO "/>
    <n v="30722727"/>
    <s v="7241962"/>
    <s v="3013987573"/>
    <s v="3013987573"/>
    <s v="cra 48 12 a 55  bosque de la colina"/>
    <s v="1.2265304"/>
    <s v="-77.2977459"/>
    <s v="NARIÑO"/>
    <s v="PASTO"/>
    <s v="SAN JUAN DE PASTO"/>
    <n v="52001"/>
    <s v="2025-09-09"/>
    <n v="1"/>
    <s v="PASTO"/>
    <x v="3"/>
    <n v="49671.7"/>
    <n v="49671.7"/>
  </r>
  <r>
    <n v="35859"/>
    <s v="BARRIO EL TEJAR PASTO 1"/>
    <n v="98146827"/>
    <s v="3164659448"/>
    <s v="3164659448"/>
    <s v="3164659448"/>
    <s v=" CL 19 3B 03"/>
    <s v="1.19993944"/>
    <s v="-77.264795"/>
    <s v="NARIÑO"/>
    <s v="PASTO"/>
    <s v="SAN JUAN DE PASTO"/>
    <n v="52001"/>
    <s v="2025-09-09"/>
    <n v="1"/>
    <s v="PASTO"/>
    <x v="3"/>
    <n v="49671.7"/>
    <n v="49671.7"/>
  </r>
  <r>
    <n v="37005"/>
    <s v="BARRIO EL LLANO CUCUTA 1"/>
    <n v="60318836"/>
    <m/>
    <s v="3173546661"/>
    <s v="3173546661"/>
    <s v="AV 9 10 52,EL LLANO"/>
    <s v="7.885671"/>
    <s v="-72.507934"/>
    <s v="NORTE DE SANTANDER"/>
    <s v="CÚCUTA"/>
    <s v="CÚCUTA"/>
    <n v="54001"/>
    <s v="2025-09-09"/>
    <n v="1"/>
    <s v="CUCUTA"/>
    <x v="4"/>
    <n v="49671.7"/>
    <n v="49671.7"/>
  </r>
  <r>
    <n v="18620"/>
    <s v="BARRIO CENTRO XII CUCUTA"/>
    <n v="1090366237"/>
    <s v="5713321"/>
    <s v="3164934443"/>
    <s v="3164934443"/>
    <s v=" AV 7 5 55 LC 17 CE LAS MERCEDES"/>
    <s v="7.8912491"/>
    <s v="-72.5066785"/>
    <s v="NORTE DE SANTANDER"/>
    <s v="CÚCUTA"/>
    <s v="CÚCUTA"/>
    <n v="54001"/>
    <s v="2025-09-09"/>
    <n v="1"/>
    <s v="CUCUTA"/>
    <x v="4"/>
    <n v="49671.7"/>
    <n v="49671.7"/>
  </r>
  <r>
    <n v="23165"/>
    <s v="BARRIO BOCHICA III - BOGOTÁ"/>
    <n v="93418899"/>
    <s v="5682637"/>
    <s v="3006176022"/>
    <s v="3006176022"/>
    <s v=" CR 5 L  48 L 52 SUR  "/>
    <s v="4.5558131"/>
    <s v="-74.1123282"/>
    <s v="CUNDINAMARCA"/>
    <s v="BOGOTÁ"/>
    <s v="BOGOTÁ"/>
    <n v="11001"/>
    <s v="2025-09-09"/>
    <n v="1"/>
    <s v="BOGOTA"/>
    <x v="2"/>
    <n v="37313"/>
    <n v="37313"/>
  </r>
  <r>
    <n v="26173"/>
    <s v="BARRIO CENTRO 2 IBAGUE"/>
    <n v="14244315"/>
    <s v="2614678"/>
    <s v="3152549641"/>
    <s v="3152549641"/>
    <s v=" CR 2 11 26"/>
    <s v="4.443164"/>
    <s v="-75.241974 "/>
    <s v="TOLIMA"/>
    <s v="IBAGUÉ"/>
    <s v="IBAGUÉ"/>
    <n v="73001"/>
    <s v="2025-09-09"/>
    <n v="1"/>
    <s v="IBAGUE"/>
    <x v="1"/>
    <n v="49671.7"/>
    <n v="49671.7"/>
  </r>
  <r>
    <n v="38331"/>
    <s v="BARRIO EL CENTRO CUCUTA 5"/>
    <n v="1090376896"/>
    <s v="5928158"/>
    <s v="3246848605"/>
    <s v="3246824538"/>
    <s v=" AV 6 8 39 LC 32 CE PALMERAS EL CENTRO"/>
    <s v="7.888338"/>
    <s v="-72.504910"/>
    <s v="NORTE DE SANTANDER"/>
    <s v="CÚCUTA"/>
    <s v="CÚCUTA"/>
    <n v="54001"/>
    <s v="2025-09-09"/>
    <n v="4"/>
    <s v="CUCUTA"/>
    <x v="4"/>
    <n v="49671.7"/>
    <n v="198686.8"/>
  </r>
  <r>
    <n v="38427"/>
    <s v="BARRIO CENTRO MEDELLIN 30"/>
    <n v="43498889"/>
    <s v="5138667"/>
    <s v="3168164080"/>
    <s v="3168164080"/>
    <s v=" CR 50 52 50 LOCAL 236 CENTRO"/>
    <s v="6.2515476"/>
    <s v="-75.5669249"/>
    <s v="ANTIOQUIA"/>
    <s v="MEDELLÍN"/>
    <s v="MEDELLÍN"/>
    <n v="5001"/>
    <s v="2025-09-09"/>
    <n v="1"/>
    <s v="MEDELLIN"/>
    <x v="0"/>
    <n v="37313"/>
    <n v="37313"/>
  </r>
  <r>
    <n v="38502"/>
    <s v="BARRIO POPULAR CUCUTA 1"/>
    <n v="52320842"/>
    <s v="5650947"/>
    <s v="3124173265"/>
    <s v="3134788869"/>
    <s v=" AV GRANCOLOMBIA 3E 80 POPULAR"/>
    <s v="7.8914510"/>
    <s v="-72.4945597"/>
    <s v="NORTE DE SANTANDER"/>
    <s v="CÚCUTA"/>
    <s v="CÚCUTA"/>
    <n v="54001"/>
    <s v="2025-09-09"/>
    <n v="1"/>
    <s v="CUCUTA"/>
    <x v="4"/>
    <n v="49671.7"/>
    <n v="49671.7"/>
  </r>
  <r>
    <n v="39916"/>
    <s v="BARRIO LAS MERCEDES PASTO 1"/>
    <n v="1017227798"/>
    <s v="3226454891"/>
    <s v="3016710254"/>
    <s v="3016710254"/>
    <s v="CL 20 A 2 29,LAS MERCEDES"/>
    <s v="1.2009210"/>
    <s v="-77.2623856"/>
    <s v="NARIÑO"/>
    <s v="PASTO"/>
    <s v="SAN JUAN DE PASTO"/>
    <n v="52001"/>
    <s v="2025-09-09"/>
    <n v="1"/>
    <s v="PASTO"/>
    <x v="3"/>
    <n v="49671.7"/>
    <n v="49671.7"/>
  </r>
  <r>
    <n v="38447"/>
    <s v="BR OLARTE CUNDINAMARCA"/>
    <n v="80233821"/>
    <s v="7804807"/>
    <s v="3118747489"/>
    <s v="3118747489"/>
    <s v=" CR 72 A 56 A 20 SUR OLARTE"/>
    <s v="4.602107"/>
    <s v="-74.163584"/>
    <s v="CUNDINAMARCA"/>
    <s v="BOGOTÁ"/>
    <s v="BOGOTÁ"/>
    <n v="11001"/>
    <s v="2025-09-09"/>
    <n v="1"/>
    <s v="BOGOTA"/>
    <x v="2"/>
    <n v="37313"/>
    <n v="37313"/>
  </r>
  <r>
    <n v="38509"/>
    <s v="BARRIO SALOMIA CALI 2"/>
    <n v="16659415"/>
    <s v="3716578"/>
    <s v="3158211726"/>
    <s v="3158211726"/>
    <s v=" CR 5 45 03 ESQUINA SALOMIA"/>
    <s v="3.461591"/>
    <s v="-76.505272"/>
    <s v="VALLE DEL CAUCA"/>
    <s v="CALI"/>
    <s v="SANTIAGO DE CALI"/>
    <n v="76001"/>
    <s v="2025-09-09"/>
    <n v="2"/>
    <s v="CALI"/>
    <x v="3"/>
    <n v="37313"/>
    <n v="74626"/>
  </r>
  <r>
    <n v="45005"/>
    <s v="BARRIO DIANA TURBAY BOGOTA 2"/>
    <n v="1023960159"/>
    <s v="5675337"/>
    <s v="3204826594"/>
    <s v="3204826594"/>
    <s v="CL 48 X SUR 2 21 PRIMER PISO,DIANA TURBAY"/>
    <s v="4.5464783"/>
    <s v="-74.1069708"/>
    <s v="CUNDINAMARCA"/>
    <s v="BOGOTÁ"/>
    <s v="BOGOTÁ"/>
    <n v="11001"/>
    <s v="2025-09-09"/>
    <n v="1"/>
    <s v="BOGOTA"/>
    <x v="2"/>
    <n v="37313"/>
    <n v="37313"/>
  </r>
  <r>
    <n v="47307"/>
    <s v="BARRIO ANTONIA SANTOS CUCUTA 1"/>
    <n v="1005682636"/>
    <s v="0"/>
    <s v="3118324426"/>
    <s v="3118324426"/>
    <s v="CL 18 NRO 52-03,ANTONIA SANTOS"/>
    <s v="7.9105944"/>
    <s v="-72.5373156"/>
    <s v="NORTE DE SANTANDER"/>
    <s v="CÚCUTA"/>
    <s v="CÚCUTA"/>
    <n v="54001"/>
    <s v="2025-09-09"/>
    <n v="1"/>
    <s v="CUCUTA"/>
    <x v="4"/>
    <n v="49671.7"/>
    <n v="49671.7"/>
  </r>
  <r>
    <n v="37527"/>
    <s v="BARRIO SUBA BOGOTA 2"/>
    <n v="24191809"/>
    <s v="8074394"/>
    <s v="3204996417"/>
    <s v="3204996417"/>
    <s v=" CL 151 109 A 50 SUBA"/>
    <s v="4.7529442"/>
    <s v="-74.0969734"/>
    <s v="CUNDINAMARCA"/>
    <s v="BOGOTÁ"/>
    <s v="BOGOTÁ"/>
    <n v="11001"/>
    <s v="2025-09-09"/>
    <n v="1"/>
    <s v="BOGOTA"/>
    <x v="2"/>
    <n v="37313"/>
    <n v="37313"/>
  </r>
  <r>
    <n v="41889"/>
    <s v="BARRIO NIÑA CECI CUCUTA 1"/>
    <n v="63557157"/>
    <m/>
    <s v="3214095819"/>
    <s v="3214095819"/>
    <s v="AV 3 CL 2 3-05,NIÑA CECI"/>
    <s v="7.8987584"/>
    <s v="-72.5257921"/>
    <s v="NORTE DE SANTANDER"/>
    <s v="CÚCUTA"/>
    <s v="CÚCUTA"/>
    <n v="54001"/>
    <s v="2025-09-09"/>
    <n v="1"/>
    <s v="CUCUTA"/>
    <x v="4"/>
    <n v="49671.7"/>
    <n v="49671.7"/>
  </r>
  <r>
    <n v="39218"/>
    <s v="BARRIO CAQUETA LA ESTRELLA"/>
    <n v="39200182"/>
    <s v="3095938"/>
    <s v="3117615293"/>
    <s v="3008702269"/>
    <s v=" CL 82 SUR56 C 43 CAQUETA"/>
    <s v="6.1551877"/>
    <s v="-75.64032"/>
    <s v="ANTIOQUIA"/>
    <s v="LA ESTRELLA"/>
    <s v="LA ESTRELLA"/>
    <n v="5380"/>
    <s v="2025-09-09"/>
    <n v="1"/>
    <s v="MEDELLIN"/>
    <x v="0"/>
    <n v="37313"/>
    <n v="37313"/>
  </r>
  <r>
    <n v="39108"/>
    <s v="BARRIO EL CENTRO CUCUTA 8"/>
    <n v="901243310"/>
    <s v="5482028"/>
    <s v="3134603853"/>
    <s v="3143784975"/>
    <s v=" AV 8 11 54 EL CENTRO"/>
    <s v="7.8847019"/>
    <s v="-72.5068948"/>
    <s v="NORTE DE SANTANDER"/>
    <s v="CÚCUTA"/>
    <s v="CÚCUTA"/>
    <n v="54001"/>
    <s v="2025-09-09"/>
    <n v="1"/>
    <s v="CUCUTA"/>
    <x v="4"/>
    <n v="49671.7"/>
    <n v="49671.7"/>
  </r>
  <r>
    <n v="42229"/>
    <s v="BARRIO DANUBIO VILLAVICENCIO 1"/>
    <n v="1006534163"/>
    <s v="3143823939"/>
    <s v="3143823939"/>
    <s v="3143823939"/>
    <s v="CL 18 5 02 LOCAL 2,DANUBIO"/>
    <s v="4.136333"/>
    <s v="-73.607000"/>
    <s v="META"/>
    <s v="VILLAVICENCIO"/>
    <s v="VILLAVICENCIO"/>
    <n v="50001"/>
    <s v="2025-09-09"/>
    <n v="1"/>
    <s v="VILLAVICENCIO"/>
    <x v="1"/>
    <n v="49671.7"/>
    <n v="49671.7"/>
  </r>
  <r>
    <n v="48076"/>
    <s v="BARRIO ENCISO MEDELLIN 10"/>
    <n v="43418110"/>
    <s v="2923682"/>
    <s v="3044056642"/>
    <s v="3044056642"/>
    <s v="CR 22 57 DD 45"/>
    <s v="6.2508111"/>
    <s v="-75.5443291"/>
    <s v="ANTIOQUIA"/>
    <s v="MEDELLÍN"/>
    <s v="MEDELLÍN"/>
    <n v="5001"/>
    <s v="2025-09-09"/>
    <n v="1"/>
    <s v="MEDELLIN"/>
    <x v="0"/>
    <n v="37313"/>
    <n v="37313"/>
  </r>
  <r>
    <n v="49565"/>
    <s v="BARRIO SUBA BOGOTA 21"/>
    <n v="19333716"/>
    <s v="3002421"/>
    <s v="3108171285"/>
    <s v="3108171285"/>
    <s v="CR 117 150 C 20 LC 2B,SUBA"/>
    <s v="4.7554271"/>
    <s v="-74.1034430"/>
    <s v="CUNDINAMARCA"/>
    <s v="BOGOTÁ"/>
    <s v="BOGOTÁ"/>
    <n v="11001"/>
    <s v="2025-09-09"/>
    <n v="1"/>
    <s v="BOGOTA"/>
    <x v="2"/>
    <n v="37313"/>
    <n v="37313"/>
  </r>
  <r>
    <n v="51710"/>
    <s v="BARRIO MONSERRATE NEIVA"/>
    <n v="12136196"/>
    <s v="3203270359"/>
    <s v="3203270359"/>
    <s v="3203270359"/>
    <s v="CL 12 28 73,MONSERRATE"/>
    <s v="2.935570"/>
    <s v="-75.269955"/>
    <s v="HUILA"/>
    <s v="NEIVA"/>
    <s v="NEIVA"/>
    <n v="41001"/>
    <s v="2025-09-09"/>
    <n v="1"/>
    <s v="NEIVA"/>
    <x v="1"/>
    <n v="49671.7"/>
    <n v="49671.7"/>
  </r>
  <r>
    <n v="52360"/>
    <s v="BARRIO FERRI BARRANQUILLA"/>
    <n v="51583887"/>
    <s v="3015536648"/>
    <s v="3134204775"/>
    <s v="3015536648"/>
    <s v="CR 8 12 A 61,FERRI"/>
    <s v="10.94828"/>
    <s v="-74.77230"/>
    <s v="ATLÁNTICO"/>
    <s v="BARRANQUILLA"/>
    <s v="BARRANQUILLA"/>
    <n v="8001"/>
    <s v="2025-09-09"/>
    <n v="1"/>
    <s v="BARRANQUILLA"/>
    <x v="5"/>
    <n v="37313"/>
    <n v="37313"/>
  </r>
  <r>
    <n v="52803"/>
    <s v="BARRIO LAS CEIBAS CALI 2"/>
    <n v="2473269"/>
    <s v="0"/>
    <s v="3122542696"/>
    <s v="3122542696"/>
    <s v="CR 7 F 62 53"/>
    <s v="3.458735"/>
    <s v="-76.48884"/>
    <s v="VALLE DEL CAUCA"/>
    <s v="CALI"/>
    <s v="SANTIAGO DE CALI"/>
    <n v="76001"/>
    <s v="2025-09-09"/>
    <n v="1"/>
    <s v="CALI"/>
    <x v="3"/>
    <n v="37313"/>
    <n v="37313"/>
  </r>
  <r>
    <n v="54267"/>
    <s v="BARRIO MARIA GRACIAS CUCUTA "/>
    <n v="1007561422"/>
    <s v="0"/>
    <s v="3113181659"/>
    <s v="3204377370"/>
    <s v="KDX 23,BRR MARIA GRACIA"/>
    <s v="7.8800489722"/>
    <s v="-72.537284972"/>
    <s v="NORTE DE SANTANDER"/>
    <s v="CÚCUTA"/>
    <s v="CÚCUTA"/>
    <n v="54001"/>
    <s v="2025-09-09"/>
    <n v="1"/>
    <s v="CUCUTA"/>
    <x v="4"/>
    <n v="49671.7"/>
    <n v="49671.7"/>
  </r>
  <r>
    <n v="52325"/>
    <s v="BARRIO FONTIBON CASANDRA BOGOTA"/>
    <n v="39762945"/>
    <s v="4802644"/>
    <s v="3209651476"/>
    <s v="3209651476"/>
    <s v="CRA 136 # 15 B 20,FONTIBON CASANDRA"/>
    <s v="4.69359069"/>
    <s v="-74.169628000"/>
    <s v="CUNDINAMARCA"/>
    <s v="BOGOTÁ"/>
    <s v="BOGOTÁ"/>
    <n v="11001"/>
    <s v="2025-09-09"/>
    <n v="1"/>
    <s v="BOGOTA"/>
    <x v="2"/>
    <n v="37313"/>
    <n v="37313"/>
  </r>
  <r>
    <n v="54251"/>
    <s v="BARRIO TERCER MILENIO NEIVA 3"/>
    <n v="1081182270"/>
    <s v="3224576338"/>
    <s v="3164514139"/>
    <s v="3224576338"/>
    <s v="CL 70 3 A 09 LOCAL 2 TERCER MILENIO,TERCER MILENIO"/>
    <s v="29.655083"/>
    <s v="-7.529037222"/>
    <s v="HUILA"/>
    <s v="NEIVA"/>
    <s v="NEIVA"/>
    <n v="41001"/>
    <s v="2025-09-09"/>
    <n v="1"/>
    <s v="NEIVA"/>
    <x v="1"/>
    <n v="49671.7"/>
    <n v="49671.7"/>
  </r>
  <r>
    <n v="54893"/>
    <s v="BARRIO EL PORVENIR CUCUTA"/>
    <n v="1090458336"/>
    <s v="3202010934"/>
    <s v="3202010934"/>
    <s v="3202010934"/>
    <s v="CL 18 NRO 7-19 BRR EL PORVENIR"/>
    <s v="7.9174581"/>
    <s v="-72.5026965"/>
    <s v="NORTE DE SANTANDER"/>
    <s v="CÚCUTA"/>
    <s v="CÚCUTA"/>
    <n v="54001"/>
    <s v="2025-09-09"/>
    <n v="1"/>
    <s v="CUCUTA"/>
    <x v="4"/>
    <n v="49671.7"/>
    <n v="49671.7"/>
  </r>
  <r>
    <n v="56862"/>
    <s v="BARRIO EL BERNAL PASTO"/>
    <n v="37080198"/>
    <s v="3136573454"/>
    <s v="3136573154"/>
    <s v="3136573154"/>
    <s v="CR 4 20 107 BR BERNAL"/>
    <s v="1.2021742"/>
    <s v="-77.2646714"/>
    <s v="NARIÑO"/>
    <s v="PASTO"/>
    <s v="SAN JUAN DE PASTO"/>
    <n v="52001"/>
    <s v="2025-09-09"/>
    <n v="1"/>
    <s v="PASTO"/>
    <x v="3"/>
    <n v="49671.7"/>
    <n v="49671.7"/>
  </r>
  <r>
    <n v="58927"/>
    <s v="BARRIO SAN JOSE CUCUTA 1"/>
    <n v="1090401724"/>
    <s v="3142932372"/>
    <s v="3142932372"/>
    <s v="3142932372"/>
    <s v="AV 20 A NRO 21A-19,SAN JOSE"/>
    <s v="7.876609777"/>
    <s v="-72.518730138"/>
    <s v="NORTE DE SANTANDER"/>
    <s v="CÚCUTA"/>
    <s v="CÚCUTA"/>
    <n v="54001"/>
    <s v="2025-09-09"/>
    <n v="1"/>
    <s v="CUCUTA"/>
    <x v="4"/>
    <n v="49671.7"/>
    <n v="49671.7"/>
  </r>
  <r>
    <n v="59180"/>
    <s v="BARRIO ALTOS DE NORMANDIA CALI"/>
    <n v="1151952933"/>
    <s v="0"/>
    <s v="3172394584"/>
    <s v="3172394584"/>
    <s v="AV 8 OESTE # 7 OES ALTOS DE NORMANDIA CASA 88 A"/>
    <s v="3.4588262"/>
    <s v="-76.5417425"/>
    <s v="VALLE DEL CAUCA"/>
    <s v="CALI"/>
    <s v="SANTIAGO DE CALI"/>
    <n v="76001"/>
    <s v="2025-09-09"/>
    <n v="1"/>
    <s v="CALI"/>
    <x v="3"/>
    <n v="37313"/>
    <n v="37313"/>
  </r>
  <r>
    <n v="59498"/>
    <s v="BARRIO ESMERALDA POPAYAN 4"/>
    <n v="1059907040"/>
    <s v="0"/>
    <s v="3216830725"/>
    <s v="3216830725"/>
    <s v="CL 8 17 55,ESMERALDA"/>
    <s v="2.4417047"/>
    <s v="-76.6160925"/>
    <s v="CAUCA"/>
    <s v="POPAYÁN"/>
    <s v="POPAYÁN"/>
    <n v="19001"/>
    <s v="2025-09-09"/>
    <n v="2"/>
    <s v="CALI"/>
    <x v="3"/>
    <n v="37313"/>
    <n v="74626"/>
  </r>
  <r>
    <n v="60797"/>
    <s v="BARRIO LA INMACULADA DOS LA ESTRELLA "/>
    <n v="71295724"/>
    <s v="3156214974"/>
    <s v="3156214974"/>
    <s v="3022085959"/>
    <s v="CL 95 SUR 52 33,LA INMACULADA DOS"/>
    <s v="6.137033"/>
    <s v="-75.636421"/>
    <s v="ANTIOQUIA"/>
    <s v="LA ESTRELLA"/>
    <s v="LA ESTRELLA"/>
    <n v="5380"/>
    <s v="2025-09-09"/>
    <n v="1"/>
    <s v="MEDELLIN"/>
    <x v="0"/>
    <n v="37313"/>
    <n v="37313"/>
  </r>
  <r>
    <n v="61338"/>
    <s v="BARRIO SAN FRANCISCO ITAGUI 2"/>
    <n v="43189097"/>
    <s v="6013523"/>
    <s v="3194432716"/>
    <s v="3194432716"/>
    <s v="CR 64 B 25 149"/>
    <s v="6.1690332"/>
    <s v="-75.6420193"/>
    <s v="ANTIOQUIA"/>
    <s v="ITAGÜÍ"/>
    <s v="ITAGÜÍ"/>
    <n v="5360"/>
    <s v="2025-09-09"/>
    <n v="1"/>
    <s v="MEDELLIN"/>
    <x v="0"/>
    <n v="37313"/>
    <n v="37313"/>
  </r>
  <r>
    <n v="61567"/>
    <s v="BARRIO SAN ISIDRO VILLAVICENCIO 8"/>
    <n v="40383705"/>
    <s v="3202722763"/>
    <s v="3202722763"/>
    <s v="3142214771"/>
    <s v="CR 27 N 35 A 32 - SAN ISIDRO,SAN ISIDRO"/>
    <s v="4.149785"/>
    <s v="-73.632886"/>
    <s v="META"/>
    <s v="VILLAVICENCIO"/>
    <s v="VILLAVICENCIO"/>
    <n v="50001"/>
    <s v="2025-09-09"/>
    <n v="1"/>
    <s v="VILLAVICENCIO"/>
    <x v="1"/>
    <n v="49671.7"/>
    <n v="49671.7"/>
  </r>
  <r>
    <n v="59024"/>
    <s v="BARRIO PUEBLO VIEJO LA ESTRELLA"/>
    <n v="42797314"/>
    <s v="0"/>
    <s v="3016793555"/>
    <s v="3016793555"/>
    <s v="CL 95 A SUR 56 79,PUEBLO VIEJO"/>
    <s v="6.137673"/>
    <s v="-75.640817"/>
    <s v="ANTIOQUIA"/>
    <s v="LA ESTRELLA"/>
    <s v="LA ESTRELLA"/>
    <n v="5380"/>
    <s v="2025-09-09"/>
    <n v="1"/>
    <s v="MEDELLIN"/>
    <x v="0"/>
    <n v="37313"/>
    <n v="37313"/>
  </r>
  <r>
    <n v="65618"/>
    <s v="BARRIO EL LLANO CUCUTA 11"/>
    <n v="60356645"/>
    <s v="3133433917"/>
    <s v="3133433917"/>
    <s v="3223233283"/>
    <s v="AV 11 NRO 8-83 EL LLANO ,EL LLANO"/>
    <s v="7.8918919"/>
    <s v="-72.5065362"/>
    <s v="NORTE DE SANTANDER"/>
    <s v="CÚCUTA"/>
    <s v="CÚCUTA"/>
    <n v="54001"/>
    <s v="2025-09-09"/>
    <n v="1"/>
    <s v="CUCUTA"/>
    <x v="4"/>
    <n v="49671.7"/>
    <n v="49671.7"/>
  </r>
  <r>
    <n v="65688"/>
    <s v="BARRIO NIÑA CECI CUCUTA 6"/>
    <n v="1090385912"/>
    <s v="3118324426"/>
    <s v="3123620146"/>
    <s v="3123620146"/>
    <s v="CL 8 NRO 9-03,NIÑA CECI"/>
    <s v="7.8895800"/>
    <s v="-72.4972292"/>
    <s v="NORTE DE SANTANDER"/>
    <s v="CÚCUTA"/>
    <s v="CÚCUTA"/>
    <n v="54001"/>
    <s v="2025-09-09"/>
    <n v="1"/>
    <s v="CUCUTA"/>
    <x v="4"/>
    <n v="49671.7"/>
    <n v="49671.7"/>
  </r>
  <r>
    <n v="61979"/>
    <s v="BARRIO BARZAL VILLAVICENCIO 12"/>
    <n v="1121821510"/>
    <s v="3215307907"/>
    <s v="3102724124"/>
    <s v="3102724124"/>
    <s v="CL 34 NRO 36 - 01 LOCAL 3 ESQUINA BRR BARZAL - BARZAL"/>
    <s v="4.146037"/>
    <s v="-73.637583"/>
    <s v="META"/>
    <s v="VILLAVICENCIO"/>
    <s v="VILLAVICENCIO"/>
    <n v="50001"/>
    <s v="2025-09-09"/>
    <n v="1"/>
    <s v="VILLAVICENCIO"/>
    <x v="1"/>
    <n v="49671.7"/>
    <n v="49671.7"/>
  </r>
  <r>
    <n v="65596"/>
    <s v="BARRIO SANTUARIO BARRANQUILLA 1"/>
    <n v="32886817"/>
    <s v="3017856607"/>
    <s v="3017856607"/>
    <s v="3008083846"/>
    <s v="CL 51 B 7 G 33,SANTUARIO"/>
    <s v="10.94532"/>
    <s v="-74.80627"/>
    <s v="ATLÁNTICO"/>
    <s v="BARRANQUILLA"/>
    <s v="BARRANQUILLA"/>
    <n v="8001"/>
    <s v="2025-09-09"/>
    <n v="2"/>
    <s v="BARRANQUILLA"/>
    <x v="5"/>
    <n v="37313"/>
    <n v="74626"/>
  </r>
  <r>
    <n v="66441"/>
    <s v="BARRIO ALASKA IBAGUE 1"/>
    <n v="65630883"/>
    <s v="0"/>
    <s v="3103240738"/>
    <s v="3125612064"/>
    <s v="CR 11 A # 1A- 136,ALASKA"/>
    <s v="4.453851"/>
    <s v="-75.245523"/>
    <s v="TOLIMA"/>
    <s v="IBAGUÉ"/>
    <s v="IBAGUÉ"/>
    <n v="73001"/>
    <s v="2025-09-09"/>
    <n v="1"/>
    <s v="IBAGUE"/>
    <x v="1"/>
    <n v="49671.7"/>
    <n v="49671.7"/>
  </r>
  <r>
    <n v="60092"/>
    <s v="BARRIO DANUBIO VILLAVICENCIO 2"/>
    <n v="40396241"/>
    <s v="3103329934"/>
    <s v="3113248131"/>
    <s v="3103329934"/>
    <s v="CL 17 B NRO. 6 - 56 BARRIO DANUBIO,DANUBIO"/>
    <s v="4.135733"/>
    <s v="-73.608001"/>
    <s v="META"/>
    <s v="VILLAVICENCIO"/>
    <s v="VILLAVICENCIO"/>
    <n v="50001"/>
    <s v="2025-09-09"/>
    <n v="1"/>
    <s v="VILLAVICENCIO"/>
    <x v="1"/>
    <n v="49671.7"/>
    <n v="49671.7"/>
  </r>
  <r>
    <n v="45334"/>
    <s v="BARRIO CENTRO MEDELLIN 57"/>
    <n v="98484746"/>
    <s v="3868788"/>
    <s v="3148641166"/>
    <s v="3146577233"/>
    <s v="CR 49 52 116 INT 217,CENTRO"/>
    <s v="6.2498761"/>
    <s v="-75.5664238"/>
    <s v="ANTIOQUIA"/>
    <s v="MEDELLÍN"/>
    <s v="MEDELLÍN"/>
    <n v="5001"/>
    <s v="2025-09-09"/>
    <n v="1"/>
    <s v="MEDELLIN"/>
    <x v="0"/>
    <n v="37313"/>
    <n v="37313"/>
  </r>
  <r>
    <n v="48739"/>
    <s v="BARRIO LA VICTORIA BOGOTA 1"/>
    <n v="52778818"/>
    <s v="1"/>
    <s v="3214737437"/>
    <s v="3214737437"/>
    <s v="CL 41 SUR 2- 21 ESTE"/>
    <s v="4.550921"/>
    <s v="-74.095744"/>
    <s v="CUNDINAMARCA"/>
    <s v="BOGOTÁ"/>
    <s v="BOGOTÁ"/>
    <n v="11001"/>
    <s v="2025-09-09"/>
    <n v="1"/>
    <s v="BOGOTA"/>
    <x v="2"/>
    <n v="37313"/>
    <n v="37313"/>
  </r>
  <r>
    <n v="60157"/>
    <s v="BARRIO CENTRO MEDELLIN 84"/>
    <n v="1037589421"/>
    <s v="0"/>
    <s v="3234616650"/>
    <s v="3234616650"/>
    <s v="CR 50 52 22 LOCAL 131"/>
    <s v="6.2510675"/>
    <s v="-75.5669913"/>
    <s v="ANTIOQUIA"/>
    <s v="MEDELLÍN"/>
    <s v="MEDELLÍN"/>
    <n v="5001"/>
    <s v="2025-09-09"/>
    <n v="1"/>
    <s v="MEDELLIN"/>
    <x v="0"/>
    <n v="37313"/>
    <n v="37313"/>
  </r>
  <r>
    <n v="50350"/>
    <s v="BARRIO LOS HOYOS POPAYAN 3"/>
    <n v="25283745"/>
    <s v="0"/>
    <s v="3148644026"/>
    <s v="3233660205"/>
    <s v="CR 6  27 N 56 LC 1"/>
    <s v="2.4581032"/>
    <s v="-76.5880659"/>
    <s v="CAUCA"/>
    <s v="POPAYÁN"/>
    <s v="POPAYÁN"/>
    <n v="19001"/>
    <s v="2025-09-09"/>
    <n v="1"/>
    <s v="CALI"/>
    <x v="3"/>
    <n v="37313"/>
    <n v="37313"/>
  </r>
  <r>
    <n v="66128"/>
    <s v="BARRIO EL CARMEN BARRANQUILLA 2"/>
    <n v="32636466"/>
    <s v="3004413364"/>
    <s v="3004413364"/>
    <s v="3003774208"/>
    <s v="CR 21 48 28 LOC. 2,EL CARMEN"/>
    <s v="10.965185"/>
    <s v="-74.796936"/>
    <s v="ATLÁNTICO"/>
    <s v="BARRANQUILLA"/>
    <s v="BARRANQUILLA"/>
    <n v="8001"/>
    <s v="2025-09-09"/>
    <n v="1"/>
    <s v="BARRANQUILLA"/>
    <x v="5"/>
    <n v="37313"/>
    <n v="37313"/>
  </r>
  <r>
    <n v="66126"/>
    <s v="BARRIO INMACULADA LA ESTRELLA"/>
    <n v="43845536"/>
    <s v="0"/>
    <s v="0"/>
    <s v="3106934718"/>
    <s v="CR 51 95 B SUR 11"/>
    <s v="6.13561555"/>
    <s v="-75.63521361111"/>
    <s v="ANTIOQUIA"/>
    <s v="LA ESTRELLA"/>
    <s v="LA ESTRELLA"/>
    <n v="5380"/>
    <s v="2025-09-09"/>
    <n v="1"/>
    <s v="MEDELLIN"/>
    <x v="0"/>
    <n v="37313"/>
    <n v="37313"/>
  </r>
  <r>
    <n v="66442"/>
    <s v="BARRIO BUENOS AIRES IBAGUE 1"/>
    <n v="900932037"/>
    <s v="0"/>
    <s v="0"/>
    <s v="3156163044"/>
    <s v="VRD BUENOS AIRES KM 14 VIA IBAGUE-ESPINAL,BUENOS AIRES"/>
    <s v="4.3232354"/>
    <s v="-75.0686649"/>
    <s v="TOLIMA"/>
    <s v="IBAGUÉ"/>
    <s v="IBAGUÉ"/>
    <n v="73001"/>
    <s v="2025-09-09"/>
    <n v="1"/>
    <s v="IBAGUE"/>
    <x v="1"/>
    <n v="49671.7"/>
    <n v="49671.7"/>
  </r>
  <r>
    <n v="60105"/>
    <s v="BARRIO CHAMBU II PASTO 1"/>
    <n v="1010081815"/>
    <s v="317 0943071"/>
    <s v="3170943071"/>
    <s v="3104740884"/>
    <s v="BRR CHAMBU II MZ 45 CA 8"/>
    <s v="1.188788"/>
    <s v="-77.274102"/>
    <s v="NARIÑO"/>
    <s v="PASTO"/>
    <s v="SAN JUAN DE PASTO"/>
    <n v="52001"/>
    <s v="2025-09-09"/>
    <n v="1"/>
    <s v="PASTO"/>
    <x v="3"/>
    <n v="49671.7"/>
    <n v="49671.7"/>
  </r>
  <r>
    <n v="66935"/>
    <s v="BARRIO PICALEÑA IBAGUE 5"/>
    <n v="1111197653"/>
    <s v="0"/>
    <s v="3123245349"/>
    <s v="3123245349"/>
    <s v="CR 18 M SUR # 155-160 CONJUNTO RESIDENCIAL CARMESI,PICALEÑA"/>
    <s v="4.395686"/>
    <s v="-75.135997"/>
    <s v="TOLIMA"/>
    <s v="IBAGUÉ"/>
    <s v="IBAGUÉ"/>
    <n v="73001"/>
    <s v="2025-09-09"/>
    <n v="1"/>
    <s v="IBAGUE"/>
    <x v="1"/>
    <n v="49671.7"/>
    <n v="49671.7"/>
  </r>
  <r>
    <n v="62624"/>
    <s v="BARRIO LA ESMERALDA CUCUTA"/>
    <n v="52054354"/>
    <s v="0"/>
    <s v="3132919275"/>
    <s v="3105980507"/>
    <s v="MZ A LOTE 2 LC 1 ESQUINA LA ESMERALDA"/>
    <s v="7.8832131"/>
    <s v="-72.4658797"/>
    <s v="NORTE DE SANTANDER"/>
    <s v="CÚCUTA"/>
    <s v="CÚCUTA"/>
    <n v="54001"/>
    <s v="2025-09-09"/>
    <n v="1"/>
    <s v="CUCUTA"/>
    <x v="4"/>
    <n v="49671.7"/>
    <n v="49671.7"/>
  </r>
  <r>
    <n v="68902"/>
    <s v="MOLINOS SECTOR 2"/>
    <n v="80241613"/>
    <s v="0"/>
    <s v="0"/>
    <s v="3144777335"/>
    <s v="CALLE 48 Q BIS SUR 5 21,MOLINOS SECTOR 2"/>
    <s v="4.5504871"/>
    <s v="-74.1085599"/>
    <s v="CUNDINAMARCA"/>
    <s v="BOGOTÁ"/>
    <s v="BOGOTÁ"/>
    <n v="11001"/>
    <s v="2025-09-09"/>
    <n v="1"/>
    <s v="BOGOTA"/>
    <x v="2"/>
    <n v="37313"/>
    <n v="37313"/>
  </r>
  <r>
    <n v="69253"/>
    <s v="LA VERDE MEDELLIN"/>
    <n v="1036602625"/>
    <s v="0"/>
    <s v="3196286725"/>
    <s v="3137251745"/>
    <s v="CR 60 D 36 C SUR 17,LA VERDE"/>
    <s v="6.1865824"/>
    <s v="-75.6408294 "/>
    <s v="ANTIOQUIA"/>
    <s v="MEDELLÍN"/>
    <s v="MEDELLÍN"/>
    <n v="5001"/>
    <s v="2025-09-09"/>
    <n v="1"/>
    <s v="MEDELLIN"/>
    <x v="0"/>
    <n v="37313"/>
    <n v="37313"/>
  </r>
  <r>
    <n v="72090"/>
    <s v="CARTAGENA DE INDIAS CORREGIMENTO DE BAYUNCA"/>
    <n v="1050972115"/>
    <s v="3002446015"/>
    <s v="3238122408"/>
    <s v="3238122408"/>
    <s v="CL 6 CR 8-136,CORREGIMIENTO DE BAYUNCA"/>
    <s v="10.5335303"/>
    <s v="-75.3965764"/>
    <s v="BOLÍVAR"/>
    <s v="CARTAGENA DE INDIAS"/>
    <s v="CARTAGENA DE INDIAS"/>
    <n v="13001"/>
    <s v="2025-09-09"/>
    <n v="1"/>
    <s v="CARTAGENA"/>
    <x v="5"/>
    <n v="49671.7"/>
    <n v="49671.7"/>
  </r>
  <r>
    <n v="68934"/>
    <s v="CRISTOBAL COLON 4"/>
    <n v="24393335"/>
    <s v="0"/>
    <s v="3184374998"/>
    <s v="3184374998"/>
    <s v="CR 38 A 18 24,CRISTÓBAL COLON"/>
    <s v="3.4193214"/>
    <s v="-76.5229898"/>
    <s v="VALLE DEL CAUCA"/>
    <s v="CALI"/>
    <s v="SANTIAGO DE CALI"/>
    <n v="76001"/>
    <s v="2025-09-09"/>
    <n v="1"/>
    <s v="CALI"/>
    <x v="3"/>
    <n v="37313"/>
    <n v="37313"/>
  </r>
  <r>
    <n v="47591"/>
    <s v="BARRIO LA POLA IBAGUE 5"/>
    <n v="65746499"/>
    <s v="2614332"/>
    <s v="3006755157"/>
    <s v="3006755157"/>
    <s v="CR 4 # 8-12,LA POLA"/>
    <s v=" 4.446547"/>
    <s v="-75.243299"/>
    <s v="TOLIMA"/>
    <s v="IBAGUÉ"/>
    <s v="IBAGUÉ"/>
    <n v="73001"/>
    <s v="2025-09-09"/>
    <n v="1"/>
    <s v="IBAGUE"/>
    <x v="1"/>
    <n v="49671.7"/>
    <n v="49671.7"/>
  </r>
  <r>
    <n v="59874"/>
    <s v="BARRIO LAS CEIBAS CALI 3"/>
    <n v="67017352"/>
    <s v="0"/>
    <s v="3113582023"/>
    <s v="3113582023"/>
    <s v="CR 7 V BIS 62 87,LAS CEIBAS"/>
    <s v="3.4528"/>
    <s v="-76.4890631"/>
    <s v="VALLE DEL CAUCA"/>
    <s v="CALI"/>
    <s v="SANTIAGO DE CALI"/>
    <n v="76001"/>
    <s v="2025-09-09"/>
    <n v="1"/>
    <s v="CALI"/>
    <x v="3"/>
    <n v="37313"/>
    <n v="37313"/>
  </r>
  <r>
    <n v="66891"/>
    <s v="BARRIO CENTRO POPAYAN 25"/>
    <n v="900330130"/>
    <s v="0"/>
    <s v="3234595524"/>
    <s v="3117333476"/>
    <s v="CL 4 NRO. 17 - 71 LOCAL 2 BRR PANDIGUANDO,CENTRO"/>
    <s v="2.4455508"/>
    <s v="-76.6153857"/>
    <s v="CAUCA"/>
    <s v="POPAYÁN"/>
    <s v="POPAYÁN"/>
    <n v="19001"/>
    <s v="2025-09-09"/>
    <n v="1"/>
    <s v="CALI"/>
    <x v="3"/>
    <n v="37313"/>
    <n v="37313"/>
  </r>
  <r>
    <n v="62698"/>
    <s v="BARRIO URB GARCIAHERRERO I CUCUTA"/>
    <n v="1098661768"/>
    <s v="0"/>
    <s v="3022873495"/>
    <s v="3012946255"/>
    <s v="AV 2 CL 13A 40 LOCAL 4 CJR AZAFRANES,URB GARCIAHERRERO I"/>
    <s v="7.929903611"/>
    <s v="-72.4919236111"/>
    <s v="NORTE DE SANTANDER"/>
    <s v="CÚCUTA"/>
    <s v="CÚCUTA"/>
    <n v="54001"/>
    <s v="2025-09-09"/>
    <n v="1"/>
    <s v="CUCUTA"/>
    <x v="4"/>
    <n v="49671.7"/>
    <n v="49671.7"/>
  </r>
  <r>
    <n v="71748"/>
    <s v="PASTO CORREGIMINETO JAMONDINO"/>
    <n v="1086924285"/>
    <s v="3173910730"/>
    <s v="3173910730"/>
    <s v="3173910730"/>
    <s v="CR 17E 12 62 JAMONDINO,CORREGIMIENTO JAMONDINO"/>
    <s v="1.1837461"/>
    <s v="-77.2608432"/>
    <s v="NARIÑO"/>
    <s v="PASTO"/>
    <s v="SAN JUAN DE PASTO"/>
    <n v="52001"/>
    <s v="2025-09-09"/>
    <n v="1"/>
    <s v="PASTO"/>
    <x v="3"/>
    <n v="49671.7"/>
    <n v="49671.7"/>
  </r>
  <r>
    <n v="68801"/>
    <s v="BARRIO LA PRADERA MEDELLIN 1"/>
    <n v="1128456767"/>
    <s v="0"/>
    <s v="3104461291"/>
    <s v="3104461291"/>
    <s v="CRA 55 47 SUR 12,LA PRADERA"/>
    <s v="6.179384"/>
    <s v="-75.638039"/>
    <s v="ANTIOQUIA"/>
    <s v="MEDELLÍN"/>
    <s v="MEDELLÍN"/>
    <n v="5001"/>
    <s v="2025-09-09"/>
    <n v="1"/>
    <s v="MEDELLIN"/>
    <x v="0"/>
    <n v="37313"/>
    <n v="37313"/>
  </r>
  <r>
    <n v="68886"/>
    <s v="PERPETUO SOCORRO 1"/>
    <n v="1061820704"/>
    <s v="0"/>
    <s v="3183749494"/>
    <s v="3183749494"/>
    <s v="CR 23 6 A 04 ,PERPETUO SOCORRO"/>
    <s v="2.445820"/>
    <s v="-76.621082"/>
    <s v="CAUCA"/>
    <s v="POPAYÁN"/>
    <s v="POPAYÁN"/>
    <n v="19001"/>
    <s v="2025-09-09"/>
    <n v="1"/>
    <s v="CALI"/>
    <x v="3"/>
    <n v="37313"/>
    <n v="37313"/>
  </r>
  <r>
    <n v="65258"/>
    <s v="BARRIO EL CONTENTO CUCUTA 1"/>
    <n v="1010110783"/>
    <s v="0"/>
    <s v="3223055449 "/>
    <s v="3223055449 "/>
    <s v="CL 17 15-110,EL CONTENTO"/>
    <s v="7.87898916"/>
    <s v="-72.5141141666"/>
    <s v="NORTE DE SANTANDER"/>
    <s v="CÚCUTA"/>
    <s v="CÚCUTA"/>
    <n v="54001"/>
    <s v="2025-09-09"/>
    <n v="1"/>
    <s v="CUCUTA"/>
    <x v="4"/>
    <n v="49671.7"/>
    <n v="49671.7"/>
  </r>
  <r>
    <n v="70806"/>
    <s v="BARRRIO CENTRO MEDELLIN "/>
    <n v="1017262555"/>
    <s v="6045075206"/>
    <s v="3222054646"/>
    <s v="3222054646"/>
    <s v="CALLE 56 50 145,CENTRO"/>
    <s v="6.2552989"/>
    <s v="-75.5665838"/>
    <s v="ANTIOQUIA"/>
    <s v="MEDELLÍN"/>
    <s v="MEDELLÍN"/>
    <n v="5001"/>
    <s v="2025-09-09"/>
    <n v="1"/>
    <s v="MEDELLIN"/>
    <x v="0"/>
    <n v="37313"/>
    <n v="37313"/>
  </r>
  <r>
    <n v="64729"/>
    <s v="BARRIO ANDALUCIA BELLO BELLO"/>
    <n v="901599617"/>
    <s v="6044443816"/>
    <s v="3005345764"/>
    <s v="3005345764"/>
    <s v="CR 52 55 107,ANDALUCIA BELLO"/>
    <s v="6.338976"/>
    <s v="-75.561430"/>
    <s v="ANTIOQUIA"/>
    <s v="BELLO"/>
    <s v="BELLO"/>
    <n v="5088"/>
    <s v="2025-09-09"/>
    <n v="1"/>
    <s v="MEDELLIN"/>
    <x v="0"/>
    <n v="37313"/>
    <n v="37313"/>
  </r>
  <r>
    <n v="78009"/>
    <s v="BARRIO ALTICO NEIVA 4"/>
    <n v="1075270525"/>
    <s v="3214125939"/>
    <s v="3214125939"/>
    <s v="3153926898"/>
    <s v="CL 9 13 15,ALTICO"/>
    <s v="2.9306061"/>
    <s v="-75.2818535"/>
    <s v="HUILA"/>
    <s v="NEIVA"/>
    <s v="NEIVA"/>
    <n v="41001"/>
    <s v="2025-09-09"/>
    <n v="1"/>
    <s v="NEIVA"/>
    <x v="1"/>
    <n v="49671.7"/>
    <n v="49671.7"/>
  </r>
  <r>
    <n v="64521"/>
    <s v="BARRIO LA VICTORIA BARRANQUILLA 1"/>
    <n v="901146967"/>
    <s v="3122997614"/>
    <s v="3008189764"/>
    <s v="3008189764"/>
    <s v="CL 45 C 14 61,LA VICTORIA"/>
    <s v="10.95569"/>
    <s v="-74.79948"/>
    <s v="ATLÁNTICO"/>
    <s v="BARRANQUILLA"/>
    <s v="BARRANQUILLA"/>
    <n v="8001"/>
    <s v="2025-09-09"/>
    <n v="1"/>
    <s v="BARRANQUILLA"/>
    <x v="5"/>
    <n v="37313"/>
    <n v="37313"/>
  </r>
  <r>
    <n v="78074"/>
    <s v="BARRIO CORREGIMIENTOS DE ARROYO GRANDE CARTAGENA DE INDIAS"/>
    <n v="45540420"/>
    <s v="3117771264"/>
    <s v="3117771264"/>
    <s v="3217432383"/>
    <s v="CR 25 CL 28 -283,CORREGIMIENTOS DE ARROYO GRANDE"/>
    <s v="10.6565196"/>
    <s v="-75.3478158"/>
    <s v="BOLÍVAR"/>
    <s v="CARTAGENA DE INDIAS"/>
    <s v="CARTAGENA DE INDIAS"/>
    <n v="13001"/>
    <s v="2025-09-09"/>
    <n v="1"/>
    <s v="CARTAGENA"/>
    <x v="5"/>
    <n v="49671.7"/>
    <n v="49671.7"/>
  </r>
  <r>
    <n v="68253"/>
    <s v="PAYON MEDELLIN"/>
    <n v="3363850"/>
    <s v="6044875113"/>
    <s v="3213821978"/>
    <s v="3147456247"/>
    <s v="CL 125 49 B 117,PAYON"/>
    <s v="6.3068121"/>
    <s v="-75.5515334"/>
    <s v="ANTIOQUIA"/>
    <s v="MEDELLÍN"/>
    <s v="MEDELLÍN"/>
    <n v="5001"/>
    <s v="2025-09-09"/>
    <n v="1"/>
    <s v="MEDELLIN"/>
    <x v="0"/>
    <n v="37313"/>
    <n v="37313"/>
  </r>
  <r>
    <n v="75928"/>
    <s v="BARRIO LOS HOYOS POPAYAN 7"/>
    <n v="87247883"/>
    <s v="0"/>
    <s v="3105183817"/>
    <s v="3166401409"/>
    <s v="CR 6 26AN 32 - LOS HOYOS,LOS HOYOS"/>
    <s v="2.4572179"/>
    <s v="-76.5897138"/>
    <s v="CAUCA"/>
    <s v="POPAYÁN"/>
    <s v="POPAYÁN"/>
    <n v="19001"/>
    <s v="2025-09-09"/>
    <n v="1"/>
    <s v="CALI"/>
    <x v="3"/>
    <n v="37313"/>
    <n v="37313"/>
  </r>
  <r>
    <n v="76051"/>
    <s v="BARRIO SAN ISIDRO VILLAVICENCIO 16"/>
    <n v="1121819593"/>
    <s v="3102325589"/>
    <s v="3134865679"/>
    <s v="3134865679"/>
    <s v="CL 36 27 94 BRR SAN ISIDRO,SAN ISIDRO"/>
    <s v="4.150131"/>
    <s v="-73.633708"/>
    <s v="META"/>
    <s v="VILLAVICENCIO"/>
    <s v="VILLAVICENCIO"/>
    <n v="50001"/>
    <s v="2025-09-09"/>
    <n v="1"/>
    <s v="VILLAVICENCIO"/>
    <x v="1"/>
    <n v="49671.7"/>
    <n v="49671.7"/>
  </r>
  <r>
    <n v="76174"/>
    <s v="BARRIO SIETE DE AGOSTO VILLAVICENCIO 8"/>
    <n v="86061462"/>
    <s v="3214686578"/>
    <s v="3108537501"/>
    <s v="3108537501"/>
    <s v="CL 26 C 37 38 SIETE DE AGOSTO,SIETE DE AGOSTO"/>
    <s v="4.140526"/>
    <s v="-73.637007"/>
    <s v="META"/>
    <s v="VILLAVICENCIO"/>
    <s v="VILLAVICENCIO"/>
    <n v="50001"/>
    <s v="2025-09-09"/>
    <n v="1"/>
    <s v="VILLAVICENCIO"/>
    <x v="1"/>
    <n v="49671.7"/>
    <n v="49671.7"/>
  </r>
  <r>
    <n v="67588"/>
    <s v="BARRIO LAS AMERICAS NEIVA"/>
    <n v="36311984"/>
    <s v="3238767318"/>
    <s v="3162846903"/>
    <s v="3143190121"/>
    <s v="CL 2 D 23 40,LAS AMÉRICAS"/>
    <s v="2.9239491"/>
    <s v="-75.2721805"/>
    <s v="HUILA"/>
    <s v="NEIVA"/>
    <s v="NEIVA"/>
    <n v="41001"/>
    <s v="2025-09-09"/>
    <n v="1"/>
    <s v="NEIVA"/>
    <x v="1"/>
    <n v="49671.7"/>
    <n v="49671.7"/>
  </r>
  <r>
    <n v="76076"/>
    <s v="BARRIO PRADO MEDELLIN  8"/>
    <n v="1090512079"/>
    <s v="3205934229"/>
    <s v="3175408861"/>
    <s v="3042670841"/>
    <s v="CL 53 49 126 LC 227"/>
    <s v="6.2524817"/>
    <s v="-75.5663226"/>
    <s v="ANTIOQUIA"/>
    <s v="MEDELLÍN"/>
    <s v="MEDELLÍN"/>
    <n v="5001"/>
    <s v="2025-09-09"/>
    <n v="1"/>
    <s v="MEDELLIN"/>
    <x v="0"/>
    <n v="37313"/>
    <n v="37313"/>
  </r>
  <r>
    <n v="73152"/>
    <s v="BARRIO SAN ROQUE BARRANQUILLA 8"/>
    <n v="72297940"/>
    <s v="3334000371"/>
    <s v="3014450716"/>
    <s v="3054724311"/>
    <s v="CL 30 33-132,SAN ROQUE"/>
    <s v="10.97282"/>
    <s v="-74.77882"/>
    <s v="ATLÁNTICO"/>
    <s v="BARRANQUILLA"/>
    <s v="BARRANQUILLA"/>
    <n v="8001"/>
    <s v="2025-09-09"/>
    <n v="1"/>
    <s v="BARRANQUILLA"/>
    <x v="5"/>
    <n v="37313"/>
    <n v="37313"/>
  </r>
  <r>
    <n v="72728"/>
    <s v="BARRIO CIUDAD CORDOBA CALI 5"/>
    <n v="1143984506"/>
    <s v="3178847904"/>
    <s v="3206738038"/>
    <s v="3178847904"/>
    <s v="KR 42 A # 53 - 71 L 3,CIUDAD CORDOBA"/>
    <s v="3.4024972"/>
    <s v="-76.5038358"/>
    <s v="VALLE DEL CAUCA"/>
    <s v="CALI"/>
    <s v="SANTIAGO DE CALI"/>
    <n v="76001"/>
    <s v="2025-09-09"/>
    <n v="1"/>
    <s v="CALI"/>
    <x v="3"/>
    <n v="37313"/>
    <n v="37313"/>
  </r>
  <r>
    <n v="72613"/>
    <s v="BARRIO CARLOS RAMIREZ PARIS CUCUTA"/>
    <n v="1005029093"/>
    <s v="3023678184"/>
    <s v="3219366458"/>
    <s v="3102187012"/>
    <s v="CL 7 NRO 5-28,CARLOS RAMIREZ PARIS"/>
    <s v="7.8937325"/>
    <s v="-72.5246892"/>
    <s v="NORTE DE SANTANDER"/>
    <s v="CÚCUTA"/>
    <s v="CÚCUTA"/>
    <n v="54001"/>
    <s v="2025-09-09"/>
    <n v="1"/>
    <s v="CUCUTA"/>
    <x v="4"/>
    <n v="49671.7"/>
    <n v="49671.7"/>
  </r>
  <r>
    <n v="67823"/>
    <s v="BARRIO BELISARIO BETANCOUR CUCUTA 2"/>
    <n v="1090387692"/>
    <s v="3133190678"/>
    <s v="0"/>
    <s v="3133190678"/>
    <s v="CL 15 NRO 9-08,BELISARIO BETANCOUR"/>
    <s v="7.54908"/>
    <s v="-72.5220"/>
    <s v="NORTE DE SANTANDER"/>
    <s v="CÚCUTA"/>
    <s v="CÚCUTA"/>
    <n v="54001"/>
    <s v="2025-09-09"/>
    <n v="1"/>
    <s v="CUCUTA"/>
    <x v="4"/>
    <n v="49671.7"/>
    <n v="49671.7"/>
  </r>
  <r>
    <n v="75981"/>
    <s v="BARRIO SAN ROQUE BARRANQUILLA 9"/>
    <n v="2090672"/>
    <s v="3244117447"/>
    <s v="3244117447"/>
    <s v="3015399880"/>
    <s v="CR 32 CL 31 -45,SAN ROQUE"/>
    <s v="10.97089"/>
    <s v="-74.78112"/>
    <s v="ATLÁNTICO"/>
    <s v="BARRANQUILLA"/>
    <s v="BARRANQUILLA"/>
    <n v="8001"/>
    <s v="2025-09-09"/>
    <n v="1"/>
    <s v="BARRANQUILLA"/>
    <x v="5"/>
    <n v="37313"/>
    <n v="37313"/>
  </r>
  <r>
    <n v="76341"/>
    <s v="BARRIO SANTA ROSA CALI 3"/>
    <n v="79517576"/>
    <s v="3104125870"/>
    <s v="3136773521"/>
    <s v="3146142714"/>
    <s v="KR 9 11 50 LC 34,SANTA ROSA"/>
    <s v="3.4480519"/>
    <s v="-76.5310487"/>
    <s v="VALLE DEL CAUCA"/>
    <s v="CALI"/>
    <s v="SANTIAGO DE CALI"/>
    <n v="76001"/>
    <s v="2025-09-09"/>
    <n v="1"/>
    <s v="CALI"/>
    <x v="3"/>
    <n v="37313"/>
    <n v="37313"/>
  </r>
  <r>
    <n v="64733"/>
    <s v="BARRIO LA LUZ BARRANQUILLA 3"/>
    <n v="1143469697"/>
    <s v="3145470060"/>
    <s v="3024029660"/>
    <s v="3024029660"/>
    <s v="CL 16 No 15 - 4 Pi 1 Ap 1,LA LUZ"/>
    <s v="10.95425"/>
    <s v="-74.77301"/>
    <s v="ATLÁNTICO"/>
    <s v="BARRANQUILLA"/>
    <s v="BARRANQUILLA"/>
    <n v="8001"/>
    <s v="2025-09-09"/>
    <n v="1"/>
    <s v="BARRANQUILLA"/>
    <x v="5"/>
    <n v="37313"/>
    <n v="37313"/>
  </r>
  <r>
    <n v="65429"/>
    <s v="BARRIO LAS PALMAS NEIVA 5"/>
    <n v="7726456"/>
    <s v="3152021715"/>
    <s v="3152021715"/>
    <s v="3152021715"/>
    <s v="CR 52 21 80,LAS PALMAS"/>
    <s v="2.9433928"/>
    <s v="-75.248767"/>
    <s v="HUILA"/>
    <s v="NEIVA"/>
    <s v="NEIVA"/>
    <n v="41001"/>
    <s v="2025-09-09"/>
    <n v="1"/>
    <s v="NEIVA"/>
    <x v="1"/>
    <n v="49671.7"/>
    <n v="49671.7"/>
  </r>
  <r>
    <n v="74276"/>
    <s v="BARRIO EL CENTRO CUCUTA 78"/>
    <n v="88214725"/>
    <s v="3132843428"/>
    <s v="3132843428"/>
    <s v="3132843428"/>
    <s v="AV 5 NRO 12 82,EL CENTRO"/>
    <s v="7.8918919"/>
    <s v="-72.5065362"/>
    <s v="NORTE DE SANTANDER"/>
    <s v="CÚCUTA"/>
    <s v="CÚCUTA"/>
    <n v="54001"/>
    <s v="2025-09-09"/>
    <n v="1"/>
    <s v="CUCUTA"/>
    <x v="4"/>
    <n v="49671.7"/>
    <n v="49671.7"/>
  </r>
  <r>
    <n v="74326"/>
    <s v="BARRIO LA FLRORESTA POPAYAN"/>
    <n v="1061726829"/>
    <s v="3183811783"/>
    <s v="3183811783"/>
    <s v="3183811783"/>
    <s v="CL3 # 21B- 08 LC1 BRR PANDIGUANDO"/>
    <s v="2.4477777"/>
    <s v="-76.6187852"/>
    <s v="CAUCA"/>
    <s v="POPAYÁN"/>
    <s v="POPAYÁN"/>
    <n v="19001"/>
    <s v="2025-09-09"/>
    <n v="1"/>
    <s v="CALI"/>
    <x v="3"/>
    <n v="37313"/>
    <n v="37313"/>
  </r>
  <r>
    <n v="76673"/>
    <s v="BARRIO MANUELA BELTRAN CUCUTA"/>
    <n v="1004925067"/>
    <s v="3138410441"/>
    <s v="3112750265"/>
    <s v="3112750265"/>
    <s v="MZ V LT 469,MANUELA BELTRAN"/>
    <s v="7.874690"/>
    <s v="-72.539152"/>
    <s v="NORTE DE SANTANDER"/>
    <s v="CÚCUTA"/>
    <s v="CÚCUTA"/>
    <n v="54001"/>
    <s v="2025-09-09"/>
    <n v="1"/>
    <s v="CUCUTA"/>
    <x v="4"/>
    <n v="49671.7"/>
    <n v="49671.7"/>
  </r>
  <r>
    <n v="77268"/>
    <s v="BARRIO ACEVEDO MEDELLIN"/>
    <n v="15533260"/>
    <s v="3217630067"/>
    <s v="3206711475"/>
    <s v="3206711475"/>
    <s v="CR 52 109 20,ACEVEDO"/>
    <s v="6.3008049"/>
    <s v="-75.5566365"/>
    <s v="ANTIOQUIA"/>
    <s v="MEDELLÍN"/>
    <s v="MEDELLÍN"/>
    <n v="5001"/>
    <s v="2025-09-09"/>
    <n v="1"/>
    <s v="MEDELLIN"/>
    <x v="0"/>
    <n v="37313"/>
    <n v="37313"/>
  </r>
  <r>
    <n v="75324"/>
    <s v="BARRIO CIUDAD CORDOBA CALI 7"/>
    <n v="1105361231"/>
    <s v="3174791648"/>
    <s v="3174791648"/>
    <s v="3174791648"/>
    <s v="CR 43 A 48 - 131,CIUDAD CORDOBA"/>
    <s v="3.4026690"/>
    <s v="-76.5083203"/>
    <s v="VALLE DEL CAUCA"/>
    <s v="CALI"/>
    <s v="SANTIAGO DE CALI"/>
    <n v="76001"/>
    <s v="2025-09-09"/>
    <n v="1"/>
    <s v="CALI"/>
    <x v="3"/>
    <n v="37313"/>
    <n v="37313"/>
  </r>
  <r>
    <n v="76725"/>
    <s v="BARRIO EL PORTICO CUCUTA 1"/>
    <n v="1093737519"/>
    <s v="3204246940"/>
    <s v="3204246940"/>
    <s v="3204246940"/>
    <s v="AV PRINCIPAL NRO 22 1A,EL PORTICO"/>
    <s v="7.846435"/>
    <s v="-72.520727"/>
    <s v="NORTE DE SANTANDER"/>
    <s v="CÚCUTA"/>
    <s v="CÚCUTA"/>
    <n v="54001"/>
    <s v="2025-09-09"/>
    <n v="1"/>
    <s v="CUCUTA"/>
    <x v="4"/>
    <n v="49671.7"/>
    <n v="49671.7"/>
  </r>
  <r>
    <n v="75844"/>
    <s v="BARRIO REBOLO BARRANQUILLA 3"/>
    <n v="1143442466"/>
    <s v="3002366383"/>
    <s v="3002366383"/>
    <s v="3008298305"/>
    <s v="CL 21 25-07 L -2,REBOLO"/>
    <s v="10.96293"/>
    <s v="-74.77715"/>
    <s v="ATLÁNTICO"/>
    <s v="BARRANQUILLA"/>
    <s v="BARRANQUILLA"/>
    <n v="8001"/>
    <s v="2025-09-09"/>
    <n v="1"/>
    <s v="BARRANQUILLA"/>
    <x v="5"/>
    <n v="37313"/>
    <n v="37313"/>
  </r>
  <r>
    <n v="78598"/>
    <s v="BARRIO FONTIBON RECODO BOGOTA 2"/>
    <n v="1030570421"/>
    <s v="3112695194"/>
    <s v="3112695194"/>
    <s v="3134053933"/>
    <s v="CL 15 119 A 40"/>
    <s v="4.6819204"/>
    <s v="-74.1635488"/>
    <s v="CUNDINAMARCA"/>
    <s v="BOGOTÁ"/>
    <s v="BOGOTÁ"/>
    <n v="11001"/>
    <s v="2025-09-09"/>
    <n v="1"/>
    <s v="BOGOTA"/>
    <x v="2"/>
    <n v="37313"/>
    <n v="37313"/>
  </r>
  <r>
    <n v="74187"/>
    <s v="BARRIO PRADO LAS GRANJAS BELLO"/>
    <n v="1037585759"/>
    <s v="3006320268"/>
    <s v="3054100060"/>
    <s v="3006320268"/>
    <s v="CR 45 54 66,PRADO LAS GRANJAS"/>
    <s v="6.3387954"/>
    <s v="-75.5544899"/>
    <s v="ANTIOQUIA"/>
    <s v="BELLO"/>
    <s v="BELLO"/>
    <n v="5088"/>
    <s v="2025-09-09"/>
    <n v="1"/>
    <s v="MEDELLIN"/>
    <x v="0"/>
    <n v="37313"/>
    <n v="37313"/>
  </r>
  <r>
    <n v="74376"/>
    <s v="BARRIO EL ESCOBAR CUCUTA"/>
    <n v="1003379122"/>
    <s v="3206362579"/>
    <s v="3212185604"/>
    <s v="3212185604"/>
    <s v="CL 4 NRO. 7-89 LT 3 LC 1,EL ESCOBAL"/>
    <s v="7.8918919"/>
    <s v="-72.4883459"/>
    <s v="NORTE DE SANTANDER"/>
    <s v="CÚCUTA"/>
    <s v="CÚCUTA"/>
    <n v="54001"/>
    <s v="2025-09-09"/>
    <n v="1"/>
    <s v="CUCUTA"/>
    <x v="4"/>
    <n v="49671.7"/>
    <n v="49671.7"/>
  </r>
  <r>
    <n v="74396"/>
    <s v="BARRIO OLARTE BOGOTA 3"/>
    <n v="1024463037"/>
    <s v="3004818986"/>
    <s v="3004813986"/>
    <s v="3004813986"/>
    <s v="CR 72 D 56 17 SUR,OLARTE"/>
    <s v="4.6025252"/>
    <s v="-74.1660083"/>
    <s v="CUNDINAMARCA"/>
    <s v="BOGOTÁ"/>
    <s v="BOGOTÁ"/>
    <n v="11001"/>
    <s v="2025-09-09"/>
    <n v="1"/>
    <s v="BOGOTA"/>
    <x v="2"/>
    <n v="37313"/>
    <n v="37313"/>
  </r>
  <r>
    <n v="79050"/>
    <s v="BARRIO MANZANARES CALI"/>
    <n v="94061911"/>
    <s v="3206579930"/>
    <s v="3043494817"/>
    <s v="3206579930"/>
    <s v="CR 2 44 100 ESQ,MANZANARES"/>
    <s v="3.4660228"/>
    <s v="-76.5074672"/>
    <s v="VALLE DEL CAUCA"/>
    <s v="CALI"/>
    <s v="SANTIAGO DE CALI"/>
    <n v="76001"/>
    <s v="2025-09-09"/>
    <n v="1"/>
    <s v="CALI"/>
    <x v="3"/>
    <n v="37313"/>
    <n v="37313"/>
  </r>
  <r>
    <n v="79315"/>
    <s v="BARRIO SENDOYA PASTO 1"/>
    <n v="12751554"/>
    <s v="3187366435"/>
    <s v="3123717531"/>
    <s v="3187366435"/>
    <s v="CL 20 6A 7 SENDOYA,SENDOYA"/>
    <s v="1.2028098"/>
    <s v="-77.2676732"/>
    <s v="NARIÑO"/>
    <s v="PASTO"/>
    <s v="SAN JUAN DE PASTO"/>
    <n v="52001"/>
    <s v="2025-09-09"/>
    <n v="1"/>
    <s v="PASTO"/>
    <x v="3"/>
    <n v="49671.7"/>
    <n v="49671.7"/>
  </r>
  <r>
    <n v="75840"/>
    <s v="BARRIO SAN JOSE CUCUTA 3"/>
    <n v="1094045980"/>
    <s v="3148346478"/>
    <s v="3148346478"/>
    <s v="3148346478"/>
    <s v="AV 20 14 24 LC 2,SAN JOSE"/>
    <s v="7.880015"/>
    <s v="-72.517779"/>
    <s v="NORTE DE SANTANDER"/>
    <s v="CÚCUTA"/>
    <s v="CÚCUTA"/>
    <n v="54001"/>
    <s v="2025-09-09"/>
    <n v="1"/>
    <s v="CUCUTA"/>
    <x v="4"/>
    <n v="49671.7"/>
    <n v="49671.7"/>
  </r>
  <r>
    <n v="74280"/>
    <s v="BARRIO RUDESINDO SOTO CUCUTA 2"/>
    <n v="1093916061"/>
    <s v="3163712343"/>
    <s v="3163712343"/>
    <s v="3163712343"/>
    <s v="AV 30 NRO 17 31,RUDESINDO SOTO"/>
    <s v="7.8817794"/>
    <s v="-72.5266257"/>
    <s v="NORTE DE SANTANDER"/>
    <s v="CÚCUTA"/>
    <s v="CÚCUTA"/>
    <n v="54001"/>
    <s v="2025-09-09"/>
    <n v="1"/>
    <s v="CUCUTA"/>
    <x v="4"/>
    <n v="49671.7"/>
    <n v="49671.7"/>
  </r>
  <r>
    <n v="75145"/>
    <s v="BARRIO ENCISO MEDELLIN 21"/>
    <n v="22108273"/>
    <s v="0"/>
    <s v="3128203511"/>
    <s v="3128203511"/>
    <s v="CR 23 57 - 36,ENCISO"/>
    <s v="6.2491669"/>
    <s v="-75.5435273"/>
    <s v="ANTIOQUIA"/>
    <s v="MEDELLÍN"/>
    <s v="MEDELLÍN"/>
    <n v="5001"/>
    <s v="2025-09-09"/>
    <n v="1"/>
    <s v="MEDELLIN"/>
    <x v="0"/>
    <n v="37313"/>
    <n v="37313"/>
  </r>
  <r>
    <n v="76786"/>
    <s v="BARRIO EL CHARCO 1 BOGOTA"/>
    <n v="1016000469"/>
    <s v="3193799817"/>
    <s v="3193799817"/>
    <s v="3193799817"/>
    <s v="CL 15 119A 40 BL 1 CA 2,EL CHARCO 1"/>
    <s v="4.6816222"/>
    <s v="-74.1639991"/>
    <s v="CUNDINAMARCA"/>
    <s v="BOGOTÁ"/>
    <s v="BOGOTÁ"/>
    <n v="11001"/>
    <s v="2025-09-09"/>
    <n v="1"/>
    <s v="BOGOTA"/>
    <x v="2"/>
    <n v="37313"/>
    <n v="37313"/>
  </r>
  <r>
    <n v="76969"/>
    <s v="BARRIO CENTRO POPAYAN 28"/>
    <n v="42878225"/>
    <s v="0"/>
    <s v="3246816416"/>
    <s v="3126800904"/>
    <s v="CR 5 3 - 73 - CENTRO,CENTRO"/>
    <s v="2.4421178"/>
    <s v="-76.6047035"/>
    <s v="CAUCA"/>
    <s v="POPAYÁN"/>
    <s v="POPAYÁN"/>
    <n v="19001"/>
    <s v="2025-09-09"/>
    <n v="1"/>
    <s v="CALI"/>
    <x v="3"/>
    <n v="37313"/>
    <n v="37313"/>
  </r>
  <r>
    <n v="80082"/>
    <s v="BARRIO EL PLAYON MEDELLIN 2"/>
    <n v="70828051"/>
    <s v="3146337872"/>
    <s v="3146337872"/>
    <m/>
    <s v="CL 123 50 B 35,EL PLAYON"/>
    <s v="6.3061858"/>
    <s v="-75.5531476"/>
    <s v="ANTIOQUIA"/>
    <s v="MEDELLÍN"/>
    <s v="MEDELLÍN"/>
    <n v="5001"/>
    <s v="2025-09-09"/>
    <n v="1"/>
    <s v="MEDELLIN"/>
    <x v="0"/>
    <n v="37313"/>
    <n v="37313"/>
  </r>
  <r>
    <n v="75513"/>
    <s v="BARRIO CONGOLO BELLO"/>
    <n v="1011510257"/>
    <s v="3113402560"/>
    <s v="3113402560"/>
    <s v="3227568691"/>
    <s v="CR 47 57 30,CONGOLO"/>
    <s v="6.3403374"/>
    <s v="-75.5567395"/>
    <s v="ANTIOQUIA"/>
    <s v="BELLO"/>
    <s v="BELLO"/>
    <n v="5088"/>
    <s v="2025-09-09"/>
    <n v="2"/>
    <s v="MEDELLIN"/>
    <x v="0"/>
    <n v="37313"/>
    <n v="74626"/>
  </r>
  <r>
    <n v="75800"/>
    <s v="BARRIO JORDAN 7 ETAPA IBAGUE 8"/>
    <n v="1106780694"/>
    <s v="3102914156"/>
    <s v="3102914156"/>
    <s v="3224753069"/>
    <s v="CA 6 MZ57,JORDAN 7 ETAPA"/>
    <s v="4.4423332"/>
    <s v="-75.1974958"/>
    <s v="TOLIMA"/>
    <s v="IBAGUÉ"/>
    <s v="IBAGUÉ"/>
    <n v="73001"/>
    <s v="2025-09-09"/>
    <n v="1"/>
    <s v="IBAGUE"/>
    <x v="1"/>
    <n v="49671.7"/>
    <n v="49671.7"/>
  </r>
  <r>
    <n v="77388"/>
    <s v="BARRIO PINOS DE LOMBARDIA BOGOTA"/>
    <n v="52987913"/>
    <s v="3023231785"/>
    <s v="3023231785"/>
    <s v="3183554376"/>
    <s v="CL 151C 107 10 LC 7,PINOS DE LOMBARDIA"/>
    <s v="4.7521733"/>
    <s v="-74.0951100"/>
    <s v="CUNDINAMARCA"/>
    <s v="BOGOTÁ"/>
    <s v="BOGOTÁ"/>
    <n v="11001"/>
    <s v="2025-09-09"/>
    <n v="1"/>
    <s v="BOGOTA"/>
    <x v="2"/>
    <n v="37313"/>
    <n v="37313"/>
  </r>
  <r>
    <n v="77596"/>
    <s v="BARRIO CORREGIMIENTO DE  BAYUNCA CARTAAGENA DE INDIAS"/>
    <n v="1047380051"/>
    <s v="3016751739"/>
    <s v="3012899763"/>
    <s v="3012899763"/>
    <s v="CL 9 CR 9 # 27 LC 4,CORREGIMETO DE BAYUNCA"/>
    <s v="10.5345972"/>
    <s v="-75.3978132"/>
    <s v="BOLÍVAR"/>
    <s v="CARTAGENA DE INDIAS"/>
    <s v="CARTAGENA DE INDIAS"/>
    <n v="13001"/>
    <s v="2025-09-09"/>
    <n v="1"/>
    <s v="CARTAGENA"/>
    <x v="5"/>
    <n v="49671.7"/>
    <n v="49671.7"/>
  </r>
  <r>
    <n v="28944"/>
    <s v="BARRIO SAN ANTONIO DE PRADO MEDELLIN"/>
    <n v="42767170"/>
    <s v="2867561"/>
    <s v="3164798478"/>
    <s v="3164798478"/>
    <s v="CL 43 S 78 36 101"/>
    <s v="6.1837523"/>
    <s v="-75.6558951"/>
    <s v="ANTIOQUIA"/>
    <s v="MEDELLÍN"/>
    <s v="MEDELLÍN"/>
    <n v="5001"/>
    <s v="2025-09-10"/>
    <n v="1"/>
    <s v="MEDELLIN"/>
    <x v="0"/>
    <n v="37313"/>
    <n v="37313"/>
  </r>
  <r>
    <n v="17058"/>
    <s v="BARRIO SUBA BOCHALEMA BOGOTA"/>
    <n v="19287506"/>
    <s v="5371778"/>
    <s v="3177142055"/>
    <s v="3177142055"/>
    <s v=" CR 103A  140B-04 SUBA BOCHALEMA"/>
    <s v="4.7427907"/>
    <s v="-74.0953206"/>
    <s v="CUNDINAMARCA"/>
    <s v="BOGOTÁ"/>
    <s v="BOGOTÁ"/>
    <n v="11001"/>
    <s v="2025-09-10"/>
    <n v="1"/>
    <s v="BOGOTA"/>
    <x v="2"/>
    <n v="37313"/>
    <n v="37313"/>
  </r>
  <r>
    <n v="23336"/>
    <s v="BARRIO GRANIZAL - MEDELLÍN"/>
    <n v="71657148"/>
    <s v="5288726"/>
    <s v="3002399619"/>
    <s v="3002399619"/>
    <s v=" CL 101 B 33 DD 35"/>
    <s v="6.2904830"/>
    <s v="-75.5441587"/>
    <s v="ANTIOQUIA"/>
    <s v="MEDELLÍN"/>
    <s v="MEDELLÍN"/>
    <n v="5001"/>
    <s v="2025-09-10"/>
    <n v="1"/>
    <s v="MEDELLIN"/>
    <x v="0"/>
    <n v="37313"/>
    <n v="37313"/>
  </r>
  <r>
    <n v="27023"/>
    <s v="BARRIO PARQUE RESIDENCIA EL COUNTRY"/>
    <n v="45470464"/>
    <s v="6451617"/>
    <s v="3007185102"/>
    <s v="3007185102"/>
    <s v=" MZ K LT4"/>
    <s v="10.3918302"/>
    <s v="-75.4941483"/>
    <s v="BOLÍVAR"/>
    <s v="CARTAGENA DE INDIAS"/>
    <s v="CARTAGENA DE INDIAS"/>
    <n v="13001"/>
    <s v="2025-09-10"/>
    <n v="1"/>
    <s v="CARTAGENA"/>
    <x v="5"/>
    <n v="49671.7"/>
    <n v="49671.7"/>
  </r>
  <r>
    <n v="21427"/>
    <s v="BARRIO MIRADOR - BELLO"/>
    <n v="98647834"/>
    <s v="4519636"/>
    <s v="3128276344"/>
    <s v="3128276344"/>
    <s v=" CR 52 67 05"/>
    <s v="6.3473845"/>
    <s v="-75.5594657"/>
    <s v="ANTIOQUIA"/>
    <s v="BELLO"/>
    <s v="BELLO"/>
    <n v="5088"/>
    <s v="2025-09-10"/>
    <n v="1"/>
    <s v="MEDELLIN"/>
    <x v="0"/>
    <n v="37313"/>
    <n v="37313"/>
  </r>
  <r>
    <n v="16099"/>
    <s v="BARRIO LA DECENA III CALDAS"/>
    <n v="39161944"/>
    <s v="2780881"/>
    <s v="3127060937"/>
    <s v="3127060937"/>
    <s v=" CL 124 SUR  50-01"/>
    <s v="6.0962288"/>
    <s v="-75.6365146"/>
    <s v="ANTIOQUIA"/>
    <s v="CALDAS"/>
    <s v="CALDAS"/>
    <n v="5129"/>
    <s v="2025-09-10"/>
    <n v="1"/>
    <s v="MEDELLIN"/>
    <x v="0"/>
    <n v="37313"/>
    <n v="37313"/>
  </r>
  <r>
    <n v="21665"/>
    <s v="BARRIO JUAN DEL CORRAL II - MEDELLIN"/>
    <n v="811004541"/>
    <s v="4444715"/>
    <s v="3122596516"/>
    <s v="3122596516"/>
    <s v="CR 52 57 43"/>
    <s v="6.256698"/>
    <s v="-75.567859"/>
    <s v="ANTIOQUIA"/>
    <s v="MEDELLÍN"/>
    <s v="MEDELLÍN"/>
    <n v="5001"/>
    <s v="2025-09-10"/>
    <n v="1"/>
    <s v="MEDELLIN"/>
    <x v="0"/>
    <n v="37313"/>
    <n v="37313"/>
  </r>
  <r>
    <n v="28098"/>
    <s v="BARRIO PRADO 5 BARRANQUILLA"/>
    <n v="13822745"/>
    <s v="3602488"/>
    <s v="3016153636"/>
    <s v="3016153636"/>
    <s v=" CL 75 59 52"/>
    <s v="11.00491"/>
    <s v="-74.79937"/>
    <s v="ATLÁNTICO"/>
    <s v="BARRANQUILLA"/>
    <s v="BARRANQUILLA"/>
    <n v="8001"/>
    <s v="2025-09-10"/>
    <n v="1"/>
    <s v="BARRANQUILLA"/>
    <x v="5"/>
    <n v="37313"/>
    <n v="37313"/>
  </r>
  <r>
    <n v="13942"/>
    <s v="BARRIO USNO NEIVA"/>
    <n v="7709849"/>
    <s v="8719767"/>
    <s v="3142168053"/>
    <s v="3142168053"/>
    <s v=" AV 26 CR 1A LC-4"/>
    <s v="2.9414833"/>
    <s v="-75.2992361"/>
    <s v="HUILA"/>
    <s v="NEIVA"/>
    <s v="NEIVA"/>
    <n v="41001"/>
    <s v="2025-09-10"/>
    <n v="1"/>
    <s v="NEIVA"/>
    <x v="1"/>
    <n v="49671.7"/>
    <n v="49671.7"/>
  </r>
  <r>
    <n v="21801"/>
    <s v="BARRIO FIESTA SUBA - BOGOTÁ"/>
    <n v="6758973"/>
    <s v="6821763"/>
    <s v="3156114803"/>
    <s v="3156114803"/>
    <s v=" CR 101  147-21 LC-061"/>
    <s v="4.7444292"/>
    <s v="-74.09182744"/>
    <s v="CUNDINAMARCA"/>
    <s v="BOGOTÁ"/>
    <s v="BOGOTÁ"/>
    <n v="11001"/>
    <s v="2025-09-10"/>
    <n v="1"/>
    <s v="BOGOTA"/>
    <x v="2"/>
    <n v="37313"/>
    <n v="37313"/>
  </r>
  <r>
    <n v="16540"/>
    <s v="BARRIO LOS OLIVOS II BARRANQUILLA"/>
    <n v="32673023"/>
    <s v="3822069"/>
    <s v="3012872277"/>
    <s v="3012872277"/>
    <s v=" CR 21  104-22 LOS OLIVOS"/>
    <s v="10.96988"/>
    <s v="-74.83220"/>
    <s v="ATLÁNTICO"/>
    <s v="BARRANQUILLA"/>
    <s v="BARRANQUILLA"/>
    <n v="8001"/>
    <s v="2025-09-10"/>
    <n v="1"/>
    <s v="BARRANQUILLA"/>
    <x v="5"/>
    <n v="37313"/>
    <n v="37313"/>
  </r>
  <r>
    <n v="30464"/>
    <s v="BARRIO ENCISO LAS GRANJAS - MEDELLIN"/>
    <n v="1128465962"/>
    <s v="2580857"/>
    <s v="3007691030"/>
    <s v="3007691030"/>
    <s v=" CL 56 BB  21 132 LC 101"/>
    <s v="6.2429011"/>
    <s v="-75.5427278"/>
    <s v="ANTIOQUIA"/>
    <s v="MEDELLÍN"/>
    <s v="MEDELLÍN"/>
    <n v="5001"/>
    <s v="2025-09-10"/>
    <n v="1"/>
    <s v="MEDELLIN"/>
    <x v="0"/>
    <n v="37313"/>
    <n v="37313"/>
  </r>
  <r>
    <n v="34257"/>
    <s v="BARRIO FONTIBON CENTRO"/>
    <n v="1087992782"/>
    <s v="7928489"/>
    <s v="3108330145"/>
    <s v="3108330145"/>
    <s v="CL 18 114 04"/>
    <s v="4.68313333"/>
    <s v="-74.1522233"/>
    <s v="CUNDINAMARCA"/>
    <s v="BOGOTÁ"/>
    <s v="BOGOTÁ"/>
    <n v="11001"/>
    <s v="2025-09-10"/>
    <n v="1"/>
    <s v="BOGOTA"/>
    <x v="2"/>
    <n v="37313"/>
    <n v="37313"/>
  </r>
  <r>
    <n v="13493"/>
    <s v="BARRIO CENTRO III - SAN ANTONIO DE PRADO"/>
    <n v="31975751"/>
    <s v="4443580"/>
    <s v="3217811990"/>
    <s v="3217811990"/>
    <s v=" CL 10  8-34 CENTRO SAN ANTONIO DE PRADO"/>
    <s v="6.1846348"/>
    <s v="-75.6556709"/>
    <s v="ANTIOQUIA"/>
    <s v="MEDELLÍN"/>
    <s v="MEDELLÍN"/>
    <n v="5001"/>
    <s v="2025-09-10"/>
    <n v="1"/>
    <s v="MEDELLIN"/>
    <x v="0"/>
    <n v="37313"/>
    <n v="37313"/>
  </r>
  <r>
    <n v="17195"/>
    <s v="BARRIO MIRAFLORES PASTO"/>
    <n v="30709120"/>
    <s v="8600663"/>
    <s v="3183513334"/>
    <s v="3183513334"/>
    <s v=" MZ J CS 11 CIUDAD REAL"/>
    <s v="1.2179437"/>
    <s v="-77.2722069"/>
    <s v="NARIÑO"/>
    <s v="PASTO"/>
    <s v="SAN JUAN DE PASTO"/>
    <n v="52001"/>
    <s v="2025-09-10"/>
    <n v="1"/>
    <s v="PASTO"/>
    <x v="3"/>
    <n v="49671.7"/>
    <n v="49671.7"/>
  </r>
  <r>
    <n v="22935"/>
    <s v="BARRIO NIÑA CECI III - CÚCUTA"/>
    <n v="60329691"/>
    <s v="5813512"/>
    <s v="3208502634"/>
    <s v="3208502634"/>
    <s v="CL 85 48 01 BQ 8 LC 16"/>
    <s v="7.8964738"/>
    <s v="-72.5291007"/>
    <s v="NORTE DE SANTANDER"/>
    <s v="CÚCUTA"/>
    <s v="CÚCUTA"/>
    <n v="54001"/>
    <s v="2025-09-10"/>
    <n v="2"/>
    <s v="CUCUTA"/>
    <x v="4"/>
    <n v="49671.7"/>
    <n v="99343.4"/>
  </r>
  <r>
    <n v="15338"/>
    <s v="BARRIO LAS DELICIAS III BARRANQUILLA"/>
    <n v="5017730"/>
    <s v="3566155"/>
    <s v="3012500401"/>
    <s v="3012500401"/>
    <s v=" CL 73  39B-60 TORRE 2 APTO 20"/>
    <s v="10.9872412"/>
    <s v="-74.8102424"/>
    <s v="ATLÁNTICO"/>
    <s v="BARRANQUILLA"/>
    <s v="BARRANQUILLA"/>
    <n v="8001"/>
    <s v="2025-09-10"/>
    <n v="1"/>
    <s v="BARRANQUILLA"/>
    <x v="5"/>
    <n v="37313"/>
    <n v="37313"/>
  </r>
  <r>
    <n v="29693"/>
    <s v="BARRIO KIRPAS 2 VILLAVICENCIO"/>
    <n v="40189288"/>
    <s v="6853933"/>
    <s v="3105849637"/>
    <s v="3105849637"/>
    <s v=" CL 21 SUR   19 A 36"/>
    <s v="4.118215"/>
    <s v="-73.585157"/>
    <s v="META"/>
    <s v="VILLAVICENCIO"/>
    <s v="VILLAVICENCIO"/>
    <n v="50001"/>
    <s v="2025-09-10"/>
    <n v="2"/>
    <s v="VILLAVICENCIO"/>
    <x v="1"/>
    <n v="49671.7"/>
    <n v="99343.4"/>
  </r>
  <r>
    <n v="32880"/>
    <s v="BARRIO SAN BLAS BOGOTA"/>
    <n v="52062527"/>
    <s v="2077442"/>
    <s v="3138526223"/>
    <s v="3138526223"/>
    <s v="CR 9C ESTE 21 73 SUR LC 2"/>
    <s v="4.5688305"/>
    <s v="-74.0849810"/>
    <s v="CUNDINAMARCA"/>
    <s v="BOGOTÁ"/>
    <s v="BOGOTÁ"/>
    <n v="11001"/>
    <s v="2025-09-10"/>
    <n v="1"/>
    <s v="BOGOTA"/>
    <x v="2"/>
    <n v="37313"/>
    <n v="37313"/>
  </r>
  <r>
    <n v="26321"/>
    <s v="PARQUE DE SAN ANTONIO DE PRADO - MEDELLÍN"/>
    <n v="1040740425"/>
    <s v="2866269"/>
    <s v="3116390441"/>
    <s v="3116390441"/>
    <s v=" CR 78 41 SUR 04 CORR SAN ANTONIO DE PRADO"/>
    <s v="6.1852228"/>
    <s v="-75.6552851"/>
    <s v="ANTIOQUIA"/>
    <s v="MEDELLÍN"/>
    <s v="MEDELLÍN"/>
    <n v="5001"/>
    <s v="2025-09-10"/>
    <n v="1"/>
    <s v="MEDELLIN"/>
    <x v="0"/>
    <n v="37313"/>
    <n v="37313"/>
  </r>
  <r>
    <n v="36898"/>
    <s v="BARRIO CALI VALLE DEL CAUCA 1"/>
    <n v="94403921"/>
    <s v="3857834"/>
    <s v="3014209983"/>
    <s v="3193296764"/>
    <s v=" CL 54 NORTE 8 A 15 ESQ POR DEDINIR"/>
    <s v="3.4874052"/>
    <s v="-76.5309517"/>
    <s v="VALLE DEL CAUCA"/>
    <s v="CALI"/>
    <s v="SANTIAGO DE CALI"/>
    <n v="76001"/>
    <s v="2025-09-10"/>
    <n v="1"/>
    <s v="CALI"/>
    <x v="3"/>
    <n v="37313"/>
    <n v="37313"/>
  </r>
  <r>
    <n v="34846"/>
    <s v="BARRIO CIUDAD CORDOBA RESERVADO 1  CALI"/>
    <n v="41955091"/>
    <s v="4279756"/>
    <s v="3173806901"/>
    <s v="3173806901"/>
    <s v=" CR 48 B 54 D 72"/>
    <s v="3.394525000"/>
    <s v="-76.50952"/>
    <s v="VALLE DEL CAUCA"/>
    <s v="CALI"/>
    <s v="SANTIAGO DE CALI"/>
    <n v="76001"/>
    <s v="2025-09-10"/>
    <n v="2"/>
    <s v="CALI"/>
    <x v="3"/>
    <n v="37313"/>
    <n v="74626"/>
  </r>
  <r>
    <n v="33005"/>
    <s v="BARRIO NUEVO CUCUTA"/>
    <n v="1093740450"/>
    <s v="5827148"/>
    <s v="3124500034"/>
    <s v="3124500034"/>
    <s v=" AV 25 24 12  NUEVO"/>
    <s v="7.8728933"/>
    <s v="-72.5261958"/>
    <s v="NORTE DE SANTANDER"/>
    <s v="CÚCUTA"/>
    <s v="CÚCUTA"/>
    <n v="54001"/>
    <s v="2025-09-10"/>
    <n v="1"/>
    <s v="CUCUTA"/>
    <x v="4"/>
    <n v="49671.7"/>
    <n v="49671.7"/>
  </r>
  <r>
    <n v="18482"/>
    <s v="BARRIO ENCISO V -MEDELLÍN"/>
    <n v="71737732"/>
    <s v="2395606"/>
    <s v="3003673669"/>
    <s v="3003673669"/>
    <s v=" CL 57C 29 65"/>
    <s v="6.2483099"/>
    <s v="-75.5497998"/>
    <s v="ANTIOQUIA"/>
    <s v="MEDELLÍN"/>
    <s v="MEDELLÍN"/>
    <n v="5001"/>
    <s v="2025-09-10"/>
    <n v="1"/>
    <s v="MEDELLIN"/>
    <x v="0"/>
    <n v="37313"/>
    <n v="37313"/>
  </r>
  <r>
    <n v="44999"/>
    <s v="BARRIO PRADO MEDELLIN 5"/>
    <n v="901227308"/>
    <s v="2361029"/>
    <s v="3016247099"/>
    <s v="3016247099"/>
    <s v="CL 57 53 10,PRADO"/>
    <s v="6.2566294"/>
    <s v="-75.5690289"/>
    <s v="ANTIOQUIA"/>
    <s v="MEDELLÍN"/>
    <s v="MEDELLÍN"/>
    <n v="5001"/>
    <s v="2025-09-10"/>
    <n v="1"/>
    <s v="MEDELLIN"/>
    <x v="0"/>
    <n v="37313"/>
    <n v="37313"/>
  </r>
  <r>
    <n v="35055"/>
    <s v=" BARRIO FONTIBON BAHIA SOLANO   "/>
    <n v="39752026"/>
    <s v="4638548"/>
    <s v="3112099470"/>
    <s v="3102869422"/>
    <s v=" CR 111 A 16 H 57"/>
    <s v="4.6263605"/>
    <s v="-74.0859166"/>
    <s v="CUNDINAMARCA"/>
    <s v="BOGOTÁ"/>
    <s v="BOGOTÁ"/>
    <n v="11001"/>
    <s v="2025-09-10"/>
    <n v="1"/>
    <s v="BOGOTA"/>
    <x v="2"/>
    <n v="37313"/>
    <n v="37313"/>
  </r>
  <r>
    <n v="38724"/>
    <s v="BARRIO MIRAMAR IBAGUE"/>
    <n v="38144356"/>
    <s v="2606263"/>
    <s v="3203591361"/>
    <s v="3203591361"/>
    <s v=" CR 24  20-11 MIRAMAR"/>
    <s v="4.422214"/>
    <s v="-75.25406"/>
    <s v="TOLIMA"/>
    <s v="IBAGUÉ"/>
    <s v="IBAGUÉ"/>
    <n v="73001"/>
    <s v="2025-09-10"/>
    <n v="1"/>
    <s v="IBAGUE"/>
    <x v="1"/>
    <n v="49671.7"/>
    <n v="49671.7"/>
  </r>
  <r>
    <n v="39892"/>
    <s v="BARRIO CENTRO MEDELLIN 41"/>
    <n v="1037632712"/>
    <s v="5579743"/>
    <s v="3004417204"/>
    <s v="3004417204"/>
    <s v="CR 52 53 157,CENTRO"/>
    <s v="6.2541650"/>
    <s v="-75.5680292"/>
    <s v="ANTIOQUIA"/>
    <s v="MEDELLÍN"/>
    <s v="MEDELLÍN"/>
    <n v="5001"/>
    <s v="2025-09-10"/>
    <n v="1"/>
    <s v="MEDELLIN"/>
    <x v="0"/>
    <n v="37313"/>
    <n v="37313"/>
  </r>
  <r>
    <n v="39156"/>
    <s v="BARRIO JARDIN PARTE BAJA IBAGUE"/>
    <n v="65744932"/>
    <s v="2696410"/>
    <s v="3187125642"/>
    <s v="3212082730"/>
    <s v=" CL 100  4 B - 51 JARDÍN PARTE BAJA"/>
    <s v="4.4426078"/>
    <s v="-75.1740706"/>
    <s v="TOLIMA"/>
    <s v="IBAGUÉ"/>
    <s v="IBAGUÉ"/>
    <n v="73001"/>
    <s v="2025-09-10"/>
    <n v="1"/>
    <s v="IBAGUE"/>
    <x v="1"/>
    <n v="49671.7"/>
    <n v="49671.7"/>
  </r>
  <r>
    <n v="40416"/>
    <s v="BARRIO LOS FUNDADORES PASTO"/>
    <n v="1085250302"/>
    <s v="3177655628"/>
    <s v="3177655628"/>
    <s v="3177655628"/>
    <s v="MZ J CASA 7,LOS FUNDADORES"/>
    <s v="1.196477"/>
    <s v="-77.28340"/>
    <s v="NARIÑO"/>
    <s v="PASTO"/>
    <s v="SAN JUAN DE PASTO"/>
    <n v="52001"/>
    <s v="2025-09-10"/>
    <n v="1"/>
    <s v="PASTO"/>
    <x v="3"/>
    <n v="49671.7"/>
    <n v="49671.7"/>
  </r>
  <r>
    <n v="41753"/>
    <s v="BARRIO MIRADOR BELLO 1"/>
    <n v="70954271"/>
    <s v="4515713"/>
    <s v="3145482889"/>
    <s v="3145482889"/>
    <s v="CR 50 66 02,MIRADOR"/>
    <s v="6.3464046"/>
    <s v="-75.5589454"/>
    <s v="ANTIOQUIA"/>
    <s v="BELLO"/>
    <s v="BELLO"/>
    <n v="5088"/>
    <s v="2025-09-10"/>
    <n v="1"/>
    <s v="MEDELLIN"/>
    <x v="0"/>
    <n v="37313"/>
    <n v="37313"/>
  </r>
  <r>
    <n v="48551"/>
    <s v="BARRIO URBANIZACION JARDIN ETAPA 3 IBAGUE"/>
    <n v="38252567"/>
    <s v="0"/>
    <s v="3114822080"/>
    <s v="3114822080"/>
    <s v="MZ 32 CASA 3,URBANIZACIÓN JARDIN ETAPA 3"/>
    <s v="4.4385397"/>
    <s v="-75.1733169"/>
    <s v="TOLIMA"/>
    <s v="IBAGUÉ"/>
    <s v="IBAGUÉ"/>
    <n v="73001"/>
    <s v="2025-09-10"/>
    <n v="1"/>
    <s v="IBAGUE"/>
    <x v="1"/>
    <n v="49671.7"/>
    <n v="49671.7"/>
  </r>
  <r>
    <n v="50007"/>
    <s v="BARRIO EL MIRADOR BELLO"/>
    <n v="21465946"/>
    <s v="2094179"/>
    <s v="3244746977"/>
    <s v="3244746977"/>
    <s v="CR 47 B 75 05,EL MIRADOR"/>
    <s v="6.35012666"/>
    <s v="-75.55650416"/>
    <s v="ANTIOQUIA"/>
    <s v="BELLO"/>
    <s v="BELLO"/>
    <n v="5088"/>
    <s v="2025-09-10"/>
    <n v="1"/>
    <s v="MEDELLIN"/>
    <x v="0"/>
    <n v="37313"/>
    <n v="37313"/>
  </r>
  <r>
    <n v="42238"/>
    <s v="BARRIO MOTILONES CUCUTA 4"/>
    <n v="1090389801"/>
    <s v="5925809"/>
    <s v="3115995654"/>
    <s v="3004499298"/>
    <s v="AV 5 N 5-20 AP 103,MOTILONES"/>
    <s v="7.91853800"/>
    <s v="-72.526446"/>
    <s v="NORTE DE SANTANDER"/>
    <s v="CÚCUTA"/>
    <s v="CÚCUTA"/>
    <n v="54001"/>
    <s v="2025-09-10"/>
    <n v="1"/>
    <s v="CUCUTA"/>
    <x v="4"/>
    <n v="49671.7"/>
    <n v="49671.7"/>
  </r>
  <r>
    <n v="51961"/>
    <s v="BARRIO CALIPSO CALI"/>
    <n v="4583953"/>
    <s v="4103624"/>
    <s v="3106673714"/>
    <s v="3106673714"/>
    <s v="KR 28 D3 # 72B-02,CALIPSO"/>
    <s v="3.4262133"/>
    <s v="-76.4981105"/>
    <s v="VALLE DEL CAUCA"/>
    <s v="CALI"/>
    <s v="SANTIAGO DE CALI"/>
    <n v="76001"/>
    <s v="2025-09-10"/>
    <n v="1"/>
    <s v="CALI"/>
    <x v="3"/>
    <n v="37313"/>
    <n v="37313"/>
  </r>
  <r>
    <n v="48265"/>
    <s v="BARRIO VILLA SANPEDRO BARRANQUILLA"/>
    <n v="900643755"/>
    <s v="3199793"/>
    <s v="3017690750"/>
    <s v="3008880449"/>
    <s v="CL 99 B 06 55,VILLA SANPEDRO"/>
    <s v="10.94392"/>
    <s v="-74.83069"/>
    <s v="ATLÁNTICO"/>
    <s v="BARRANQUILLA"/>
    <s v="BARRANQUILLA"/>
    <n v="8001"/>
    <s v="2025-09-10"/>
    <n v="1"/>
    <s v="BARRANQUILLA"/>
    <x v="5"/>
    <n v="37313"/>
    <n v="37313"/>
  </r>
  <r>
    <n v="51892"/>
    <s v="BARRIO LAS PALMAS NEIVA 2"/>
    <n v="26436089"/>
    <s v="3152021715"/>
    <s v="3115996941"/>
    <s v="3115996941"/>
    <s v="CL 21 57 20,LAS PALMAS"/>
    <s v="2.944964"/>
    <s v="-75.243764"/>
    <s v="HUILA"/>
    <s v="NEIVA"/>
    <s v="NEIVA"/>
    <n v="41001"/>
    <s v="2025-09-10"/>
    <n v="1"/>
    <s v="NEIVA"/>
    <x v="1"/>
    <n v="49671.7"/>
    <n v="49671.7"/>
  </r>
  <r>
    <n v="51421"/>
    <s v="BARRIO SAN ISIDRO VILLAVICENCIO 4"/>
    <n v="40429408"/>
    <s v="3115413729"/>
    <s v="3115413729"/>
    <s v="3115413729"/>
    <s v="CL 36 NO. 28- 40,SAN ISIDRO"/>
    <s v="4.1501186"/>
    <s v="-73.6344229"/>
    <s v="META"/>
    <s v="VILLAVICENCIO"/>
    <s v="VILLAVICENCIO"/>
    <n v="50001"/>
    <s v="2025-09-10"/>
    <n v="1"/>
    <s v="VILLAVICENCIO"/>
    <x v="1"/>
    <n v="49671.7"/>
    <n v="49671.7"/>
  </r>
  <r>
    <n v="43258"/>
    <s v="BARRIO PRADO MEDELLIN 2"/>
    <n v="901051574"/>
    <s v="2869833"/>
    <s v="3136230772"/>
    <s v="3136230772"/>
    <s v="CR 78 A 42 A 24 SUR CGT SAN ANTONIO DE PRADO"/>
    <s v="6.1838958"/>
    <s v="-75.655401"/>
    <s v="ANTIOQUIA"/>
    <s v="MEDELLÍN"/>
    <s v="MEDELLÍN"/>
    <n v="5001"/>
    <s v="2025-09-10"/>
    <n v="1"/>
    <s v="MEDELLIN"/>
    <x v="0"/>
    <n v="37313"/>
    <n v="37313"/>
  </r>
  <r>
    <n v="43431"/>
    <s v="BARIO LA PLAYA CUCUTA"/>
    <n v="13340043"/>
    <m/>
    <s v="3123785939"/>
    <s v="3162783445"/>
    <s v="AV 0 11-40 LC109,LA PLAYA"/>
    <s v="7.8864812"/>
    <s v="-72.4985372"/>
    <s v="NORTE DE SANTANDER"/>
    <s v="CÚCUTA"/>
    <s v="CÚCUTA"/>
    <n v="54001"/>
    <s v="2025-09-10"/>
    <n v="1"/>
    <s v="CUCUTA"/>
    <x v="4"/>
    <n v="49671.7"/>
    <n v="49671.7"/>
  </r>
  <r>
    <n v="53206"/>
    <s v="BARRIO URB BRISAS DEL NORTE CUCUTA"/>
    <n v="1090376164"/>
    <s v="5791957"/>
    <s v="3003485925"/>
    <s v="3003485953"/>
    <s v="MZ 2 LC 1-A BRISAS DEL NORTE AV LAS AMERICAS BR URB BRISAS DEL NORTE"/>
    <s v="7.920227027"/>
    <s v="-72.50724027"/>
    <s v="NORTE DE SANTANDER"/>
    <s v="CÚCUTA"/>
    <s v="CÚCUTA"/>
    <n v="54001"/>
    <s v="2025-09-10"/>
    <n v="1"/>
    <s v="CUCUTA"/>
    <x v="4"/>
    <n v="49671.7"/>
    <n v="49671.7"/>
  </r>
  <r>
    <n v="54876"/>
    <s v="BARRIO BARZAL BAJO VILLAVICENCIO 3"/>
    <n v="1010211698"/>
    <s v="3115158156"/>
    <s v="3115158156"/>
    <s v="3115158156"/>
    <s v="CR 33 NRO. 34 A 37 BRR BARZAL BAJO BARZAL"/>
    <s v="4.147665"/>
    <s v="-73.636853"/>
    <s v="META"/>
    <s v="VILLAVICENCIO"/>
    <s v="VILLAVICENCIO"/>
    <n v="50001"/>
    <s v="2025-09-10"/>
    <n v="1"/>
    <s v="VILLAVICENCIO"/>
    <x v="1"/>
    <n v="49671.7"/>
    <n v="49671.7"/>
  </r>
  <r>
    <n v="58895"/>
    <s v="BARRIO EL VERGEL NEIVA 1"/>
    <n v="39526290"/>
    <s v="8778996"/>
    <s v="3158505273"/>
    <s v="3158505273"/>
    <s v="CL 16 39 113,EL VERGEL"/>
    <s v="2.936392"/>
    <s v="-75.260351"/>
    <s v="HUILA"/>
    <s v="NEIVA"/>
    <s v="NEIVA"/>
    <n v="41001"/>
    <s v="2025-09-10"/>
    <n v="1"/>
    <s v="NEIVA"/>
    <x v="1"/>
    <n v="49671.7"/>
    <n v="49671.7"/>
  </r>
  <r>
    <n v="57262"/>
    <s v="BARRIO CENTRO VILLAVICENCIO 18"/>
    <n v="1193100321"/>
    <s v="3114479759"/>
    <s v="3114479759"/>
    <s v="3114479759"/>
    <s v="CR 31 NO 35 A 26 LOCAL 1 CENTRO,CENTRO"/>
    <s v="4.150000"/>
    <s v="-73.636098"/>
    <s v="META"/>
    <s v="VILLAVICENCIO"/>
    <s v="VILLAVICENCIO"/>
    <n v="50001"/>
    <s v="2025-09-10"/>
    <n v="1"/>
    <s v="VILLAVICENCIO"/>
    <x v="1"/>
    <n v="49671.7"/>
    <n v="49671.7"/>
  </r>
  <r>
    <n v="58383"/>
    <s v="BARRIO FONTIBON SAN PABLO BOGOTA 1"/>
    <n v="1069769093"/>
    <s v="3102404053"/>
    <s v="3015063875"/>
    <s v="3015063875"/>
    <s v="CR 120 # 17 - 62,FONTIBON SAN PABLO"/>
    <s v="4.6858861"/>
    <s v="-74.1570824"/>
    <s v="CUNDINAMARCA"/>
    <s v="BOGOTÁ"/>
    <s v="BOGOTÁ"/>
    <n v="11001"/>
    <s v="2025-09-10"/>
    <n v="1"/>
    <s v="BOGOTA"/>
    <x v="2"/>
    <n v="37313"/>
    <n v="37313"/>
  </r>
  <r>
    <n v="58893"/>
    <s v="BARRIO LA ORQUIDEA NEIVA 1"/>
    <n v="26468123"/>
    <s v="8771998"/>
    <s v="3209201148"/>
    <s v="3209201148"/>
    <s v="CR 34 A 18 A 20,LA ORQUÍDEA"/>
    <s v="2.9395081"/>
    <s v="-75.2655249"/>
    <s v="HUILA"/>
    <s v="NEIVA"/>
    <s v="NEIVA"/>
    <n v="41001"/>
    <s v="2025-09-10"/>
    <n v="1"/>
    <s v="NEIVA"/>
    <x v="1"/>
    <n v="49671.7"/>
    <n v="49671.7"/>
  </r>
  <r>
    <n v="59290"/>
    <s v="BARRIO FONTIBON BAHIA SOLANO BOGOTA"/>
    <n v="39763096"/>
    <s v="0"/>
    <s v="3125883853"/>
    <s v="3125883853"/>
    <s v="CARRERA 111A # 16 H - 33,FONTIBON BAHIA SOLANO"/>
    <s v="4.6787017"/>
    <s v="-74.1529176"/>
    <s v="CUNDINAMARCA"/>
    <s v="BOGOTÁ"/>
    <s v="BOGOTÁ"/>
    <n v="11001"/>
    <s v="2025-09-10"/>
    <n v="1"/>
    <s v="BOGOTA"/>
    <x v="2"/>
    <n v="37313"/>
    <n v="37313"/>
  </r>
  <r>
    <n v="61802"/>
    <s v="BARRIO NUEVO BOSQUE CARTAGENA DE INDIAS 4"/>
    <n v="49721675"/>
    <s v="3117355083"/>
    <s v="3117355083"/>
    <s v="3108038003"/>
    <s v="DG 26 K TV 56 58 LOCAL 2"/>
    <s v="10.3919581"/>
    <s v="-75.5037443"/>
    <s v="BOLÍVAR"/>
    <s v="CARTAGENA DE INDIAS"/>
    <s v="CARTAGENA DE INDIAS"/>
    <n v="13001"/>
    <s v="2025-09-10"/>
    <n v="3"/>
    <s v="CARTAGENA"/>
    <x v="5"/>
    <n v="49671.7"/>
    <n v="149015.09999999998"/>
  </r>
  <r>
    <n v="59821"/>
    <s v="BARRIO BARRANQUILLA BARRANQUILLA"/>
    <n v="1052069338"/>
    <s v="3107597644"/>
    <s v="3104325781"/>
    <s v="3242585911"/>
    <s v="DG 78 21 71,BARRANQUILLA"/>
    <s v="10.9714335"/>
    <s v="-74.8228889"/>
    <s v="ATLÁNTICO"/>
    <s v="BARRANQUILLA"/>
    <s v="BARRANQUILLA"/>
    <n v="8001"/>
    <s v="2025-09-10"/>
    <n v="1"/>
    <s v="BARRANQUILLA"/>
    <x v="5"/>
    <n v="37313"/>
    <n v="37313"/>
  </r>
  <r>
    <n v="61839"/>
    <s v="BARRIO LOS PARQUES NEIVA 1"/>
    <n v="26427997"/>
    <s v="3052660903"/>
    <s v="3053106810"/>
    <s v="3164133865"/>
    <s v="Calle 2C # 29 A - 34 Los Parques"/>
    <s v="2.9236490"/>
    <s v="-75.2667049"/>
    <s v="HUILA"/>
    <s v="NEIVA"/>
    <s v="NEIVA"/>
    <n v="41001"/>
    <s v="2025-09-10"/>
    <n v="1"/>
    <s v="NEIVA"/>
    <x v="1"/>
    <n v="49671.7"/>
    <n v="49671.7"/>
  </r>
  <r>
    <n v="37460"/>
    <s v="BARRIO ENCISO MEDELLIN 5"/>
    <n v="71664409"/>
    <s v="2926648"/>
    <s v="3013413867"/>
    <s v="3013413867"/>
    <s v=" CR 22 C 59 B 02 ENCISO"/>
    <s v="6.2523951"/>
    <s v="-75.5461168"/>
    <s v="ANTIOQUIA"/>
    <s v="MEDELLÍN"/>
    <s v="MEDELLÍN"/>
    <n v="5001"/>
    <s v="2025-09-10"/>
    <n v="1"/>
    <s v="MEDELLIN"/>
    <x v="0"/>
    <n v="37313"/>
    <n v="37313"/>
  </r>
  <r>
    <n v="47569"/>
    <s v="BARRIO SANTANDER CUCUTA"/>
    <n v="1090402248"/>
    <s v="0"/>
    <s v="3197570699"/>
    <s v="3175917247"/>
    <s v="AV 20 27 101,SANTANDER"/>
    <s v="7.8701777"/>
    <s v="-72.5198467"/>
    <s v="NORTE DE SANTANDER"/>
    <s v="CÚCUTA"/>
    <s v="CÚCUTA"/>
    <n v="54001"/>
    <s v="2025-09-10"/>
    <n v="1"/>
    <s v="CUCUTA"/>
    <x v="4"/>
    <n v="49671.7"/>
    <n v="49671.7"/>
  </r>
  <r>
    <n v="65607"/>
    <s v="BARRIO NUEVA COLOMBIA 1 VILLAVICENCIO"/>
    <n v="1006723235"/>
    <s v="3023573150"/>
    <s v="3023573150"/>
    <s v="3005055994"/>
    <s v="MZ 22  CS 4  LC  1 BRR nueva colombia"/>
    <s v="4.150854"/>
    <s v="-73.591162"/>
    <s v="META"/>
    <s v="VILLAVICENCIO"/>
    <s v="VILLAVICENCIO"/>
    <n v="50001"/>
    <s v="2025-09-10"/>
    <n v="1"/>
    <s v="VILLAVICENCIO"/>
    <x v="1"/>
    <n v="49671.7"/>
    <n v="49671.7"/>
  </r>
  <r>
    <n v="69619"/>
    <s v="BARRIO POBLADO CALI 1"/>
    <n v="16784189"/>
    <s v="3012146675"/>
    <s v="3144809832"/>
    <s v="3012146675"/>
    <s v="CR 29 45 60,POBLADO"/>
    <s v="3.418432"/>
    <s v="-76.4967083"/>
    <s v="VALLE DEL CAUCA"/>
    <s v="CALI"/>
    <s v="SANTIAGO DE CALI"/>
    <n v="76001"/>
    <s v="2025-09-10"/>
    <n v="1"/>
    <s v="CALI"/>
    <x v="3"/>
    <n v="37313"/>
    <n v="37313"/>
  </r>
  <r>
    <n v="69900"/>
    <s v="BARRIO PARUE HABITACION LA ESMERALDA DELIRIO COVISAN VILLAVICENCIO"/>
    <n v="40404794"/>
    <s v="3112290928"/>
    <s v="3112290928"/>
    <s v="3118608811"/>
    <s v="CL 50 N 15 B -87 E PARQUE HABITACIONAL LA ESMERALDA - DELIRIO COVISAN,PARUE HABITACIÓN LA ESMERALDA DELIRIO COVISAN"/>
    <s v="4.151444"/>
    <s v="-73.585093"/>
    <s v="META"/>
    <s v="VILLAVICENCIO"/>
    <s v="VILLAVICENCIO"/>
    <n v="50001"/>
    <s v="2025-09-10"/>
    <n v="1"/>
    <s v="VILLAVICENCIO"/>
    <x v="1"/>
    <n v="49671.7"/>
    <n v="49671.7"/>
  </r>
  <r>
    <n v="68577"/>
    <s v="BARRIO SAN CRISTOBAL BOGOTA 5"/>
    <n v="1023974136"/>
    <s v="0"/>
    <s v="3024688375"/>
    <s v="3112875906"/>
    <s v="CL 17 A SUR 10-72 ESTE"/>
    <s v="4.57157"/>
    <s v="-74.08130"/>
    <s v="CUNDINAMARCA"/>
    <s v="BOGOTÁ"/>
    <s v="BOGOTÁ"/>
    <n v="11001"/>
    <s v="2025-09-10"/>
    <n v="1"/>
    <s v="BOGOTA"/>
    <x v="2"/>
    <n v="37313"/>
    <n v="37313"/>
  </r>
  <r>
    <n v="71616"/>
    <s v="CUCUTA AUEROPUERO"/>
    <n v="1092342067"/>
    <s v="3178543768"/>
    <s v="3209469466"/>
    <s v="3209469466"/>
    <s v="CL 21 NRO 3-19,AEROPUERTO"/>
    <s v="7.9397300"/>
    <s v="-72.5038799"/>
    <s v="NORTE DE SANTANDER"/>
    <s v="CÚCUTA"/>
    <s v="CÚCUTA"/>
    <n v="54001"/>
    <s v="2025-09-10"/>
    <n v="1"/>
    <s v="CUCUTA"/>
    <x v="4"/>
    <n v="49671.7"/>
    <n v="49671.7"/>
  </r>
  <r>
    <n v="40083"/>
    <s v="BARRIO MOTILONES CUCUTA 1"/>
    <n v="37393965"/>
    <s v="5943253"/>
    <s v="3188537323"/>
    <s v="3134828414"/>
    <s v="AV 5 12 18,MOTILONES"/>
    <s v="7.9218500"/>
    <s v="-72.5236269"/>
    <s v="NORTE DE SANTANDER"/>
    <s v="CÚCUTA"/>
    <s v="CÚCUTA"/>
    <n v="54001"/>
    <s v="2025-09-10"/>
    <n v="1"/>
    <s v="CUCUTA"/>
    <x v="4"/>
    <n v="49671.7"/>
    <n v="49671.7"/>
  </r>
  <r>
    <n v="48876"/>
    <s v="ARRIO VILLA ALSACIA BOGOTA 8"/>
    <n v="11187857"/>
    <s v="3124135277"/>
    <s v="3124135277"/>
    <s v="3124135277"/>
    <s v="CR 72 A # 11 B - 17,VILLA ALSACIA"/>
    <s v="4.6437760"/>
    <s v="-74.1338768"/>
    <s v="CUNDINAMARCA"/>
    <s v="BOGOTÁ"/>
    <s v="BOGOTÁ"/>
    <n v="11001"/>
    <s v="2025-09-10"/>
    <n v="1"/>
    <s v="BOGOTA"/>
    <x v="2"/>
    <n v="37313"/>
    <n v="37313"/>
  </r>
  <r>
    <n v="65780"/>
    <s v="BARRIO VILLA BLANCA BARRANQUILLA 2"/>
    <n v="1045711065"/>
    <s v="3007985933"/>
    <s v="3007985933"/>
    <s v="3003313511"/>
    <s v="CR 1 H 43 A 79 LC 2,VILLA BLANCA"/>
    <s v="10.93262"/>
    <s v="-74.79871"/>
    <s v="ATLÁNTICO"/>
    <s v="BARRANQUILLA"/>
    <s v="BARRANQUILLA"/>
    <n v="8001"/>
    <s v="2025-09-10"/>
    <n v="1"/>
    <s v="BARRANQUILLA"/>
    <x v="5"/>
    <n v="37313"/>
    <n v="37313"/>
  </r>
  <r>
    <n v="66703"/>
    <s v="BARRIO CEBALLOS CARTAGENA DE INDIAS 1"/>
    <n v="901189686"/>
    <s v="300 5145562"/>
    <s v="3003900173"/>
    <s v="3005145562"/>
    <s v="DG 27 #54 A - 107,CEBALLOS"/>
    <s v="10.3873680"/>
    <s v="-75.5072595"/>
    <s v="BOLÍVAR"/>
    <s v="CARTAGENA DE INDIAS"/>
    <s v="CARTAGENA DE INDIAS"/>
    <n v="13001"/>
    <s v="2025-09-10"/>
    <n v="1"/>
    <s v="CARTAGENA"/>
    <x v="5"/>
    <n v="49671.7"/>
    <n v="49671.7"/>
  </r>
  <r>
    <n v="71375"/>
    <s v="BARRIO SECTOR LOS LAGOS CALDAS"/>
    <n v="39388824"/>
    <s v="3143084759"/>
    <s v="3143084759"/>
    <s v="3143084759"/>
    <s v="KM 5 VIA HACIA LA PINTADA SECTOR LOS LAGOS"/>
    <s v="6.0573589"/>
    <s v="-75.6295703"/>
    <s v="ANTIOQUIA"/>
    <s v="CALDAS"/>
    <s v="CALDAS"/>
    <n v="5129"/>
    <s v="2025-09-10"/>
    <n v="1"/>
    <s v="MEDELLIN"/>
    <x v="0"/>
    <n v="37313"/>
    <n v="37313"/>
  </r>
  <r>
    <n v="71612"/>
    <s v="CUCUTA AEROPURTO"/>
    <n v="1090394701"/>
    <s v="3134180377"/>
    <s v="3134180377"/>
    <s v="3219032611"/>
    <s v="calle 14 # 5 - 35 barrio aeropuerto"/>
    <s v="7.9369425"/>
    <s v="-72.5072373"/>
    <s v="NORTE DE SANTANDER"/>
    <s v="CÚCUTA"/>
    <s v="CÚCUTA"/>
    <n v="54001"/>
    <s v="2025-09-10"/>
    <n v="1"/>
    <s v="CUCUTA"/>
    <x v="4"/>
    <n v="49671.7"/>
    <n v="49671.7"/>
  </r>
  <r>
    <n v="71054"/>
    <s v="BARRIO SAN BLAS BOGOTA 5"/>
    <n v="80810030"/>
    <s v="3118723883"/>
    <s v="3102289701"/>
    <s v="3112371338"/>
    <s v="CR 8 ESTE 30 - 15 SUR"/>
    <s v="4.5619661"/>
    <s v="-74.0977784"/>
    <s v="CUNDINAMARCA"/>
    <s v="BOGOTÁ"/>
    <s v="BOGOTÁ"/>
    <n v="11001"/>
    <s v="2025-09-10"/>
    <n v="1"/>
    <s v="BOGOTA"/>
    <x v="2"/>
    <n v="37313"/>
    <n v="37313"/>
  </r>
  <r>
    <n v="68382"/>
    <s v="BARRIO SANTANDER CUCUTA  1"/>
    <n v="1004998003"/>
    <s v="0"/>
    <s v="3217532120"/>
    <s v="3217532120"/>
    <s v="AV 20 23-26,SANTANDER"/>
    <s v="7.8740987"/>
    <s v="-72.5197801"/>
    <s v="NORTE DE SANTANDER"/>
    <s v="CÚCUTA"/>
    <s v="CÚCUTA"/>
    <n v="54001"/>
    <s v="2025-09-10"/>
    <n v="1"/>
    <s v="CUCUTA"/>
    <x v="4"/>
    <n v="49671.7"/>
    <n v="49671.7"/>
  </r>
  <r>
    <n v="68750"/>
    <s v="BARRIO 20 DE JULIO BOGOTA 9"/>
    <n v="1010168476"/>
    <s v="0"/>
    <s v="3004789927"/>
    <s v="3108817334"/>
    <s v="CL 7 A SUR3 20 LOCAL 101,20 DE JULIO"/>
    <s v="4.579184"/>
    <s v="-74.081964"/>
    <s v="CUNDINAMARCA"/>
    <s v="BOGOTÁ"/>
    <s v="BOGOTÁ"/>
    <n v="11001"/>
    <s v="2025-09-10"/>
    <n v="1"/>
    <s v="BOGOTA"/>
    <x v="2"/>
    <n v="37313"/>
    <n v="37313"/>
  </r>
  <r>
    <n v="68656"/>
    <s v="BARRIO ENCISO MEDELLIN  17"/>
    <n v="1152205169"/>
    <m/>
    <s v="3046060076"/>
    <s v="3046060076"/>
    <s v="CALLE 56 FB NO 18 C 6 INT 201,ENCISO"/>
    <s v="6.2475080"/>
    <s v="-75.5410390"/>
    <s v="ANTIOQUIA"/>
    <s v="MEDELLÍN"/>
    <s v="MEDELLÍN"/>
    <n v="5001"/>
    <s v="2025-09-10"/>
    <n v="1"/>
    <s v="MEDELLIN"/>
    <x v="0"/>
    <n v="37313"/>
    <n v="37313"/>
  </r>
  <r>
    <n v="68895"/>
    <s v="SILOE CALI 1 "/>
    <n v="1143853128"/>
    <s v="3165393127"/>
    <s v="3165393127"/>
    <s v="3184407089"/>
    <s v="CL 10 OESTE  DG 50 - 53 SILOE"/>
    <s v="3.41514"/>
    <s v="-76.56119"/>
    <s v="VALLE DEL CAUCA"/>
    <s v="CALI"/>
    <s v="SANTIAGO DE CALI"/>
    <n v="76001"/>
    <s v="2025-09-10"/>
    <n v="1"/>
    <s v="CALI"/>
    <x v="3"/>
    <n v="37313"/>
    <n v="37313"/>
  </r>
  <r>
    <n v="73782"/>
    <s v="BARRIO SANTO DOMINGO MEDELLIN  5"/>
    <n v="39176514"/>
    <s v="3145306221"/>
    <s v="3243739823"/>
    <s v="3243739823"/>
    <s v="CR 27 B 107 DD 5"/>
    <s v="6.2962702"/>
    <s v="-75.5378058"/>
    <s v="ANTIOQUIA"/>
    <s v="MEDELLÍN"/>
    <s v="MEDELLÍN"/>
    <n v="5001"/>
    <s v="2025-09-10"/>
    <n v="1"/>
    <s v="MEDELLIN"/>
    <x v="0"/>
    <n v="37313"/>
    <n v="37313"/>
  </r>
  <r>
    <n v="78096"/>
    <s v="BARRIO EL TEJAR PASTO 3"/>
    <n v="36756551"/>
    <s v="3146243511"/>
    <s v="3146243511"/>
    <s v="3187375863"/>
    <s v="CR 3 19 21 BR EL TEJAR"/>
    <s v="1.199984"/>
    <s v="-77.263988"/>
    <s v="NARIÑO"/>
    <s v="PASTO"/>
    <s v="SAN JUAN DE PASTO"/>
    <n v="52001"/>
    <s v="2025-09-10"/>
    <n v="1"/>
    <s v="PASTO"/>
    <x v="3"/>
    <n v="49671.7"/>
    <n v="49671.7"/>
  </r>
  <r>
    <n v="64253"/>
    <s v="BARRIO POMBAL CALDAS"/>
    <n v="43169011"/>
    <s v="5417171"/>
    <s v="3136308195"/>
    <s v="3136308195"/>
    <s v="CL 113 SUR NO 50 B 16,POMBAL"/>
    <s v="6.1058277"/>
    <s v="-75.6369286"/>
    <s v="ANTIOQUIA"/>
    <s v="CALDAS"/>
    <s v="CALDAS"/>
    <n v="5129"/>
    <s v="2025-09-10"/>
    <n v="1"/>
    <s v="MEDELLIN"/>
    <x v="0"/>
    <n v="37313"/>
    <n v="37313"/>
  </r>
  <r>
    <n v="64290"/>
    <s v="BARRIO URB TORCOROMA CUCUTA 2"/>
    <n v="1094426378"/>
    <s v="0"/>
    <s v="3212436237"/>
    <s v="3212436237"/>
    <s v="MZ 65 LOTE 2,URB TORCOROMA III"/>
    <s v="7.8933961"/>
    <s v="-72.4709341"/>
    <s v="NORTE DE SANTANDER"/>
    <s v="CÚCUTA"/>
    <s v="CÚCUTA"/>
    <n v="54001"/>
    <s v="2025-09-10"/>
    <n v="1"/>
    <s v="CUCUTA"/>
    <x v="4"/>
    <n v="49671.7"/>
    <n v="49671.7"/>
  </r>
  <r>
    <n v="70349"/>
    <s v="BARRIO LA ARBOLEDA NEIVA 1"/>
    <n v="7713134"/>
    <s v="3115352508"/>
    <s v="3115352508"/>
    <s v="3115352508"/>
    <s v="CL 19 41 A 26 LOCAL 05,LA ARBOLEDA"/>
    <s v="2.9403095"/>
    <s v="-75.2580015"/>
    <s v="HUILA"/>
    <s v="NEIVA"/>
    <s v="NEIVA"/>
    <n v="41001"/>
    <s v="2025-09-10"/>
    <n v="1"/>
    <s v="NEIVA"/>
    <x v="1"/>
    <n v="49671.7"/>
    <n v="49671.7"/>
  </r>
  <r>
    <n v="78031"/>
    <s v="BARRIO ENCISO MANZANARES MEDELLIN"/>
    <n v="43973080"/>
    <s v="3156495099"/>
    <s v="3028388261"/>
    <s v="3028388261"/>
    <s v="CL 56A 25B 24,ENCISO MANZANARES"/>
    <s v="6.2456861"/>
    <s v="-75.5456963"/>
    <s v="ANTIOQUIA"/>
    <s v="MEDELLÍN"/>
    <s v="MEDELLÍN"/>
    <n v="5001"/>
    <s v="2025-09-10"/>
    <n v="1"/>
    <s v="MEDELLIN"/>
    <x v="0"/>
    <n v="37313"/>
    <n v="37313"/>
  </r>
  <r>
    <n v="70326"/>
    <s v="BARRIO BRISAS DE MAYO CALI"/>
    <n v="1143927354"/>
    <s v="3147191843"/>
    <s v="3147191843"/>
    <s v="3147191843"/>
    <s v="CL 10 OESTE  50 - 35 BRISAS DE MAYO"/>
    <s v="3.4150981"/>
    <s v="-76.5613597"/>
    <s v="VALLE DEL CAUCA"/>
    <s v="CALI"/>
    <s v="SANTIAGO DE CALI"/>
    <n v="76001"/>
    <s v="2025-09-10"/>
    <n v="1"/>
    <s v="CALI"/>
    <x v="3"/>
    <n v="37313"/>
    <n v="37313"/>
  </r>
  <r>
    <n v="72604"/>
    <s v="GOLDEN CLEAN SUMINISTROS"/>
    <n v="1095943228"/>
    <s v="3228876975"/>
    <s v="3153544360"/>
    <s v="3203110506"/>
    <s v="CL 37 NRO. 28 - 08 LC 2 BRR SAN ISIDRO,SAN ISIDRO"/>
    <s v="4.150945"/>
    <s v="-73.633904"/>
    <s v="META"/>
    <s v="VILLAVICENCIO"/>
    <s v="VILLAVICENCIO"/>
    <n v="50001"/>
    <s v="2025-09-10"/>
    <n v="1"/>
    <s v="VILLAVICENCIO"/>
    <x v="1"/>
    <n v="49671.7"/>
    <n v="49671.7"/>
  </r>
  <r>
    <n v="78346"/>
    <s v="BARRIO CLARET CUCUTA 3"/>
    <n v="1090440334"/>
    <s v="3046684346"/>
    <s v="3046684346"/>
    <m/>
    <s v="MZ 22 LT 16,CLARET"/>
    <s v="7.9125042"/>
    <s v="-72.5284858"/>
    <s v="NORTE DE SANTANDER"/>
    <s v="CÚCUTA"/>
    <s v="CÚCUTA"/>
    <n v="54001"/>
    <s v="2025-09-10"/>
    <n v="1"/>
    <s v="CUCUTA"/>
    <x v="4"/>
    <n v="49671.7"/>
    <n v="49671.7"/>
  </r>
  <r>
    <n v="71411"/>
    <s v="BARRIO SAN VICENTE CALI 9"/>
    <n v="901478416"/>
    <s v="3102003540"/>
    <s v="0"/>
    <s v="3102003540"/>
    <s v="AV 5 A # 23 D NORTE - 68 LC 149,SAN VICENTE"/>
    <s v="3.4659912"/>
    <s v="-76.5272377"/>
    <s v="VALLE DEL CAUCA"/>
    <s v="CALI"/>
    <s v="SANTIAGO DE CALI"/>
    <n v="76001"/>
    <s v="2025-09-10"/>
    <n v="1"/>
    <s v="CALI"/>
    <x v="3"/>
    <n v="37313"/>
    <n v="37313"/>
  </r>
  <r>
    <n v="71924"/>
    <s v="BARRIO LA ERMITA  CUCUTA "/>
    <n v="1090378942"/>
    <s v="3013176685"/>
    <s v="3013176685"/>
    <s v="3166225436"/>
    <s v="CL 32 NRO 8-21,LA ERMITA"/>
    <s v="7.9328183"/>
    <s v="-72.5205648"/>
    <s v="NORTE DE SANTANDER"/>
    <s v="CÚCUTA"/>
    <s v="CÚCUTA"/>
    <n v="54001"/>
    <s v="2025-09-10"/>
    <n v="1"/>
    <s v="CUCUTA"/>
    <x v="4"/>
    <n v="49671.7"/>
    <n v="49671.7"/>
  </r>
  <r>
    <n v="68001"/>
    <s v=" BARRIO SANTA ANA CUCUTA 2   "/>
    <n v="13279686"/>
    <s v="0"/>
    <s v="3154056144"/>
    <s v="3154056144"/>
    <s v="AV 1 6 53,SANTA ANA"/>
    <s v="7.8918919"/>
    <s v="-72.4701556"/>
    <s v="NORTE DE SANTANDER"/>
    <s v="CÚCUTA"/>
    <s v="CÚCUTA"/>
    <n v="54001"/>
    <s v="2025-09-10"/>
    <n v="1"/>
    <s v="CUCUTA"/>
    <x v="4"/>
    <n v="49671.7"/>
    <n v="49671.7"/>
  </r>
  <r>
    <n v="73551"/>
    <s v="BARRIO EL LIDO CALI 3"/>
    <n v="1143861410"/>
    <s v="3138529211"/>
    <s v="3138529211"/>
    <s v="3138529211"/>
    <s v="CL 1 47 67 LC 49,EL LIDO"/>
    <s v="3.4219432"/>
    <s v="-76.5522550"/>
    <s v="VALLE DEL CAUCA"/>
    <s v="CALI"/>
    <s v="SANTIAGO DE CALI"/>
    <n v="76001"/>
    <s v="2025-09-10"/>
    <n v="1"/>
    <s v="CALI"/>
    <x v="3"/>
    <n v="37313"/>
    <n v="37313"/>
  </r>
  <r>
    <n v="80136"/>
    <s v="BARRIO ESCOBAL CUCUTA"/>
    <n v="1090422450"/>
    <s v="3113241232"/>
    <s v="3113241232"/>
    <s v="3113241232"/>
    <s v="CL 4 NRO 5-75,ESCOBAL"/>
    <s v="7.9131739"/>
    <s v="-72.4646216"/>
    <s v="NORTE DE SANTANDER"/>
    <s v="CÚCUTA"/>
    <s v="CÚCUTA"/>
    <n v="54001"/>
    <s v="2025-09-10"/>
    <n v="1"/>
    <s v="CUCUTA"/>
    <x v="4"/>
    <n v="49671.7"/>
    <n v="49671.7"/>
  </r>
  <r>
    <n v="72665"/>
    <s v="BARRIO MANRIQUE LA CRUZ MEDELLIN "/>
    <n v="1126245158"/>
    <s v="3126781205"/>
    <s v="3126781205"/>
    <s v="3126781205"/>
    <s v="CARRERA 28 CALLE 79 B 137,MANRIQUE LA CRUZ"/>
    <s v="6.2717881"/>
    <s v="-75.5425713"/>
    <s v="ANTIOQUIA"/>
    <s v="MEDELLÍN"/>
    <s v="MEDELLÍN"/>
    <n v="5001"/>
    <s v="2025-09-10"/>
    <n v="1"/>
    <s v="MEDELLIN"/>
    <x v="0"/>
    <n v="37313"/>
    <n v="37313"/>
  </r>
  <r>
    <n v="80578"/>
    <s v="BARRIO VILLA ALSACIA BOGOTA 11"/>
    <n v="52313971"/>
    <s v="3133021916"/>
    <s v="3133021916"/>
    <m/>
    <s v="CR 78 11 C 21 LC 103,VILLA ALSACIA"/>
    <s v="4.6479786"/>
    <s v="-74.1348431"/>
    <s v="CUNDINAMARCA"/>
    <s v="BOGOTÁ"/>
    <s v="BOGOTÁ"/>
    <n v="11001"/>
    <s v="2025-09-10"/>
    <n v="1"/>
    <s v="BOGOTA"/>
    <x v="2"/>
    <n v="37313"/>
    <n v="37313"/>
  </r>
  <r>
    <n v="78520"/>
    <s v="BARRIO ANTONIA SANTOS CUCUTA  4"/>
    <n v="1090429151"/>
    <s v="3203453088"/>
    <s v="3203453088"/>
    <m/>
    <s v="CL 12 NRO 49-28,ANTONIA SANTOS"/>
    <s v="7.9071881"/>
    <s v="-72.5394114"/>
    <s v="NORTE DE SANTANDER"/>
    <s v="CÚCUTA"/>
    <s v="CÚCUTA"/>
    <n v="54001"/>
    <s v="2025-09-10"/>
    <n v="1"/>
    <s v="CUCUTA"/>
    <x v="4"/>
    <n v="49671.7"/>
    <n v="49671.7"/>
  </r>
  <r>
    <n v="78796"/>
    <s v="BARR CEBALLOS CARTAGENA DE INDIAS"/>
    <n v="45493206"/>
    <s v="3172476415"/>
    <s v="3172476415"/>
    <m/>
    <s v="TV 57 28 B -43,BRR CEBALLOS"/>
    <s v="10.3846588"/>
    <s v="-75.5046236"/>
    <s v="BOLÍVAR"/>
    <s v="CARTAGENA DE INDIAS"/>
    <s v="CARTAGENA DE INDIAS"/>
    <n v="13001"/>
    <s v="2025-09-10"/>
    <n v="1"/>
    <s v="CARTAGENA"/>
    <x v="5"/>
    <n v="49671.7"/>
    <n v="49671.7"/>
  </r>
  <r>
    <n v="73803"/>
    <s v="BARRIO LOS PINOS BARRANQUILLA"/>
    <n v="1101760319"/>
    <s v="3503420107"/>
    <s v="3135980174"/>
    <s v="3135980174"/>
    <s v="CL 43 # 41 - 37 LC FERRETERÍA"/>
    <s v="10.9814346"/>
    <s v="-74.7844866"/>
    <s v="ATLÁNTICO"/>
    <s v="BARRANQUILLA"/>
    <s v="BARRANQUILLA"/>
    <n v="8001"/>
    <s v="2025-09-10"/>
    <n v="1"/>
    <s v="BARRANQUILLA"/>
    <x v="5"/>
    <n v="37313"/>
    <n v="37313"/>
  </r>
  <r>
    <n v="74182"/>
    <s v="BARRIO SANTO DOMINGO MEDELLIN 6"/>
    <n v="3451275"/>
    <s v="3012589264"/>
    <s v="3144285450"/>
    <s v="3012589264"/>
    <s v="CR 27 106 BB 33,SANTO DOMINGO"/>
    <s v="6.2941018"/>
    <s v="-75.5394142"/>
    <s v="ANTIOQUIA"/>
    <s v="MEDELLÍN"/>
    <s v="MEDELLÍN"/>
    <n v="5001"/>
    <s v="2025-09-10"/>
    <n v="1"/>
    <s v="MEDELLIN"/>
    <x v="0"/>
    <n v="37313"/>
    <n v="37313"/>
  </r>
  <r>
    <n v="76888"/>
    <s v="BARRIO EL CONTENTO CUCUTA 3"/>
    <n v="1090476654"/>
    <s v="3157816365"/>
    <s v="3157816365"/>
    <s v="3157816365"/>
    <s v="AV 13 NRO 13 78,EL CONTENTO"/>
    <s v="7.881483"/>
    <s v="-72.511378"/>
    <s v="NORTE DE SANTANDER"/>
    <s v="CÚCUTA"/>
    <s v="CÚCUTA"/>
    <n v="54001"/>
    <s v="2025-09-10"/>
    <n v="1"/>
    <s v="CUCUTA"/>
    <x v="4"/>
    <n v="49671.7"/>
    <n v="49671.7"/>
  </r>
  <r>
    <n v="74904"/>
    <s v="BARRIO TABLAZA LA ESTRELLA 2"/>
    <n v="15338544"/>
    <s v="3217702321"/>
    <s v="3217702321"/>
    <s v="3217702321"/>
    <s v="CR 48 D 100C SUR 32"/>
    <s v="6.1182537"/>
    <s v="-75.6325186"/>
    <s v="ANTIOQUIA"/>
    <s v="LA ESTRELLA"/>
    <s v="LA ESTRELLA"/>
    <n v="5380"/>
    <s v="2025-09-10"/>
    <n v="1"/>
    <s v="MEDELLIN"/>
    <x v="0"/>
    <n v="37313"/>
    <n v="37313"/>
  </r>
  <r>
    <n v="76990"/>
    <s v="BARRIO AYACUCHO MEDILLIN"/>
    <n v="1040325248"/>
    <s v="3014242403"/>
    <s v="3235215599"/>
    <s v="3014242403"/>
    <s v="CL 49 42 60,AYACUCHO"/>
    <s v="6.2461535"/>
    <s v="-75.5630835"/>
    <s v="ANTIOQUIA"/>
    <s v="MEDELLÍN"/>
    <s v="MEDELLÍN"/>
    <n v="5001"/>
    <s v="2025-09-10"/>
    <n v="1"/>
    <s v="MEDELLIN"/>
    <x v="0"/>
    <n v="37313"/>
    <n v="37313"/>
  </r>
  <r>
    <n v="77082"/>
    <s v="BARRIO LA RIOJA NEIVA"/>
    <n v="36307560"/>
    <s v="3014501381"/>
    <s v="3174304393"/>
    <s v="3014501381"/>
    <s v="CL 19 47 A 25 LC 3,LA RIOJA"/>
    <s v="2.940259"/>
    <s v="-75.252162"/>
    <s v="HUILA"/>
    <s v="NEIVA"/>
    <s v="NEIVA"/>
    <n v="41001"/>
    <s v="2025-09-10"/>
    <n v="1"/>
    <s v="NEIVA"/>
    <x v="1"/>
    <n v="49671.7"/>
    <n v="49671.7"/>
  </r>
  <r>
    <n v="74539"/>
    <s v="BARRIO VILLAS DE LAS AMERICAS CUCUTA"/>
    <n v="1090507842"/>
    <s v="3115106322"/>
    <s v="3115106322"/>
    <s v="3115106322"/>
    <s v="CL 14 N NRO 17-02,VILLAS DE LAS AMERICAS"/>
    <s v="7.9179860"/>
    <s v="-72.5095434"/>
    <s v="NORTE DE SANTANDER"/>
    <s v="CÚCUTA"/>
    <s v="CÚCUTA"/>
    <n v="54001"/>
    <s v="2025-09-10"/>
    <n v="1"/>
    <s v="CUCUTA"/>
    <x v="4"/>
    <n v="49671.7"/>
    <n v="49671.7"/>
  </r>
  <r>
    <n v="75446"/>
    <s v="BARRIO AEROPUERTO CUCUTA 18"/>
    <n v="60347382"/>
    <s v="3023397457"/>
    <s v="3023397457"/>
    <s v="3023397457"/>
    <s v="AV 2 NRO 9-07 APT 202,AEROPUERTO"/>
    <s v="7.9329679"/>
    <s v="-72.5045185"/>
    <s v="NORTE DE SANTANDER"/>
    <s v="CÚCUTA"/>
    <s v="CÚCUTA"/>
    <n v="54001"/>
    <s v="2025-09-10"/>
    <n v="1"/>
    <s v="CUCUTA"/>
    <x v="4"/>
    <n v="49671.7"/>
    <n v="49671.7"/>
  </r>
  <r>
    <n v="77377"/>
    <s v="BARRIO VILLA JOHANNA VILLAVICENCIO"/>
    <n v="1122918881"/>
    <s v="321367380"/>
    <s v="3137178471"/>
    <s v="3137178471"/>
    <s v="CL 15 6 56 BRR VILLA JOHANNA,VILLA JOHANNA"/>
    <s v="4.132810"/>
    <s v="-73.608163"/>
    <s v="META"/>
    <s v="VILLAVICENCIO"/>
    <s v="VILLAVICENCIO"/>
    <n v="50001"/>
    <s v="2025-09-10"/>
    <n v="1"/>
    <s v="VILLAVICENCIO"/>
    <x v="1"/>
    <n v="49671.7"/>
    <n v="49671.7"/>
  </r>
  <r>
    <n v="74111"/>
    <s v="BARRIO ESTERO VILLAVICENCIO 15"/>
    <n v="1121852209"/>
    <s v="3102652689"/>
    <s v="3102652689"/>
    <s v="3216706668"/>
    <s v="CR 12 N 5 A 02 ESTERO,ESTERO"/>
    <s v="4.129695"/>
    <s v="-73.612949"/>
    <s v="META"/>
    <s v="VILLAVICENCIO"/>
    <s v="VILLAVICENCIO"/>
    <n v="50001"/>
    <s v="2025-09-10"/>
    <n v="1"/>
    <s v="VILLAVICENCIO"/>
    <x v="1"/>
    <n v="49671.7"/>
    <n v="49671.7"/>
  </r>
  <r>
    <n v="79218"/>
    <s v="BARRIO EL TEJAR PASTO 4"/>
    <n v="59814538"/>
    <s v="3114042427"/>
    <s v="3235046607"/>
    <s v="3114042427"/>
    <s v="CL 18 B 213 TEJAR EL TEJAR,EL TEJAR"/>
    <s v="1.1987471"/>
    <s v="-77.2635416"/>
    <s v="NARIÑO"/>
    <s v="PASTO"/>
    <s v="SAN JUAN DE PASTO"/>
    <n v="52001"/>
    <s v="2025-09-10"/>
    <n v="1"/>
    <s v="PASTO"/>
    <x v="3"/>
    <n v="49671.7"/>
    <n v="49671.7"/>
  </r>
  <r>
    <n v="74273"/>
    <s v="BARRIO EL CONTENTO CUCUTA 2"/>
    <n v="60355698"/>
    <s v="3105676808"/>
    <s v="3203021179"/>
    <s v="3203021179"/>
    <s v="AV 17A NRO 14 29,EL CONTENTO"/>
    <s v="7.8802801"/>
    <s v="-72.5156444"/>
    <s v="NORTE DE SANTANDER"/>
    <s v="CÚCUTA"/>
    <s v="CÚCUTA"/>
    <n v="54001"/>
    <s v="2025-09-10"/>
    <n v="1"/>
    <s v="CUCUTA"/>
    <x v="4"/>
    <n v="49671.7"/>
    <n v="49671.7"/>
  </r>
  <r>
    <n v="74382"/>
    <s v="BARRIO GAITAN PARTE BAJA IBAGUE"/>
    <n v="14210188"/>
    <s v="3105481596"/>
    <s v="3118076185"/>
    <s v="3105481596"/>
    <s v="CR 10 39 C 54,GAITÁN PARTE BAJA"/>
    <s v="4.4429223"/>
    <s v="-75.2117346"/>
    <s v="TOLIMA"/>
    <s v="IBAGUÉ"/>
    <s v="IBAGUÉ"/>
    <n v="73001"/>
    <s v="2025-09-10"/>
    <n v="1"/>
    <s v="IBAGUE"/>
    <x v="1"/>
    <n v="49671.7"/>
    <n v="49671.7"/>
  </r>
  <r>
    <n v="74473"/>
    <s v="BARRIO MANANTIAL VILLAVICENCIO 8"/>
    <n v="1121893714"/>
    <s v="3116058393"/>
    <s v="3116058393"/>
    <s v="3116058393"/>
    <s v="CL 39 A NRO 6 - 04 MANANTIAL,MANANTIAL"/>
    <s v="4.147809"/>
    <s v="-73.605093"/>
    <s v="META"/>
    <s v="VILLAVICENCIO"/>
    <s v="VILLAVICENCIO"/>
    <n v="50001"/>
    <s v="2025-09-10"/>
    <n v="1"/>
    <s v="VILLAVICENCIO"/>
    <x v="1"/>
    <n v="49671.7"/>
    <n v="49671.7"/>
  </r>
  <r>
    <n v="79546"/>
    <s v="BARRIO SILOE EL CORTIJO CALI"/>
    <n v="38595564"/>
    <s v="3187701459"/>
    <s v="3187701459"/>
    <m/>
    <s v="DG 51 5 OESTE 112,SILOE - EL CORTIJO"/>
    <s v="3.4156887"/>
    <s v="-76.5580432"/>
    <s v="VALLE DEL CAUCA"/>
    <s v="CALI"/>
    <s v="SANTIAGO DE CALI"/>
    <n v="76001"/>
    <s v="2025-09-10"/>
    <n v="1"/>
    <s v="CALI"/>
    <x v="3"/>
    <n v="37313"/>
    <n v="37313"/>
  </r>
  <r>
    <n v="79542"/>
    <s v="BARRIO VILLA ALSACIA KENNEDY BOGOTA"/>
    <n v="79973258"/>
    <s v="3138754082"/>
    <s v="3138754082"/>
    <m/>
    <s v="CR 72 B 09 59 LC 102,VILLA ALSACIA KENNEDY"/>
    <s v="4.6406112"/>
    <s v="-74.1367526"/>
    <s v="CUNDINAMARCA"/>
    <s v="BOGOTÁ"/>
    <s v="BOGOTÁ"/>
    <n v="11001"/>
    <s v="2025-09-10"/>
    <n v="1"/>
    <s v="BOGOTA"/>
    <x v="2"/>
    <n v="37313"/>
    <n v="37313"/>
  </r>
  <r>
    <n v="75355"/>
    <s v="BARRIO CASTILLA BOGOTA 21"/>
    <n v="1030637106"/>
    <s v="3505406439"/>
    <s v="3505406439"/>
    <s v="3008782330"/>
    <s v="AC 8 72C 13 LC 102,CASTILLA"/>
    <s v="4.6371407"/>
    <s v="-74.1389216"/>
    <s v="CUNDINAMARCA"/>
    <s v="BOGOTÁ"/>
    <s v="BOGOTÁ"/>
    <n v="11001"/>
    <s v="2025-09-10"/>
    <n v="1"/>
    <s v="BOGOTA"/>
    <x v="2"/>
    <n v="37313"/>
    <n v="37313"/>
  </r>
  <r>
    <n v="75405"/>
    <s v="BARRIO TORCOROMA 1 CUCUTA"/>
    <n v="37394397"/>
    <s v="3102532296"/>
    <s v="3102532296"/>
    <s v="3102532296"/>
    <s v="CL 14A 16B 11 URB TORCOROMA 1,TORCOROMA 1"/>
    <s v="7.8878506"/>
    <s v="-72.4735326"/>
    <s v="NORTE DE SANTANDER"/>
    <s v="CÚCUTA"/>
    <s v="CÚCUTA"/>
    <n v="54001"/>
    <s v="2025-09-10"/>
    <n v="1"/>
    <s v="CUCUTA"/>
    <x v="4"/>
    <n v="49671.7"/>
    <n v="49671.7"/>
  </r>
  <r>
    <n v="74519"/>
    <s v="BARRIO LAS FLORES BOGOTA"/>
    <n v="52806981"/>
    <s v="3204395696"/>
    <s v="3204395696"/>
    <s v="3209206712"/>
    <s v="CR 100 A 140 A 96,LAS FLORES"/>
    <s v="4.7414540"/>
    <s v="-74.0928694"/>
    <s v="CUNDINAMARCA"/>
    <s v="BOGOTÁ"/>
    <s v="BOGOTÁ"/>
    <n v="11001"/>
    <s v="2025-09-10"/>
    <n v="1"/>
    <s v="BOGOTA"/>
    <x v="2"/>
    <n v="37313"/>
    <n v="37313"/>
  </r>
  <r>
    <n v="74803"/>
    <s v="BARRIO EL DIAMANTE CALI 5"/>
    <n v="94556086"/>
    <s v="3117131244"/>
    <s v="3117131244"/>
    <s v="3117131244"/>
    <s v="CR 28 H 40 03,EL DIAMANTE"/>
    <s v="3.4232208"/>
    <s v="-76.5005731"/>
    <s v="VALLE DEL CAUCA"/>
    <s v="CALI"/>
    <s v="SANTIAGO DE CALI"/>
    <n v="76001"/>
    <s v="2025-09-10"/>
    <n v="1"/>
    <s v="CALI"/>
    <x v="3"/>
    <n v="37313"/>
    <n v="37313"/>
  </r>
  <r>
    <n v="79992"/>
    <s v="BARRIO POBLADO 1 CALI 1"/>
    <n v="16739237"/>
    <s v="3162241765"/>
    <s v="3162241765"/>
    <m/>
    <s v="-CR 29 D 44 - 02 LC 4,POBLADO 1"/>
    <s v="3.4184802"/>
    <s v="-76.4986768"/>
    <s v="VALLE DEL CAUCA"/>
    <s v="CALI"/>
    <s v="SANTIAGO DE CALI"/>
    <n v="76001"/>
    <s v="2025-09-10"/>
    <n v="1"/>
    <s v="CALI"/>
    <x v="3"/>
    <n v="37313"/>
    <n v="37313"/>
  </r>
  <r>
    <n v="79614"/>
    <s v="BARRIO EL POA BOGOTA 1"/>
    <n v="51903459"/>
    <s v="3023587752"/>
    <s v="3232536071"/>
    <s v="3232536071"/>
    <s v="CR 103 D 139 99 LC 2,EL POA"/>
    <s v="4.7427350"/>
    <s v="-74.0967050"/>
    <s v="CUNDINAMARCA"/>
    <s v="BOGOTÁ"/>
    <s v="BOGOTÁ"/>
    <n v="11001"/>
    <s v="2025-09-10"/>
    <n v="1"/>
    <s v="BOGOTA"/>
    <x v="2"/>
    <n v="37313"/>
    <n v="37313"/>
  </r>
  <r>
    <n v="75879"/>
    <s v="BARRIO BELLAVISTA BELLO 2"/>
    <n v="1032070936"/>
    <s v="3213173176"/>
    <s v="3213173176"/>
    <s v="3234782324"/>
    <s v="CR 65 66 59,BELLAVISTA"/>
    <s v="6.3482191"/>
    <s v="-75.5675269"/>
    <s v="ANTIOQUIA"/>
    <s v="BELLO"/>
    <s v="BELLO"/>
    <n v="5088"/>
    <s v="2025-09-10"/>
    <n v="1"/>
    <s v="MEDELLIN"/>
    <x v="0"/>
    <n v="37313"/>
    <n v="37313"/>
  </r>
  <r>
    <n v="77080"/>
    <s v="BARRIO URB PORTALES DEL NORTE IBAGUE"/>
    <n v="93408450"/>
    <s v="3156318079"/>
    <s v="3156318079"/>
    <s v="3156318079"/>
    <s v="MZ C CASA 22 LOCAL 2,URB.PORTALES DEL NORTE"/>
    <s v="4.447030"/>
    <s v=" -75.149975 "/>
    <s v="TOLIMA"/>
    <s v="IBAGUÉ"/>
    <s v="IBAGUÉ"/>
    <n v="73001"/>
    <s v="2025-09-10"/>
    <n v="1"/>
    <s v="IBAGUE"/>
    <x v="1"/>
    <n v="49671.7"/>
    <n v="49671.7"/>
  </r>
  <r>
    <n v="77219"/>
    <s v="BARRIO CUARTO LENGUA CALI"/>
    <n v="1143986300"/>
    <s v="3144224335"/>
    <s v="3168746148"/>
    <s v="3144224335"/>
    <s v="CR 60 1 07 ,CUARTO LENGUA"/>
    <s v="3.4072978"/>
    <s v="-76.5556743"/>
    <s v="VALLE DEL CAUCA"/>
    <s v="CALI"/>
    <s v="SANTIAGO DE CALI"/>
    <n v="76001"/>
    <s v="2025-09-10"/>
    <n v="1"/>
    <s v="CALI"/>
    <x v="3"/>
    <n v="37313"/>
    <n v="37313"/>
  </r>
  <r>
    <n v="77537"/>
    <s v="BARRIO NUEVO CUCUTA 1"/>
    <n v="88247168"/>
    <s v="3045715432"/>
    <s v="3045715432"/>
    <s v="3045715432"/>
    <s v="AV 24 NRO 25 82,NUEVO"/>
    <s v="7.8716401"/>
    <s v="-72.5229507"/>
    <s v="NORTE DE SANTANDER"/>
    <s v="CÚCUTA"/>
    <s v="CÚCUTA"/>
    <n v="54001"/>
    <s v="2025-09-10"/>
    <n v="1"/>
    <s v="CUCUTA"/>
    <x v="4"/>
    <n v="49671.7"/>
    <n v="49671.7"/>
  </r>
  <r>
    <n v="77660"/>
    <s v="BARRIO EL TALENTO CUCUTA"/>
    <n v="901586210"/>
    <s v="3005222297"/>
    <s v="3005222297"/>
    <m/>
    <s v="MZ 40 LT 7,EL TALENTO"/>
    <s v="7.9109647"/>
    <s v="-72.5482337"/>
    <s v="NORTE DE SANTANDER"/>
    <s v="CÚCUTA"/>
    <s v="CÚCUTA"/>
    <n v="54001"/>
    <s v="2025-09-10"/>
    <n v="1"/>
    <s v="CUCUTA"/>
    <x v="4"/>
    <n v="49671.7"/>
    <n v="49671.7"/>
  </r>
  <r>
    <n v="19245"/>
    <s v="BARRIO PARIS LOS SAUCES BELLO"/>
    <n v="43624170"/>
    <s v="5591494"/>
    <s v="3122885990"/>
    <s v="3122885990"/>
    <s v=" CR 79 20 F F 13"/>
    <s v="6.3145257"/>
    <s v="-75.5833212"/>
    <s v="ANTIOQUIA"/>
    <s v="BELLO"/>
    <s v="BELLO"/>
    <n v="5088"/>
    <s v="2025-09-11"/>
    <n v="2"/>
    <s v="MEDELLIN"/>
    <x v="0"/>
    <n v="37313"/>
    <n v="74626"/>
  </r>
  <r>
    <n v="21387"/>
    <s v="BARRIO SUBA AURES V - BOGOTÁ"/>
    <n v="80085420"/>
    <s v="5356603"/>
    <s v="3002487386"/>
    <s v="3002487386"/>
    <s v=" CL 136 100 39"/>
    <s v="4.73760328"/>
    <s v="-74.09434556"/>
    <s v="CUNDINAMARCA"/>
    <s v="BOGOTÁ"/>
    <s v="BOGOTÁ"/>
    <n v="11001"/>
    <s v="2025-09-11"/>
    <n v="1"/>
    <s v="BOGOTA"/>
    <x v="2"/>
    <n v="37313"/>
    <n v="37313"/>
  </r>
  <r>
    <n v="17026"/>
    <s v="BARRIO VILLA REGINA NEIVA"/>
    <n v="55156699"/>
    <s v="8670373"/>
    <s v="3138600571"/>
    <s v="3138600571"/>
    <s v=" CL 16  43A-115"/>
    <s v="2.9366365"/>
    <s v="-75.2558134"/>
    <s v="HUILA"/>
    <s v="NEIVA"/>
    <s v="NEIVA"/>
    <n v="41001"/>
    <s v="2025-09-11"/>
    <n v="1"/>
    <s v="NEIVA"/>
    <x v="1"/>
    <n v="49671.7"/>
    <n v="49671.7"/>
  </r>
  <r>
    <n v="12480"/>
    <s v="BARRIO LA CHUSCALA- CALDAS"/>
    <n v="39162814"/>
    <s v="3661018"/>
    <s v="3113575754"/>
    <s v="3113575754"/>
    <s v=" CL 130 SUR  56-199 LA CHUSCLA"/>
    <s v="6.0876987"/>
    <s v="-75.6413244"/>
    <s v="ANTIOQUIA"/>
    <s v="CALDAS"/>
    <s v="CALDAS"/>
    <n v="5129"/>
    <s v="2025-09-11"/>
    <n v="1"/>
    <s v="MEDELLIN"/>
    <x v="0"/>
    <n v="37313"/>
    <n v="37313"/>
  </r>
  <r>
    <n v="19810"/>
    <s v="BARRIO SANTA CLARA V PASTO"/>
    <n v="51985467"/>
    <s v="7215561"/>
    <s v="3152644807"/>
    <s v="3152644807"/>
    <s v="CL 16 7 67 BR SANTA CLARA"/>
    <s v="1.1980703"/>
    <s v="-77.2722719"/>
    <s v="NARIÑO"/>
    <s v="PASTO"/>
    <s v="SAN JUAN DE PASTO"/>
    <n v="52001"/>
    <s v="2025-09-11"/>
    <n v="1"/>
    <s v="PASTO"/>
    <x v="3"/>
    <n v="49671.7"/>
    <n v="49671.7"/>
  </r>
  <r>
    <n v="30377"/>
    <s v="BARRIO EL ROSARIO PASTO"/>
    <n v="1085307657"/>
    <s v="6719197"/>
    <s v="3172128230"/>
    <s v="3172128230"/>
    <s v=" DG 16 12E 66  EL ROSAEIO "/>
    <s v="1.1882355"/>
    <s v="-77.2617136"/>
    <s v="NARIÑO"/>
    <s v="PASTO"/>
    <s v="SAN JUAN DE PASTO"/>
    <n v="52001"/>
    <s v="2025-09-11"/>
    <n v="1"/>
    <s v="PASTO"/>
    <x v="3"/>
    <n v="49671.7"/>
    <n v="49671.7"/>
  </r>
  <r>
    <n v="16907"/>
    <s v="BARRIO VILLA DEL RIO PASTO"/>
    <n v="30738776"/>
    <s v="4223571"/>
    <s v="3217255388"/>
    <s v="3217255388"/>
    <s v=" CR 8  12B-66 VILLA DEL RIO"/>
    <s v="1.19760573"/>
    <s v="-77.27589347"/>
    <s v="NARIÑO"/>
    <s v="PASTO"/>
    <s v="SAN JUAN DE PASTO"/>
    <n v="52001"/>
    <s v="2025-09-11"/>
    <n v="1"/>
    <s v="PASTO"/>
    <x v="3"/>
    <n v="49671.7"/>
    <n v="49671.7"/>
  </r>
  <r>
    <n v="24353"/>
    <s v="BARRIO LA ESMERALDA VI - POPAYÁN"/>
    <n v="10542749"/>
    <s v="8386580"/>
    <s v="3137474293"/>
    <s v="3137474293"/>
    <s v=" CE LA ESMERALDA LC 15"/>
    <s v="2.4446327"/>
    <s v="-76.6150872"/>
    <s v="CAUCA"/>
    <s v="POPAYÁN"/>
    <s v="POPAYÁN"/>
    <n v="19001"/>
    <s v="2025-09-11"/>
    <n v="1"/>
    <s v="CALI"/>
    <x v="3"/>
    <n v="37313"/>
    <n v="37313"/>
  </r>
  <r>
    <n v="36353"/>
    <s v="BARRIO VIVIENDAS DEL SUR ITAGUI 1"/>
    <n v="71140737"/>
    <s v="2559684"/>
    <s v="3226505827"/>
    <s v="3226505827"/>
    <s v=" CR 57 83 B 13"/>
    <s v="6.1933345"/>
    <s v="-75.5972355"/>
    <s v="ANTIOQUIA"/>
    <s v="ITAGÜÍ"/>
    <s v="ITAGÜÍ"/>
    <n v="5360"/>
    <s v="2025-09-11"/>
    <n v="1"/>
    <s v="MEDELLIN"/>
    <x v="0"/>
    <n v="37313"/>
    <n v="37313"/>
  </r>
  <r>
    <n v="15712"/>
    <s v="BARRIO SEVILLA CUCUTA"/>
    <n v="1963251"/>
    <s v="7737474"/>
    <s v="3203440106"/>
    <s v="3203440106"/>
    <s v=" CL 3  7A-57 SEVILLA"/>
    <s v="7.9026581"/>
    <s v="-72.5074979"/>
    <s v="NORTE DE SANTANDER"/>
    <s v="CÚCUTA"/>
    <s v="CÚCUTA"/>
    <n v="54001"/>
    <s v="2025-09-11"/>
    <n v="1"/>
    <s v="CUCUTA"/>
    <x v="4"/>
    <n v="49671.7"/>
    <n v="49671.7"/>
  </r>
  <r>
    <n v="29571"/>
    <s v="BARRIO NUEVA ARANDA PASTO"/>
    <n v="79407872"/>
    <s v="7295324"/>
    <s v="3163883008"/>
    <s v="3186096477"/>
    <s v="MZ B 4 CASA 15 Barrio NUEVA ARANDA"/>
    <s v="1.2282991"/>
    <s v="-77.2700428"/>
    <s v="NARIÑO"/>
    <s v="PASTO"/>
    <s v="SAN JUAN DE PASTO"/>
    <n v="52001"/>
    <s v="2025-09-11"/>
    <n v="1"/>
    <s v="PASTO"/>
    <x v="3"/>
    <n v="49671.7"/>
    <n v="49671.7"/>
  </r>
  <r>
    <n v="12305"/>
    <s v="BARRIO SANTA MARIA III - ITAGUI"/>
    <n v="71787795"/>
    <s v="3545878"/>
    <s v="3146696265"/>
    <s v="3146696265"/>
    <s v=" CL 81  52D-104 LC-133"/>
    <s v="6.19031212"/>
    <s v="-75.5954618"/>
    <s v="ANTIOQUIA"/>
    <s v="ITAGÜÍ"/>
    <s v="ITAGÜÍ"/>
    <n v="5360"/>
    <s v="2025-09-11"/>
    <n v="1"/>
    <s v="MEDELLIN"/>
    <x v="0"/>
    <n v="37313"/>
    <n v="37313"/>
  </r>
  <r>
    <n v="31800"/>
    <s v="BARRIO CANAAN 2 VILLAVICENCIO"/>
    <n v="21236845"/>
    <s v="8330533"/>
    <s v="3108867025"/>
    <s v="3222374695"/>
    <s v=" CL 43 A 15 E 67 MZ P CA 14  CANAAN DOS"/>
    <s v="4.14579496"/>
    <s v="-73.58751317"/>
    <s v="META"/>
    <s v="VILLAVICENCIO"/>
    <s v="VILLAVICENCIO"/>
    <n v="50001"/>
    <s v="2025-09-11"/>
    <n v="1"/>
    <s v="VILLAVICENCIO"/>
    <x v="1"/>
    <n v="49671.7"/>
    <n v="49671.7"/>
  </r>
  <r>
    <n v="27706"/>
    <s v="BARRIO VILLAS DEL SOL 2  BELLO"/>
    <n v="15536642"/>
    <s v="2062444"/>
    <s v="3146961731"/>
    <s v="3146961731"/>
    <s v=" CR 63 B 74 13"/>
    <s v="6.35237419"/>
    <s v="-75.56777055"/>
    <s v="ANTIOQUIA"/>
    <s v="BELLO"/>
    <s v="BELLO"/>
    <n v="5088"/>
    <s v="2025-09-11"/>
    <n v="1"/>
    <s v="MEDELLIN"/>
    <x v="0"/>
    <n v="37313"/>
    <n v="37313"/>
  </r>
  <r>
    <n v="33489"/>
    <s v="BARRIO CENTRO PASTO 2"/>
    <n v="37007775"/>
    <s v="3172130000"/>
    <s v="3133268952"/>
    <s v="3133268952"/>
    <s v=" CE Y AETESANAL BOMBONA LC 19"/>
    <s v="1.2164980"/>
    <s v="-77.2841413"/>
    <s v="NARIÑO"/>
    <s v="PASTO"/>
    <s v="SAN JUAN DE PASTO"/>
    <n v="52001"/>
    <s v="2025-09-11"/>
    <n v="1"/>
    <s v="PASTO"/>
    <x v="3"/>
    <n v="49671.7"/>
    <n v="49671.7"/>
  </r>
  <r>
    <n v="36028"/>
    <s v="BARRIO PROVIDENCIA ALTA BOGOTA"/>
    <n v="52740934"/>
    <s v="9278943"/>
    <s v="3104098587"/>
    <s v="3104098587"/>
    <s v=" TV 6 BIS 48 K 12 SUR "/>
    <s v="4.5592548"/>
    <s v="-74.1170317"/>
    <s v="CUNDINAMARCA"/>
    <s v="BOGOTÁ"/>
    <s v="BOGOTÁ"/>
    <n v="11001"/>
    <s v="2025-09-11"/>
    <n v="1"/>
    <s v="BOGOTA"/>
    <x v="2"/>
    <n v="37313"/>
    <n v="37313"/>
  </r>
  <r>
    <n v="24589"/>
    <s v="BARRIO PANDIGUANDO III - POPAYÁN"/>
    <n v="25411786"/>
    <s v="7922070"/>
    <s v="3183802413 "/>
    <s v="3183802413"/>
    <s v=" CR 17 1 62"/>
    <s v="2.4474545"/>
    <s v="-76.6138698"/>
    <s v="CAUCA"/>
    <s v="POPAYÁN"/>
    <s v="POPAYÁN"/>
    <n v="19001"/>
    <s v="2025-09-11"/>
    <n v="1"/>
    <s v="CALI"/>
    <x v="3"/>
    <n v="37313"/>
    <n v="37313"/>
  </r>
  <r>
    <n v="30713"/>
    <s v="BARRIO _x0009_SUBA CATALUÑA "/>
    <n v="1056411885"/>
    <s v="4911089"/>
    <s v="3204673762"/>
    <s v="3204673762"/>
    <s v="CL 132 103A 14"/>
    <s v="4.73562192"/>
    <s v="-74.09807935"/>
    <s v="CUNDINAMARCA"/>
    <s v="BOGOTÁ"/>
    <s v="BOGOTÁ"/>
    <n v="11001"/>
    <s v="2025-09-11"/>
    <n v="1"/>
    <s v="BOGOTA"/>
    <x v="2"/>
    <n v="37313"/>
    <n v="37313"/>
  </r>
  <r>
    <n v="33040"/>
    <s v="BARRIO VALLE GRANDE CAUCA"/>
    <n v="14609215"/>
    <s v="4028859"/>
    <s v="3137971919"/>
    <s v="3137971919"/>
    <s v=" CL 84 20 A 105"/>
    <s v="3.43776388"/>
    <s v="-76.4686383"/>
    <s v="VALLE DEL CAUCA"/>
    <s v="CALI"/>
    <s v="SANTIAGO DE CALI"/>
    <n v="76001"/>
    <s v="2025-09-11"/>
    <n v="1"/>
    <s v="CALI"/>
    <x v="3"/>
    <n v="37313"/>
    <n v="37313"/>
  </r>
  <r>
    <n v="34535"/>
    <s v="BARRIO VIVIENDAS DEL SUR 1 ITAGUI"/>
    <n v="1036656073"/>
    <s v="5966424"/>
    <s v="3005326553"/>
    <s v="3005326553"/>
    <s v=" CL 84 A 56 02"/>
    <s v="6.1934613"/>
    <s v="-75.5961843"/>
    <s v="ANTIOQUIA"/>
    <s v="ITAGÜÍ"/>
    <s v="ITAGÜÍ"/>
    <n v="5360"/>
    <s v="2025-09-11"/>
    <n v="1"/>
    <s v="MEDELLIN"/>
    <x v="0"/>
    <n v="37313"/>
    <n v="37313"/>
  </r>
  <r>
    <n v="47289"/>
    <s v="BARRIO GUATIQUIA VILLAVICENCIO 1"/>
    <n v="40445186"/>
    <s v="0"/>
    <s v="3112183623"/>
    <s v="3112183623"/>
    <s v="CL 15 N 37 L - 58 URBANIZACION GUATIQUIA,GUATIQUIA"/>
    <s v="4.133576"/>
    <s v="-73.6357955"/>
    <s v="META"/>
    <s v="VILLAVICENCIO"/>
    <s v="VILLAVICENCIO"/>
    <n v="50001"/>
    <s v="2025-09-11"/>
    <n v="1"/>
    <s v="VILLAVICENCIO"/>
    <x v="1"/>
    <n v="49671.7"/>
    <n v="49671.7"/>
  </r>
  <r>
    <n v="43594"/>
    <s v="BARRIO SUBA LA CHUCUA BOGOTA 1"/>
    <n v="28935776"/>
    <s v="3123131100"/>
    <s v="3123131100"/>
    <s v="3123131100"/>
    <s v="CR 100 A 133 50,SUBA LA CHUCUA"/>
    <s v="4.7361716"/>
    <s v="-74.0948550"/>
    <s v="CUNDINAMARCA"/>
    <s v="BOGOTÁ"/>
    <s v="BOGOTÁ"/>
    <n v="11001"/>
    <s v="2025-09-11"/>
    <n v="1"/>
    <s v="BOGOTA"/>
    <x v="2"/>
    <n v="37313"/>
    <n v="37313"/>
  </r>
  <r>
    <n v="47295"/>
    <s v="BARRIO EL PILAR PASTO 1"/>
    <n v="59820436"/>
    <s v="3173807458"/>
    <s v="3173807458"/>
    <s v="3173807458"/>
    <s v="CL 12 B 5 28 BRR EL PILAR"/>
    <s v="1.19506416666"/>
    <s v="-77.27701"/>
    <s v="NARIÑO"/>
    <s v="PASTO"/>
    <s v="SAN JUAN DE PASTO"/>
    <n v="52001"/>
    <s v="2025-09-11"/>
    <n v="1"/>
    <s v="PASTO"/>
    <x v="3"/>
    <n v="49671.7"/>
    <n v="49671.7"/>
  </r>
  <r>
    <n v="40072"/>
    <s v="BARRIO CENTRO POPAYAN 14"/>
    <n v="34322737"/>
    <s v="8339381"/>
    <s v="3122455292"/>
    <s v="3122455292"/>
    <s v="CR 7 3. 22. LC 102,CENTRO"/>
    <s v="2.4430664"/>
    <s v="-76.6064435"/>
    <s v="CAUCA"/>
    <s v="POPAYÁN"/>
    <s v="POPAYÁN"/>
    <n v="19001"/>
    <s v="2025-09-11"/>
    <n v="1"/>
    <s v="CALI"/>
    <x v="3"/>
    <n v="37313"/>
    <n v="37313"/>
  </r>
  <r>
    <n v="43150"/>
    <s v="BARRIO LA CAROLINA CARTAGENA DE INDIAS 2"/>
    <n v="1091656540"/>
    <s v="6786635"/>
    <s v="3225937516"/>
    <s v="3163059363"/>
    <s v="DG 39 54 120 LC 1,LA CAROLINA"/>
    <s v="10.39840"/>
    <s v="-75.46372"/>
    <s v="BOLÍVAR"/>
    <s v="CARTAGENA DE INDIAS"/>
    <s v="CARTAGENA DE INDIAS"/>
    <n v="13001"/>
    <s v="2025-09-11"/>
    <n v="1"/>
    <s v="CARTAGENA"/>
    <x v="5"/>
    <n v="49671.7"/>
    <n v="49671.7"/>
  </r>
  <r>
    <n v="51987"/>
    <s v="BARRIO TRAPICHE BELLO 3"/>
    <n v="1032070806"/>
    <s v="4510867"/>
    <s v="3213173176"/>
    <s v="3213173176"/>
    <s v="CARRERA 66 B 57 B 45 BELLO,TRAPICHE"/>
    <s v="6.3435821"/>
    <s v="-75.5707235"/>
    <s v="ANTIOQUIA"/>
    <s v="BELLO"/>
    <s v="BELLO"/>
    <n v="5088"/>
    <s v="2025-09-11"/>
    <n v="2"/>
    <s v="MEDELLIN"/>
    <x v="0"/>
    <n v="37313"/>
    <n v="74626"/>
  </r>
  <r>
    <n v="45992"/>
    <s v="BARRIO RESTREPO BOGOTA 8"/>
    <n v="52831901"/>
    <s v="3204221972"/>
    <s v="3208037680"/>
    <s v="3208036680"/>
    <s v="CL 37D # 72H 26 SUR,RESTREPO"/>
    <s v="4.6112839"/>
    <s v="-74.1416884"/>
    <s v="CUNDINAMARCA"/>
    <s v="BOGOTÁ"/>
    <s v="BOGOTÁ"/>
    <n v="11001"/>
    <s v="2025-09-11"/>
    <n v="1"/>
    <s v="BOGOTA"/>
    <x v="2"/>
    <n v="37313"/>
    <n v="37313"/>
  </r>
  <r>
    <n v="49974"/>
    <s v="BARRIO CONJUNTO TREVISO IBAGUE"/>
    <n v="1110514493"/>
    <s v="2656812"/>
    <s v="3214425683"/>
    <s v="3214425683"/>
    <s v="CR 8 # 123-154 APARTAMENTO 102 TORRE 14,CONJUNTO TREVISO"/>
    <s v="4.4446100"/>
    <s v="-75.1583120"/>
    <s v="TOLIMA"/>
    <s v="IBAGUÉ"/>
    <s v="IBAGUÉ"/>
    <n v="73001"/>
    <s v="2025-09-11"/>
    <n v="1"/>
    <s v="IBAGUE"/>
    <x v="1"/>
    <n v="49671.7"/>
    <n v="49671.7"/>
  </r>
  <r>
    <n v="50198"/>
    <s v="BARRIO PACANDE IBAGUE"/>
    <n v="65726355"/>
    <s v="2629317"/>
    <s v="3134318585"/>
    <s v="3134318585"/>
    <s v="MZ O CASA 9,PACANDE"/>
    <s v="4.449157"/>
    <s v="-75.1664148"/>
    <s v="TOLIMA"/>
    <s v="IBAGUÉ"/>
    <s v="IBAGUÉ"/>
    <n v="73001"/>
    <s v="2025-09-11"/>
    <n v="1"/>
    <s v="IBAGUE"/>
    <x v="1"/>
    <n v="49671.7"/>
    <n v="49671.7"/>
  </r>
  <r>
    <n v="51292"/>
    <s v="BARRIO CENTRO POPAYAN 21"/>
    <n v="52145725"/>
    <s v="0"/>
    <s v="3207933760"/>
    <s v="3207933760"/>
    <s v="CR 5 3 39,CENTRO"/>
    <s v="2.4424489"/>
    <s v="-76.6045976"/>
    <s v="CAUCA"/>
    <s v="POPAYÁN"/>
    <s v="POPAYÁN"/>
    <n v="19001"/>
    <s v="2025-09-11"/>
    <n v="1"/>
    <s v="CALI"/>
    <x v="3"/>
    <n v="37313"/>
    <n v="37313"/>
  </r>
  <r>
    <n v="40639"/>
    <s v="BARRIO EL PILAR PASTO"/>
    <n v="1085275885"/>
    <s v="3504595158"/>
    <s v="3504595158"/>
    <s v="3504595158"/>
    <s v="CR 4 12A 08 BR EL PILAR"/>
    <s v="1.1931909"/>
    <s v="-77.2780605"/>
    <s v="NARIÑO"/>
    <s v="PASTO"/>
    <s v="SAN JUAN DE PASTO"/>
    <n v="52001"/>
    <s v="2025-09-11"/>
    <n v="1"/>
    <s v="PASTO"/>
    <x v="3"/>
    <n v="49671.7"/>
    <n v="49671.7"/>
  </r>
  <r>
    <n v="49225"/>
    <s v="BARRIO ANTONIO NARIÑO CALI 1"/>
    <n v="66816821"/>
    <s v="0"/>
    <s v="3127381971"/>
    <s v="3013294814"/>
    <s v="CR 39 37 38,ANTONIO NARIÑO"/>
    <s v="3.4186268"/>
    <s v="-76.5074657"/>
    <s v="VALLE DEL CAUCA"/>
    <s v="CALI"/>
    <s v="SANTIAGO DE CALI"/>
    <n v="76001"/>
    <s v="2025-09-11"/>
    <n v="1"/>
    <s v="CALI"/>
    <x v="3"/>
    <n v="37313"/>
    <n v="37313"/>
  </r>
  <r>
    <n v="42113"/>
    <s v="BARRIO SAN JUAN MEDELLIN"/>
    <n v="901271239"/>
    <s v="2304446"/>
    <s v="3154601815"/>
    <s v="3154601815"/>
    <s v="CL 44 65 37,SAN JUAN"/>
    <s v="6.2483681"/>
    <s v="-75.5837405"/>
    <s v="ANTIOQUIA"/>
    <s v="MEDELLÍN"/>
    <s v="MEDELLÍN"/>
    <n v="5001"/>
    <s v="2025-09-11"/>
    <n v="1"/>
    <s v="MEDELLIN"/>
    <x v="0"/>
    <n v="37313"/>
    <n v="37313"/>
  </r>
  <r>
    <n v="49214"/>
    <s v="BARRIO VENTILADOR NEIVA"/>
    <n v="7695848"/>
    <s v="0"/>
    <s v="3204828060"/>
    <s v="3204828060"/>
    <s v="CR 19 1 H 50,VENTILADOR"/>
    <s v="2.9230956"/>
    <s v="-75.2745582"/>
    <s v="HUILA"/>
    <s v="NEIVA"/>
    <s v="NEIVA"/>
    <n v="41001"/>
    <s v="2025-09-11"/>
    <n v="1"/>
    <s v="NEIVA"/>
    <x v="1"/>
    <n v="49671.7"/>
    <n v="49671.7"/>
  </r>
  <r>
    <n v="38043"/>
    <s v="BARRIO LA SALLISTA CALDAS"/>
    <n v="43117471"/>
    <s v="5789843"/>
    <s v="3147764416"/>
    <s v="3147764416"/>
    <s v="CR 51 118 SUR 57,LA SALLISTA"/>
    <s v="6.1000095"/>
    <s v="-75.6388142"/>
    <s v="ANTIOQUIA"/>
    <s v="CALDAS"/>
    <s v="CALDAS"/>
    <n v="5129"/>
    <s v="2025-09-11"/>
    <n v="1"/>
    <s v="MEDELLIN"/>
    <x v="0"/>
    <n v="37313"/>
    <n v="37313"/>
  </r>
  <r>
    <n v="52731"/>
    <s v="BARRIO TALANGA CALI"/>
    <n v="1234188746"/>
    <s v="0"/>
    <s v="3246043756"/>
    <s v="3246043756"/>
    <s v="CR 24 K 85 04"/>
    <s v="3.4346414"/>
    <s v="-76.4704412"/>
    <s v="VALLE DEL CAUCA"/>
    <s v="CALI"/>
    <s v="SANTIAGO DE CALI"/>
    <n v="76001"/>
    <s v="2025-09-11"/>
    <n v="1"/>
    <s v="CALI"/>
    <x v="3"/>
    <n v="37313"/>
    <n v="37313"/>
  </r>
  <r>
    <n v="51764"/>
    <s v="BARRIO JORDAN VILLAVICENCIO 4"/>
    <n v="21235267"/>
    <s v="0"/>
    <s v="3203051265"/>
    <s v="3115158156"/>
    <s v="CR 20 C 37 C 03,JORDAN"/>
    <s v="4.151502"/>
    <s v="-73.622705"/>
    <s v="META"/>
    <s v="VILLAVICENCIO"/>
    <s v="VILLAVICENCIO"/>
    <n v="50001"/>
    <s v="2025-09-11"/>
    <n v="1"/>
    <s v="VILLAVICENCIO"/>
    <x v="1"/>
    <n v="49671.7"/>
    <n v="49671.7"/>
  </r>
  <r>
    <n v="52313"/>
    <s v="BARRIO SAN LUIS CUCUTA 12"/>
    <n v="27602333"/>
    <s v="5503050"/>
    <s v="3123573369"/>
    <s v="3123573369"/>
    <s v="Av las Americas MZ  16 Int18 Brisas del norte"/>
    <s v="7.8970640000"/>
    <s v="-72.47859200"/>
    <s v="NORTE DE SANTANDER"/>
    <s v="CÚCUTA"/>
    <s v="CÚCUTA"/>
    <n v="54001"/>
    <s v="2025-09-11"/>
    <n v="1"/>
    <s v="CUCUTA"/>
    <x v="4"/>
    <n v="49671.7"/>
    <n v="49671.7"/>
  </r>
  <r>
    <n v="53834"/>
    <s v="BARRIO FLORESTA CALI 2"/>
    <n v="94514695"/>
    <s v="4485541"/>
    <s v="3186715122"/>
    <s v="3166349158"/>
    <s v="KR 15 # 30A -14"/>
    <s v="3.4247869"/>
    <s v="-76.4851559"/>
    <s v="VALLE DEL CAUCA"/>
    <s v="CALI"/>
    <s v="SANTIAGO DE CALI"/>
    <n v="76001"/>
    <s v="2025-09-11"/>
    <n v="2"/>
    <s v="CALI"/>
    <x v="3"/>
    <n v="37313"/>
    <n v="74626"/>
  </r>
  <r>
    <n v="53219"/>
    <s v="BARRIO CENTRO IBAGUE 27"/>
    <n v="28681773"/>
    <s v="0"/>
    <s v="3152280581"/>
    <s v="3152280581"/>
    <s v="CC LOS PANCHES LOCAL 220 PISO 2,BRR CENTRO"/>
    <s v="4.2630"/>
    <s v="-75.14160"/>
    <s v="TOLIMA"/>
    <s v="IBAGUÉ"/>
    <s v="IBAGUÉ"/>
    <n v="73001"/>
    <s v="2025-09-11"/>
    <n v="1"/>
    <s v="IBAGUE"/>
    <x v="1"/>
    <n v="49671.7"/>
    <n v="49671.7"/>
  </r>
  <r>
    <n v="54496"/>
    <s v="BARRIO SAN JUAN LA LORENA MEDELLIN"/>
    <n v="22069750"/>
    <s v="4076030"/>
    <s v="3117119900"/>
    <s v="3117119900"/>
    <s v="CL 44 77 09"/>
    <s v="6.2500911"/>
    <s v="-75.5959592"/>
    <s v="ANTIOQUIA"/>
    <s v="MEDELLÍN"/>
    <s v="MEDELLÍN"/>
    <n v="5001"/>
    <s v="2025-09-11"/>
    <n v="1"/>
    <s v="MEDELLIN"/>
    <x v="0"/>
    <n v="37313"/>
    <n v="37313"/>
  </r>
  <r>
    <n v="55759"/>
    <s v="BARRIO SANTO DOMINGO MEDELLIN 3"/>
    <n v="32240684"/>
    <s v="5724548"/>
    <s v="3184216557"/>
    <s v="3184216557"/>
    <s v="CR 28 107 366,SANTO DOMINGO"/>
    <s v="6.2968937"/>
    <s v="-75.5385205"/>
    <s v="ANTIOQUIA"/>
    <s v="MEDELLÍN"/>
    <s v="MEDELLÍN"/>
    <n v="5001"/>
    <s v="2025-09-11"/>
    <n v="1"/>
    <s v="MEDELLIN"/>
    <x v="0"/>
    <n v="37313"/>
    <n v="37313"/>
  </r>
  <r>
    <n v="53509"/>
    <s v="BARRIO EL DIAMANTE CALI 2"/>
    <n v="1151944143"/>
    <s v="0"/>
    <s v="3188119988"/>
    <s v="3188119988"/>
    <s v="CR 30 A 38 91"/>
    <s v="3.4221867"/>
    <s v="-76.5025309"/>
    <s v="VALLE DEL CAUCA"/>
    <s v="CALI"/>
    <s v="SANTIAGO DE CALI"/>
    <n v="76001"/>
    <s v="2025-09-11"/>
    <n v="1"/>
    <s v="CALI"/>
    <x v="3"/>
    <n v="37313"/>
    <n v="37313"/>
  </r>
  <r>
    <n v="54474"/>
    <s v="BARRIO VALLE GRANDE CALI"/>
    <n v="1004572749"/>
    <s v="0"/>
    <s v="3146066693"/>
    <s v="3146066693"/>
    <s v="CL 79 23 05 LOCAL 3,VALLE GRANDE"/>
    <s v="3.4391760"/>
    <s v="-76.4743859"/>
    <s v="VALLE DEL CAUCA"/>
    <s v="CALI"/>
    <s v="SANTIAGO DE CALI"/>
    <n v="76001"/>
    <s v="2025-09-11"/>
    <n v="1"/>
    <s v="CALI"/>
    <x v="3"/>
    <n v="37313"/>
    <n v="37313"/>
  </r>
  <r>
    <n v="55124"/>
    <s v="BARRIO ALAMOS NORTE NEIVA 1"/>
    <n v="1084868493"/>
    <s v="8769870"/>
    <s v="3165349962"/>
    <s v="3165349962"/>
    <s v="CL 50 16 A 23,"/>
    <s v="2.9540348"/>
    <s v="-75.2874355"/>
    <s v="HUILA"/>
    <s v="NEIVA"/>
    <s v="NEIVA"/>
    <n v="41001"/>
    <s v="2025-09-11"/>
    <n v="1"/>
    <s v="NEIVA"/>
    <x v="1"/>
    <n v="49671.7"/>
    <n v="49671.7"/>
  </r>
  <r>
    <n v="59067"/>
    <s v="BARRIO MIRADOR BOGOTA"/>
    <n v="52964822"/>
    <s v="0"/>
    <s v="3108066808"/>
    <s v="3108066808"/>
    <s v="TV 6 B BIS 48 I 56 S,MIRADOR"/>
    <s v="4.5599117"/>
    <s v="-74.1163806"/>
    <s v="CUNDINAMARCA"/>
    <s v="BOGOTÁ"/>
    <s v="BOGOTÁ"/>
    <n v="11001"/>
    <s v="2025-09-11"/>
    <n v="1"/>
    <s v="BOGOTA"/>
    <x v="2"/>
    <n v="37313"/>
    <n v="37313"/>
  </r>
  <r>
    <n v="57553"/>
    <s v="BARRIO BELISARIO BETANCUR CUCUTA"/>
    <n v="1090389554"/>
    <s v="3233049750"/>
    <s v="3233049750"/>
    <s v="3233049750"/>
    <s v="CL 13 NRO 14-04,BRR BELISARIO BETANCOUR"/>
    <s v="7.8994555"/>
    <s v="-72.53691388"/>
    <s v="NORTE DE SANTANDER"/>
    <s v="CÚCUTA"/>
    <s v="CÚCUTA"/>
    <n v="54001"/>
    <s v="2025-09-11"/>
    <n v="1"/>
    <s v="CUCUTA"/>
    <x v="4"/>
    <n v="49671.7"/>
    <n v="49671.7"/>
  </r>
  <r>
    <n v="58924"/>
    <s v="BARRIO PAZ Y FUTURO CUCUTA 1"/>
    <n v="37271375"/>
    <s v="3202443607"/>
    <s v="3202443607"/>
    <s v="3202443607"/>
    <s v="AV 47 LT 5,PAZ Y FUTURO"/>
    <s v="7.89961719"/>
    <s v="-72.5473251111"/>
    <s v="NORTE DE SANTANDER"/>
    <s v="CÚCUTA"/>
    <s v="CÚCUTA"/>
    <n v="54001"/>
    <s v="2025-09-11"/>
    <n v="1"/>
    <s v="CUCUTA"/>
    <x v="4"/>
    <n v="49671.7"/>
    <n v="49671.7"/>
  </r>
  <r>
    <n v="56932"/>
    <s v="BARRIO DELICIAS BOGOTA"/>
    <n v="52897200"/>
    <s v="0"/>
    <s v="3133775647"/>
    <s v="3133775647"/>
    <s v="CL 45 SUR 72 B 28 , DELICIAS"/>
    <s v="4.5994656"/>
    <s v="-74.147914"/>
    <s v="CUNDINAMARCA"/>
    <s v="BOGOTÁ"/>
    <s v="BOGOTÁ"/>
    <n v="11001"/>
    <s v="2025-09-11"/>
    <n v="1"/>
    <s v="BOGOTA"/>
    <x v="2"/>
    <n v="37313"/>
    <n v="37313"/>
  </r>
  <r>
    <n v="62088"/>
    <s v="BARRIO CENTRO POPAYAN 22"/>
    <n v="1061731271"/>
    <s v="0"/>
    <s v="3176757074"/>
    <s v="3184637543"/>
    <s v="CR 9  6 - 23 - CENTRO"/>
    <s v="2.4411504"/>
    <s v="-76.6090975"/>
    <s v="CAUCA"/>
    <s v="POPAYÁN"/>
    <s v="POPAYÁN"/>
    <n v="19001"/>
    <s v="2025-09-11"/>
    <n v="1"/>
    <s v="CALI"/>
    <x v="3"/>
    <n v="37313"/>
    <n v="37313"/>
  </r>
  <r>
    <n v="59810"/>
    <s v="BARRIO CALDAS CALDAS"/>
    <n v="1099543041"/>
    <s v="0"/>
    <s v="3173877783"/>
    <s v="3173877783"/>
    <s v="CR 49 121 SUR 51"/>
    <s v="6.097617"/>
    <s v="-75.636177"/>
    <s v="ANTIOQUIA"/>
    <s v="CALDAS"/>
    <s v="CALDAS"/>
    <n v="5129"/>
    <s v="2025-09-11"/>
    <n v="1"/>
    <s v="MEDELLIN"/>
    <x v="0"/>
    <n v="37313"/>
    <n v="37313"/>
  </r>
  <r>
    <n v="51066"/>
    <s v="BARRIO LA UNION BARRANQUILLA 1"/>
    <n v="32769033"/>
    <s v="3114387325"/>
    <s v="3114387325"/>
    <s v="3114387325"/>
    <s v="CL 35 10 40 LO 3,LA UNION"/>
    <s v="10.94973"/>
    <s v="-74.78922"/>
    <s v="ATLÁNTICO"/>
    <s v="BARRANQUILLA"/>
    <s v="BARRANQUILLA"/>
    <n v="8001"/>
    <s v="2025-09-11"/>
    <n v="1"/>
    <s v="BARRANQUILLA"/>
    <x v="5"/>
    <n v="37313"/>
    <n v="37313"/>
  </r>
  <r>
    <n v="68968"/>
    <s v="BARRIOVILLA JULIA  KALUTEX"/>
    <n v="901300993"/>
    <m/>
    <s v="0"/>
    <s v="3202722727"/>
    <s v="Cra 28 # 37 B - 17 Barrio Villa Julia"/>
    <s v="4.1526732"/>
    <s v="-73.6335338"/>
    <s v="META"/>
    <s v="VILLAVICENCIO"/>
    <s v="VILLAVICENCIO"/>
    <n v="50001"/>
    <s v="2025-09-11"/>
    <n v="1"/>
    <s v="VILLAVICENCIO"/>
    <x v="1"/>
    <n v="49671.7"/>
    <n v="49671.7"/>
  </r>
  <r>
    <n v="66076"/>
    <s v="BARRIO CADILLAL POPAYAN 4"/>
    <n v="1061786875"/>
    <s v="0"/>
    <s v="3217747717"/>
    <s v="3217747717"/>
    <s v="CL 4 16 56 -EL CADILLAL,CADILLAL"/>
    <s v="2.4451065"/>
    <s v="-76.6143593"/>
    <s v="CAUCA"/>
    <s v="POPAYÁN"/>
    <s v="POPAYÁN"/>
    <n v="19001"/>
    <s v="2025-09-11"/>
    <n v="1"/>
    <s v="CALI"/>
    <x v="3"/>
    <n v="37313"/>
    <n v="37313"/>
  </r>
  <r>
    <n v="66609"/>
    <s v="BARRIO LA GIRALDA BOGOTA"/>
    <n v="1016108214"/>
    <s v="0"/>
    <s v="3227775435"/>
    <s v="3227775435"/>
    <s v="CL 22 F 103 B 22"/>
    <s v="4.679246"/>
    <s v="-74.142176"/>
    <s v="CUNDINAMARCA"/>
    <s v="BOGOTÁ"/>
    <s v="BOGOTÁ"/>
    <n v="11001"/>
    <s v="2025-09-11"/>
    <n v="1"/>
    <s v="BOGOTA"/>
    <x v="2"/>
    <n v="37313"/>
    <n v="37313"/>
  </r>
  <r>
    <n v="66709"/>
    <s v="BARRIO LAS AMERICAS POPAYAN 1"/>
    <n v="76331735"/>
    <s v="0"/>
    <s v="3117621859"/>
    <s v="3117621859"/>
    <s v="CL 11 A NRO 10 A - 22 - LAS AMERICAS,LAS AMÉRICAS"/>
    <s v="2.4375782"/>
    <s v="-76.6121443"/>
    <s v="CAUCA"/>
    <s v="POPAYÁN"/>
    <s v="POPAYÁN"/>
    <n v="19001"/>
    <s v="2025-09-11"/>
    <n v="1"/>
    <s v="CALI"/>
    <x v="3"/>
    <n v="37313"/>
    <n v="37313"/>
  </r>
  <r>
    <n v="66776"/>
    <s v="BARRIO SANTA CRUZ MEDELLIN 15"/>
    <n v="70954980"/>
    <s v="2364098"/>
    <s v="3147911320"/>
    <s v="3147911320"/>
    <s v="CL 98 50 60,SANTA CRUZ"/>
    <s v="6.2903162"/>
    <s v="-75.5582863"/>
    <s v="ANTIOQUIA"/>
    <s v="MEDELLÍN"/>
    <s v="MEDELLÍN"/>
    <n v="5001"/>
    <s v="2025-09-11"/>
    <n v="1"/>
    <s v="MEDELLIN"/>
    <x v="0"/>
    <n v="37313"/>
    <n v="37313"/>
  </r>
  <r>
    <n v="67024"/>
    <s v="BARRIO SAN JOSE DE LOS CAMPANOS CARTAGENA DE INDIAS 5"/>
    <n v="1143337324"/>
    <s v="311 4208866"/>
    <s v="3114208866"/>
    <s v="3114208866"/>
    <s v="CR 102 C35B 102 9,SAN JOSE DE LOS CAMPANOS"/>
    <s v="10.3834340"/>
    <s v="-75.4595360"/>
    <s v="BOLÍVAR"/>
    <s v="CARTAGENA DE INDIAS"/>
    <s v="CARTAGENA DE INDIAS"/>
    <n v="13001"/>
    <s v="2025-09-11"/>
    <n v="2"/>
    <s v="CARTAGENA"/>
    <x v="5"/>
    <n v="49671.7"/>
    <n v="99343.4"/>
  </r>
  <r>
    <n v="68824"/>
    <s v="BARRIO CENTRO VILLAVICENCIO"/>
    <n v="1110585674"/>
    <s v="3204533012"/>
    <s v="3227694011"/>
    <s v="3204533012"/>
    <s v="CL 37 NRO. 29 - 02 LOCAL 2 BARRIO CENTRO CENTRO VILLAVICENCIO,CENTRO"/>
    <s v="4.151213"/>
    <s v="-73.634604"/>
    <s v="META"/>
    <s v="VILLAVICENCIO"/>
    <s v="VILLAVICENCIO"/>
    <n v="50001"/>
    <s v="2025-09-11"/>
    <n v="1"/>
    <s v="VILLAVICENCIO"/>
    <x v="1"/>
    <n v="49671.7"/>
    <n v="49671.7"/>
  </r>
  <r>
    <n v="69658"/>
    <s v="BARRIO VILLATINA MEDELLIN 3"/>
    <n v="70472073"/>
    <s v="3135556003"/>
    <s v="3206949823"/>
    <s v="3135556003"/>
    <s v="CL 56 E 17 24,VILLATINA"/>
    <s v="6.2418887"/>
    <s v="-75.5391186"/>
    <s v="ANTIOQUIA"/>
    <s v="MEDELLÍN"/>
    <s v="MEDELLÍN"/>
    <n v="5001"/>
    <s v="2025-09-11"/>
    <n v="1"/>
    <s v="MEDELLIN"/>
    <x v="0"/>
    <n v="37313"/>
    <n v="37313"/>
  </r>
  <r>
    <n v="42634"/>
    <s v="BARRIO COLOMBIA MEDELLIN 1"/>
    <n v="901221244"/>
    <s v="4796969"/>
    <s v="3016246099"/>
    <s v="3016246099"/>
    <s v="CR 69 # 44 B 78 Barrio Florida"/>
    <s v="6.2511446"/>
    <s v="-75.5871804"/>
    <s v="ANTIOQUIA"/>
    <s v="MEDELLÍN"/>
    <s v="MEDELLÍN"/>
    <n v="5001"/>
    <s v="2025-09-11"/>
    <n v="1"/>
    <s v="MEDELLIN"/>
    <x v="0"/>
    <n v="37313"/>
    <n v="37313"/>
  </r>
  <r>
    <n v="65924"/>
    <s v="BARRIO SUBA COMPARTIR BOGOTA 2"/>
    <n v="41450409"/>
    <s v="0"/>
    <s v="3107575684"/>
    <s v="3107575684"/>
    <s v="CR 100 A 132 C 03 LOCAL 2,SUBA COMPARTIR"/>
    <s v="4.7354003"/>
    <s v="-74.0950315"/>
    <s v="CUNDINAMARCA"/>
    <s v="BOGOTÁ"/>
    <s v="BOGOTÁ"/>
    <n v="11001"/>
    <s v="2025-09-11"/>
    <n v="1"/>
    <s v="BOGOTA"/>
    <x v="2"/>
    <n v="37313"/>
    <n v="37313"/>
  </r>
  <r>
    <n v="70284"/>
    <s v="BARRIO URB BETHEL CUCUTA NORTE DE SANTANDER"/>
    <n v="1093749984"/>
    <s v="3003639848"/>
    <s v="3003639848"/>
    <s v="3003939848"/>
    <s v="CL 18 22-47,URB BETHEL"/>
    <s v="7.883915"/>
    <s v="-72.468792"/>
    <s v="NORTE DE SANTANDER"/>
    <s v="CÚCUTA"/>
    <s v="CÚCUTA"/>
    <n v="54001"/>
    <s v="2025-09-11"/>
    <n v="1"/>
    <s v="CUCUTA"/>
    <x v="4"/>
    <n v="49671.7"/>
    <n v="49671.7"/>
  </r>
  <r>
    <n v="71398"/>
    <s v="BARRIO VALLE GRANDE CALI 2"/>
    <n v="901563107"/>
    <s v="3182898824"/>
    <s v="0"/>
    <s v="3182898824"/>
    <s v="CL 80 # 23 - 113, BRR VALLE GRANDE,VALLE GRANDE"/>
    <s v="3.4372303"/>
    <s v="-76.4737018"/>
    <s v="VALLE DEL CAUCA"/>
    <s v="CALI"/>
    <s v="SANTIAGO DE CALI"/>
    <n v="76001"/>
    <s v="2025-09-11"/>
    <n v="1"/>
    <s v="CALI"/>
    <x v="3"/>
    <n v="37313"/>
    <n v="37313"/>
  </r>
  <r>
    <n v="71698"/>
    <s v="BARRIO SOL DE ORIENTE"/>
    <n v="1046909163"/>
    <s v="3026834285"/>
    <s v="3026834285"/>
    <s v="3026834285"/>
    <s v="KM 7 ANTIGUA VIA GUARNE"/>
    <s v="6.306076"/>
    <s v="-75.528954"/>
    <s v="ANTIOQUIA"/>
    <s v="MEDELLÍN"/>
    <s v="MEDELLÍN"/>
    <n v="5001"/>
    <s v="2025-09-11"/>
    <n v="1"/>
    <s v="MEDELLIN"/>
    <x v="0"/>
    <n v="37313"/>
    <n v="37313"/>
  </r>
  <r>
    <n v="71314"/>
    <s v="NEIVA CHICALA"/>
    <n v="1079411039"/>
    <s v="3125682255"/>
    <s v="3125682255"/>
    <s v="3125682255"/>
    <s v="CL 67 1 C W 63,CHICALA"/>
    <s v="2.9658468"/>
    <s v="-75.2978329"/>
    <s v="HUILA"/>
    <s v="NEIVA"/>
    <s v="NEIVA"/>
    <n v="41001"/>
    <s v="2025-09-11"/>
    <n v="1"/>
    <s v="NEIVA"/>
    <x v="1"/>
    <n v="49671.7"/>
    <n v="49671.7"/>
  </r>
  <r>
    <n v="60094"/>
    <s v="BARRIO VILLA DEL SOL VILLAVICENCIO"/>
    <n v="1124828114"/>
    <s v="3138453199"/>
    <s v="3222829499"/>
    <s v="3222829499"/>
    <s v="CL 26 6 71 - VILLA DEL SOL,VILLA DEL SOL"/>
    <s v="4.140844"/>
    <s v="-73.608226"/>
    <s v="META"/>
    <s v="VILLAVICENCIO"/>
    <s v="VILLAVICENCIO"/>
    <n v="50001"/>
    <s v="2025-09-11"/>
    <n v="1"/>
    <s v="VILLAVICENCIO"/>
    <x v="1"/>
    <n v="49671.7"/>
    <n v="49671.7"/>
  </r>
  <r>
    <n v="68468"/>
    <s v="BARRIO NUEVA DELICIAS BOGOTA 2"/>
    <n v="1012342783"/>
    <s v="0"/>
    <s v="3115163490"/>
    <s v="3115163490"/>
    <s v="CL 44 A 72A 47 SUR.NUEVA DELICIAS"/>
    <s v="4.5992867"/>
    <s v="-74.1452717"/>
    <s v="CUNDINAMARCA"/>
    <s v="BOGOTÁ"/>
    <s v="BOGOTÁ"/>
    <n v="11001"/>
    <s v="2025-09-11"/>
    <n v="1"/>
    <s v="BOGOTA"/>
    <x v="2"/>
    <n v="37313"/>
    <n v="37313"/>
  </r>
  <r>
    <n v="70535"/>
    <s v="BARRIO URBANIZACION PROTECHO TOPACIO PLAN B IBAGUE 1"/>
    <n v="32562345"/>
    <s v="3117589208"/>
    <s v="3214698756"/>
    <s v="3117589208"/>
    <s v="MZ 15 CASA 1 LOCAL 2,URBANIZACIÓN PROTECHO TOPACIO PLAN B"/>
    <s v="4.4378202"/>
    <s v="-75.1625587"/>
    <s v="TOLIMA"/>
    <s v="IBAGUÉ"/>
    <s v="IBAGUÉ"/>
    <n v="73001"/>
    <s v="2025-09-11"/>
    <n v="1"/>
    <s v="IBAGUE"/>
    <x v="1"/>
    <n v="49671.7"/>
    <n v="49671.7"/>
  </r>
  <r>
    <n v="70742"/>
    <s v="CHICALA NEIVA 1"/>
    <n v="36178359"/>
    <s v="3202499364"/>
    <s v="0"/>
    <s v="3202499364"/>
    <s v="CR 1 65 03 LC 3,CHICALA"/>
    <s v="2.9639970"/>
    <s v="-75.2963593"/>
    <s v="HUILA"/>
    <s v="NEIVA"/>
    <s v="NEIVA"/>
    <n v="41001"/>
    <s v="2025-09-11"/>
    <n v="1"/>
    <s v="NEIVA"/>
    <x v="1"/>
    <n v="49671.7"/>
    <n v="49671.7"/>
  </r>
  <r>
    <n v="72072"/>
    <s v="TOLIMA IBAGUE"/>
    <n v="1110550566"/>
    <s v="3102256519"/>
    <s v="3102256519"/>
    <s v="3102256519"/>
    <s v="CL 20 # 7,BOQUERÓN PARTE ALTA"/>
    <s v="4.412129"/>
    <s v="-75.266276 "/>
    <s v="TOLIMA"/>
    <s v="IBAGUÉ"/>
    <s v="IBAGUÉ"/>
    <n v="73001"/>
    <s v="2025-09-11"/>
    <n v="1"/>
    <s v="IBAGUE"/>
    <x v="1"/>
    <n v="49671.7"/>
    <n v="49671.7"/>
  </r>
  <r>
    <n v="64031"/>
    <s v="BARRIO FONTIBON BOGOTA 15"/>
    <n v="1016033040"/>
    <s v="3194327665"/>
    <s v="3103290963"/>
    <s v="3194327665"/>
    <s v="CL 22 H # 104B 02,FONTIBÓN"/>
    <s v="4.6810778"/>
    <s v="-74.1427093"/>
    <s v="CUNDINAMARCA"/>
    <s v="BOGOTÁ"/>
    <s v="BOGOTÁ"/>
    <n v="11001"/>
    <s v="2025-09-11"/>
    <n v="1"/>
    <s v="BOGOTA"/>
    <x v="2"/>
    <n v="37313"/>
    <n v="37313"/>
  </r>
  <r>
    <n v="67626"/>
    <s v="BARRIO LOS MANGOS CALI 1"/>
    <n v="66953609"/>
    <s v="0"/>
    <s v="3185998645"/>
    <s v="3185998645"/>
    <s v="CR 26M1 NRO 73A- 73,LOS MANGOS"/>
    <s v="3.426715"/>
    <s v="-76.483025"/>
    <s v="VALLE DEL CAUCA"/>
    <s v="CALI"/>
    <s v="SANTIAGO DE CALI"/>
    <n v="76001"/>
    <s v="2025-09-11"/>
    <n v="1"/>
    <s v="CALI"/>
    <x v="3"/>
    <n v="37313"/>
    <n v="37313"/>
  </r>
  <r>
    <n v="67843"/>
    <s v="BARRIO SAN JOSE DE FONTIBON BOGOTA 2"/>
    <n v="1056928487"/>
    <s v="0"/>
    <s v="3102250380"/>
    <s v="3102250380"/>
    <s v="CR 100 NO. 22K - 06,SAN JOSE DE FONTIBON"/>
    <s v="4.678491"/>
    <s v="-74.138484"/>
    <s v="CUNDINAMARCA"/>
    <s v="BOGOTÁ"/>
    <s v="BOGOTÁ"/>
    <n v="11001"/>
    <s v="2025-09-11"/>
    <n v="1"/>
    <s v="BOGOTA"/>
    <x v="2"/>
    <n v="37313"/>
    <n v="37313"/>
  </r>
  <r>
    <n v="68299"/>
    <s v="BARRIO PRIMAVERA CALI 1"/>
    <n v="16375324"/>
    <s v="0"/>
    <s v="3182380345"/>
    <s v="3182380345"/>
    <s v="DG 30 34 06,PRIMAVERA"/>
    <s v="3.42091666"/>
    <s v="-76.5081119"/>
    <s v="VALLE DEL CAUCA"/>
    <s v="CALI"/>
    <s v="SANTIAGO DE CALI"/>
    <n v="76001"/>
    <s v="2025-09-11"/>
    <n v="1"/>
    <s v="CALI"/>
    <x v="3"/>
    <n v="37313"/>
    <n v="37313"/>
  </r>
  <r>
    <n v="76084"/>
    <s v="BARRIO FONTIBON LA CABAÑA BOGOTA"/>
    <n v="52784056"/>
    <s v="3125007898"/>
    <s v="3125007898"/>
    <s v="3167409085"/>
    <s v="CR 103 A 23 D 15,FONTIBON LA CABAÑA"/>
    <s v="4.6818486"/>
    <s v="-74.1386634"/>
    <s v="CUNDINAMARCA"/>
    <s v="BOGOTÁ"/>
    <s v="BOGOTÁ"/>
    <n v="11001"/>
    <s v="2025-09-11"/>
    <n v="1"/>
    <s v="BOGOTA"/>
    <x v="2"/>
    <n v="37313"/>
    <n v="37313"/>
  </r>
  <r>
    <n v="78034"/>
    <s v="BARRIO_x0009_CAICEDO LA RAMADA MEDELLIN"/>
    <n v="1017150155"/>
    <s v="3103691129"/>
    <s v="3103691129"/>
    <s v="3103691129"/>
    <s v="CR 8 CL 57 A 22,CAICEDO LA RAMADA"/>
    <s v="6.2356931"/>
    <s v="-75.5333400"/>
    <s v="ANTIOQUIA"/>
    <s v="MEDELLÍN"/>
    <s v="MEDELLÍN"/>
    <n v="5001"/>
    <s v="2025-09-11"/>
    <n v="1"/>
    <s v="MEDELLIN"/>
    <x v="0"/>
    <n v="37313"/>
    <n v="37313"/>
  </r>
  <r>
    <n v="70304"/>
    <s v="BARRIO CENTRO POPAYAN  26"/>
    <n v="1061700850"/>
    <s v="3123872538"/>
    <s v="3123872538"/>
    <s v="3123872538"/>
    <s v="CR 4 7 18 - CENTRO,CENTRO"/>
    <s v="2.4387809"/>
    <s v="-76.6050520"/>
    <s v="CAUCA"/>
    <s v="POPAYÁN"/>
    <s v="POPAYÁN"/>
    <n v="19001"/>
    <s v="2025-09-11"/>
    <n v="1"/>
    <s v="CALI"/>
    <x v="3"/>
    <n v="37313"/>
    <n v="37313"/>
  </r>
  <r>
    <n v="70364"/>
    <s v="BARRIO BELLO BELLO 15"/>
    <n v="1020481068"/>
    <s v="3187593893"/>
    <s v="3187593893"/>
    <s v="3106845024"/>
    <s v="CARRERA 62 B 71 49,BELLO"/>
    <s v="6.3510583"/>
    <s v="-75.5655017"/>
    <s v="ANTIOQUIA"/>
    <s v="BELLO"/>
    <s v="BELLO"/>
    <n v="5088"/>
    <s v="2025-09-11"/>
    <n v="1"/>
    <s v="MEDELLIN"/>
    <x v="0"/>
    <n v="37313"/>
    <n v="37313"/>
  </r>
  <r>
    <n v="65319"/>
    <s v="BARRIO JORDAN 7 ETAPA IBAGUE 4"/>
    <n v="1110457930"/>
    <s v="0"/>
    <s v="3104799123"/>
    <s v="3104799123"/>
    <s v="MZ 40 CASA 9 LOCAL 1 BRR JORDAN 7 ETAPA"/>
    <s v="4.4423671"/>
    <s v="-75.1953251"/>
    <s v="TOLIMA"/>
    <s v="IBAGUÉ"/>
    <s v="IBAGUÉ"/>
    <n v="73001"/>
    <s v="2025-09-11"/>
    <n v="1"/>
    <s v="IBAGUE"/>
    <x v="1"/>
    <n v="49671.7"/>
    <n v="49671.7"/>
  </r>
  <r>
    <n v="70857"/>
    <s v="CIUDAD MODELO CALI1"/>
    <n v="31986960"/>
    <s v="3152052326"/>
    <s v="0"/>
    <s v="3152052326"/>
    <s v="CR 41 A 26 E - 25 CIUDAD MODELO"/>
    <s v="3.4166222"/>
    <s v="-76.5178454"/>
    <s v="VALLE DEL CAUCA"/>
    <s v="CALI"/>
    <s v="SANTIAGO DE CALI"/>
    <n v="76001"/>
    <s v="2025-09-11"/>
    <n v="1"/>
    <s v="CALI"/>
    <x v="3"/>
    <n v="37313"/>
    <n v="37313"/>
  </r>
  <r>
    <n v="78097"/>
    <s v="BARRIO SANTA CLARA PASTO 2"/>
    <n v="1085308125"/>
    <s v="3146806639"/>
    <s v="3146806639"/>
    <s v="3187561513"/>
    <s v="CR 6 15 45 LC 2 BRR SANTA CLARA,SANTA CLARA"/>
    <s v="1.1962875"/>
    <s v="-77.2730025"/>
    <s v="NARIÑO"/>
    <s v="PASTO"/>
    <s v="SAN JUAN DE PASTO"/>
    <n v="52001"/>
    <s v="2025-09-11"/>
    <n v="1"/>
    <s v="PASTO"/>
    <x v="3"/>
    <n v="49671.7"/>
    <n v="49671.7"/>
  </r>
  <r>
    <n v="71507"/>
    <s v="BARRIO OLAYA CALDAS"/>
    <n v="42788471"/>
    <s v="3117667403"/>
    <s v="3194770088"/>
    <s v="3194770088"/>
    <s v="CALLE 128 46 98 CALLE 128 SUR 46 98,OLAYA"/>
    <s v="6.0931382"/>
    <s v="-75.6340900"/>
    <s v="ANTIOQUIA"/>
    <s v="CALDAS"/>
    <s v="CALDAS"/>
    <n v="5129"/>
    <s v="2025-09-11"/>
    <n v="1"/>
    <s v="MEDELLIN"/>
    <x v="0"/>
    <n v="37313"/>
    <n v="37313"/>
  </r>
  <r>
    <n v="80598"/>
    <s v="BARRIO AGUAS CALIENTES CUCUTA 7"/>
    <n v="13199443"/>
    <s v="3123154823"/>
    <s v="3123154823"/>
    <s v="3123154823"/>
    <s v="CL 22 17 02,AGUAS CALIENTES"/>
    <s v="7.8824910"/>
    <s v="-72.4735985"/>
    <s v="NORTE DE SANTANDER"/>
    <s v="CÚCUTA"/>
    <s v="CÚCUTA"/>
    <n v="54001"/>
    <s v="2025-09-11"/>
    <n v="1"/>
    <s v="CUCUTA"/>
    <x v="4"/>
    <n v="49671.7"/>
    <n v="49671.7"/>
  </r>
  <r>
    <n v="67754"/>
    <s v="BARRIO URB CASTILLA VILLAVICENCIO"/>
    <n v="40438719"/>
    <s v="3204370214"/>
    <s v="3222461143"/>
    <s v="3103288244"/>
    <s v="CL 34 # 39 13 BARZAL ALTO"/>
    <s v="4.144965"/>
    <s v="-73.640212"/>
    <s v="META"/>
    <s v="VILLAVICENCIO"/>
    <s v="VILLAVICENCIO"/>
    <n v="50001"/>
    <s v="2025-09-11"/>
    <n v="1"/>
    <s v="VILLAVICENCIO"/>
    <x v="1"/>
    <n v="49671.7"/>
    <n v="49671.7"/>
  </r>
  <r>
    <n v="76064"/>
    <s v="BARRIO ITAGUI VIVIENDAS DEL SUR ITAGUI"/>
    <n v="1007222883"/>
    <s v="3117477869"/>
    <s v="3004226311"/>
    <s v="3117477869"/>
    <s v="CL 83 A 57 02,ITAGUÍ VIVIENDAS DEL SUR"/>
    <s v="6.1928144"/>
    <s v="-75.5975231"/>
    <s v="ANTIOQUIA"/>
    <s v="ITAGÜÍ"/>
    <s v="ITAGÜÍ"/>
    <n v="5360"/>
    <s v="2025-09-11"/>
    <n v="1"/>
    <s v="MEDELLIN"/>
    <x v="0"/>
    <n v="37313"/>
    <n v="37313"/>
  </r>
  <r>
    <n v="80138"/>
    <s v="BRR EL PARAMO CUCUTA"/>
    <n v="27601150"/>
    <s v="3107649646"/>
    <s v="3107649646"/>
    <m/>
    <s v="CL CL 15 5 59 LC 1,EL PARAMO"/>
    <s v="7.8817242"/>
    <s v="-72.5034943"/>
    <s v="NORTE DE SANTANDER"/>
    <s v="CÚCUTA"/>
    <s v="CÚCUTA"/>
    <n v="54001"/>
    <s v="2025-09-11"/>
    <n v="1"/>
    <s v="CUCUTA"/>
    <x v="4"/>
    <n v="49671.7"/>
    <n v="49671.7"/>
  </r>
  <r>
    <n v="73251"/>
    <s v="BARRIO VILLA JULIA VILLAVICENCIO 3"/>
    <n v="1234788960"/>
    <s v="3225251705"/>
    <s v="3222251705"/>
    <s v="3157903095"/>
    <s v="CL 38 N 27 - 22 LOCAL 1- VILLAJULIA,VILLA JULIA"/>
    <s v="4.153641"/>
    <s v="-73.633265"/>
    <s v="META"/>
    <s v="VILLAVICENCIO"/>
    <s v="VILLAVICENCIO"/>
    <n v="50001"/>
    <s v="2025-09-11"/>
    <n v="1"/>
    <s v="VILLAVICENCIO"/>
    <x v="1"/>
    <n v="49671.7"/>
    <n v="49671.7"/>
  </r>
  <r>
    <n v="76257"/>
    <s v="BARRIO EL RECREO CARTAGENA DE INDIAS 1"/>
    <n v="901505442"/>
    <s v="3002394556"/>
    <s v="3053403924"/>
    <s v="3002394556"/>
    <s v="CL 31 BIS CR 80C 37 P1 AP1,EL RECREO"/>
    <s v="10.3872505"/>
    <s v="-75.4723779"/>
    <s v="BOLÍVAR"/>
    <s v="CARTAGENA DE INDIAS"/>
    <s v="CARTAGENA DE INDIAS"/>
    <n v="13001"/>
    <s v="2025-09-11"/>
    <n v="1"/>
    <s v="CARTAGENA"/>
    <x v="5"/>
    <n v="49671.7"/>
    <n v="49671.7"/>
  </r>
  <r>
    <n v="76492"/>
    <s v="BARRIO CARIMAGUA KENNEDY BOGOTA"/>
    <n v="1012403290"/>
    <s v="3202717271"/>
    <s v="3202717271"/>
    <s v="3208884812"/>
    <s v="CL 38 A SUR 72 I 11,CARIMAGUA KENNEDY"/>
    <s v="4.6109793"/>
    <s v="-74.1433959"/>
    <s v="CUNDINAMARCA"/>
    <s v="BOGOTÁ"/>
    <s v="BOGOTÁ"/>
    <n v="11001"/>
    <s v="2025-09-11"/>
    <n v="1"/>
    <s v="BOGOTA"/>
    <x v="2"/>
    <n v="37313"/>
    <n v="37313"/>
  </r>
  <r>
    <n v="78580"/>
    <s v="BARRIO SAN JOAQUIN MEDELLIN  4"/>
    <n v="43598024"/>
    <s v="3023991541"/>
    <s v="3023991541"/>
    <s v="3154102400"/>
    <s v="CR 68 A 43 11,SAN JOAQUIN"/>
    <s v="6.2484227"/>
    <s v="-75.5869027"/>
    <s v="ANTIOQUIA"/>
    <s v="MEDELLÍN"/>
    <s v="MEDELLÍN"/>
    <n v="5001"/>
    <s v="2025-09-11"/>
    <n v="1"/>
    <s v="MEDELLIN"/>
    <x v="0"/>
    <n v="37313"/>
    <n v="37313"/>
  </r>
  <r>
    <n v="78869"/>
    <s v="BARRIO CAOBOS CUCUTA 9"/>
    <n v="88236357"/>
    <s v="3118310266"/>
    <s v="3118310266"/>
    <s v="3118310266"/>
    <s v="CL 9 NRO 0E-120 (11106),CAOBOS"/>
    <s v="7.8891811"/>
    <s v="-72.4974789"/>
    <s v="NORTE DE SANTANDER"/>
    <s v="CÚCUTA"/>
    <s v="CÚCUTA"/>
    <n v="54001"/>
    <s v="2025-09-11"/>
    <n v="1"/>
    <s v="CUCUTA"/>
    <x v="4"/>
    <n v="49671.7"/>
    <n v="49671.7"/>
  </r>
  <r>
    <n v="78948"/>
    <s v="BARRIO LA PLAYA CUCUTA 13"/>
    <n v="27590666"/>
    <s v="3143852639"/>
    <s v="3143852639"/>
    <s v="3143852639"/>
    <s v="CL 15 NRO 3-90(1),LA PLAYA"/>
    <s v="7.8820568"/>
    <s v="-72.5017999"/>
    <s v="NORTE DE SANTANDER"/>
    <s v="CÚCUTA"/>
    <s v="CÚCUTA"/>
    <n v="54001"/>
    <s v="2025-09-11"/>
    <n v="1"/>
    <s v="CUCUTA"/>
    <x v="4"/>
    <n v="49671.7"/>
    <n v="49671.7"/>
  </r>
  <r>
    <n v="79068"/>
    <s v="BARRIO MOTILONES CUCUTA 29"/>
    <n v="1010083862"/>
    <s v="3123117673"/>
    <s v="3123117673"/>
    <m/>
    <s v="CL 2 3-01,MOTILONES"/>
    <s v="7.9157216"/>
    <s v="-72.5262406"/>
    <s v="NORTE DE SANTANDER"/>
    <s v="CÚCUTA"/>
    <s v="CÚCUTA"/>
    <n v="54001"/>
    <s v="2025-09-11"/>
    <n v="1"/>
    <s v="CUCUTA"/>
    <x v="4"/>
    <n v="49671.7"/>
    <n v="49671.7"/>
  </r>
  <r>
    <n v="74117"/>
    <s v="BARRIO CENTRO NEIVA 35"/>
    <n v="1075250660"/>
    <s v="3222083007"/>
    <s v="3222083007"/>
    <s v="3222083007"/>
    <s v="CR  7 #  32-03"/>
    <s v="2.946265"/>
    <s v="-75.290672"/>
    <s v="HUILA"/>
    <s v="NEIVA"/>
    <s v="NEIVA"/>
    <n v="41001"/>
    <s v="2025-09-11"/>
    <n v="1"/>
    <s v="NEIVA"/>
    <x v="1"/>
    <n v="49671.7"/>
    <n v="49671.7"/>
  </r>
  <r>
    <n v="74282"/>
    <s v="BARRIO NUEVO HORIZONTE CUCUTA 4"/>
    <n v="1007552623"/>
    <s v="3222777979"/>
    <s v="3222777979"/>
    <s v="3232827746"/>
    <s v="CL 9 19-34 LC 1,NUEVO HORIZONTE"/>
    <s v="7.8941011"/>
    <s v="-72.5388721"/>
    <s v="NORTE DE SANTANDER"/>
    <s v="CÚCUTA"/>
    <s v="CÚCUTA"/>
    <n v="54001"/>
    <s v="2025-09-11"/>
    <n v="1"/>
    <s v="CUCUTA"/>
    <x v="4"/>
    <n v="49671.7"/>
    <n v="49671.7"/>
  </r>
  <r>
    <n v="74450"/>
    <s v="BARRIO SAN JOSE DE LOS CAMPANOS URB MANANTIAL CARTAGENA DE INDIAS "/>
    <n v="1201216837"/>
    <s v="3004501174"/>
    <s v="3013582540"/>
    <s v="3004501174"/>
    <s v="MZ B LT 20 A 201,SAN JOSE DE LOS CAMPANOS URB MANANTIAL"/>
    <s v="10.3892462"/>
    <s v="-75.4522361"/>
    <s v="BOLÍVAR"/>
    <s v="CARTAGENA DE INDIAS"/>
    <s v="CARTAGENA DE INDIAS"/>
    <n v="13001"/>
    <s v="2025-09-11"/>
    <n v="1"/>
    <s v="CARTAGENA"/>
    <x v="5"/>
    <n v="49671.7"/>
    <n v="49671.7"/>
  </r>
  <r>
    <n v="76881"/>
    <s v="BARRIO MOLINOS DEL SUR BOGOTA"/>
    <n v="52547389"/>
    <s v="3243429395"/>
    <s v="3243429395"/>
    <s v="3203305948"/>
    <s v="CL 50 SUR 7 - 70,MOLINOS DEL SUR"/>
    <s v="4.5579575"/>
    <s v="-74.1208080"/>
    <s v="CUNDINAMARCA"/>
    <s v="BOGOTÁ"/>
    <s v="BOGOTÁ"/>
    <n v="11001"/>
    <s v="2025-09-11"/>
    <n v="1"/>
    <s v="BOGOTA"/>
    <x v="2"/>
    <n v="37313"/>
    <n v="37313"/>
  </r>
  <r>
    <n v="77230"/>
    <s v="BARRIO LA LAGUNA CUCUTA"/>
    <n v="37390975"/>
    <s v="3108793708"/>
    <s v="3108793708"/>
    <m/>
    <s v="CL 18 0E -110,LA LAGUNA"/>
    <s v="7.9204957"/>
    <s v="-72.5166187"/>
    <s v="NORTE DE SANTANDER"/>
    <s v="CÚCUTA"/>
    <s v="CÚCUTA"/>
    <n v="54001"/>
    <s v="2025-09-11"/>
    <n v="1"/>
    <s v="CUCUTA"/>
    <x v="4"/>
    <n v="49671.7"/>
    <n v="49671.7"/>
  </r>
  <r>
    <n v="74532"/>
    <s v="BARRIO LOS ANDES NEIVA 3"/>
    <n v="55160389"/>
    <s v="3003525476"/>
    <s v="3003525476"/>
    <s v="3003525476"/>
    <s v="CR 17 B 30 - 16,LOS ANDES"/>
    <s v="2.9466811"/>
    <s v="-75.2838553"/>
    <s v="HUILA"/>
    <s v="NEIVA"/>
    <s v="NEIVA"/>
    <n v="41001"/>
    <s v="2025-09-11"/>
    <n v="1"/>
    <s v="NEIVA"/>
    <x v="1"/>
    <n v="49671.7"/>
    <n v="49671.7"/>
  </r>
  <r>
    <n v="75194"/>
    <s v="BARRIO AEROPUERTO CUCUTA 17"/>
    <n v="1090382788"/>
    <s v="3115599639"/>
    <s v="3115599639"/>
    <s v="3115599639"/>
    <s v="AV 4 12 32,AEROPUERTO"/>
    <s v="7.9353965"/>
    <s v="-72.5057836"/>
    <s v="NORTE DE SANTANDER"/>
    <s v="CÚCUTA"/>
    <s v="CÚCUTA"/>
    <n v="54001"/>
    <s v="2025-09-11"/>
    <n v="1"/>
    <s v="CUCUTA"/>
    <x v="4"/>
    <n v="49671.7"/>
    <n v="49671.7"/>
  </r>
  <r>
    <n v="75346"/>
    <s v="BARRIO VALENCIA POPAYAN 4"/>
    <n v="1061733375"/>
    <s v="3103968891"/>
    <s v="3212384749"/>
    <s v="3212384749"/>
    <s v="CL 5A 13 - 51,VALENCIA"/>
    <s v="2.4431285"/>
    <s v="-76.6132507"/>
    <s v="CAUCA"/>
    <s v="POPAYÁN"/>
    <s v="POPAYÁN"/>
    <n v="19001"/>
    <s v="2025-09-11"/>
    <n v="1"/>
    <s v="CALI"/>
    <x v="3"/>
    <n v="37313"/>
    <n v="37313"/>
  </r>
  <r>
    <n v="79062"/>
    <s v="BARRIO URB TORCOROMA 2 CUCUTA"/>
    <n v="60386627"/>
    <s v="3118984112"/>
    <s v="3118984112"/>
    <m/>
    <s v="MZ D16 LT 13,URB TORCOROMA 2"/>
    <s v="7.8958221"/>
    <s v="-72.4717468"/>
    <s v="NORTE DE SANTANDER"/>
    <s v="CÚCUTA"/>
    <s v="CÚCUTA"/>
    <n v="54001"/>
    <s v="2025-09-11"/>
    <n v="1"/>
    <s v="CUCUTA"/>
    <x v="4"/>
    <n v="49671.7"/>
    <n v="49671.7"/>
  </r>
  <r>
    <n v="77401"/>
    <s v="BARRIO LA HERMITA CUCUTA 1"/>
    <n v="88218871"/>
    <s v="3204338535"/>
    <s v="3204338535"/>
    <m/>
    <s v="AV 8 NRO 31 41,LA HERMITA"/>
    <s v="7.9327056"/>
    <s v="-72.5204843"/>
    <s v="NORTE DE SANTANDER"/>
    <s v="CÚCUTA"/>
    <s v="CÚCUTA"/>
    <n v="54001"/>
    <s v="2025-09-11"/>
    <n v="1"/>
    <s v="CUCUTA"/>
    <x v="4"/>
    <n v="49671.7"/>
    <n v="49671.7"/>
  </r>
  <r>
    <n v="78508"/>
    <s v="BARRIO MARROQUIN II CALI"/>
    <n v="29760689"/>
    <s v="3206760571"/>
    <s v="3206760571"/>
    <s v="3206760571"/>
    <s v="DG 26 I 73 - 03,MARROQUIN II"/>
    <s v="3.4293070"/>
    <s v="-76.4835533"/>
    <s v="VALLE DEL CAUCA"/>
    <s v="CALI"/>
    <s v="SANTIAGO DE CALI"/>
    <n v="76001"/>
    <s v="2025-09-11"/>
    <n v="1"/>
    <s v="CALI"/>
    <x v="3"/>
    <n v="37313"/>
    <n v="37313"/>
  </r>
  <r>
    <n v="78944"/>
    <s v="BARRIO CARRIZAL BARRANQUILLA 11"/>
    <n v="1120501480"/>
    <s v="3117028369"/>
    <s v="3117028369"/>
    <m/>
    <s v="CL 51 C 3 D - 02,CARRIZAL"/>
    <s v="10.9397334"/>
    <s v="-74.8094537"/>
    <s v="ATLÁNTICO"/>
    <s v="BARRANQUILLA"/>
    <s v="BARRANQUILLA"/>
    <n v="8001"/>
    <s v="2025-09-11"/>
    <n v="1"/>
    <s v="BARRANQUILLA"/>
    <x v="5"/>
    <n v="37313"/>
    <n v="37313"/>
  </r>
  <r>
    <n v="77330"/>
    <s v="BARRIO EL PINAR BELLO   2"/>
    <n v="32155400"/>
    <s v="3007702808"/>
    <s v="3007702808"/>
    <s v="3007702808"/>
    <s v="KM 7 ANTIGUA VIA GUARNE - BELLO,EL PINAR"/>
    <s v="6.3037120"/>
    <s v="-75.5359716"/>
    <s v="ANTIOQUIA"/>
    <s v="BELLO"/>
    <s v="BELLO"/>
    <n v="5088"/>
    <s v="2025-09-11"/>
    <n v="1"/>
    <s v="MEDELLIN"/>
    <x v="0"/>
    <n v="37313"/>
    <n v="37313"/>
  </r>
  <r>
    <n v="79351"/>
    <s v="BARRIO LAGOS SE SUBA BOGOTA"/>
    <n v="1126865419"/>
    <s v="3154820764"/>
    <s v="3154820764"/>
    <s v="3154820764"/>
    <s v="CL 130C 102A 05 ,LAGOS SE SUBA"/>
    <s v="4.7321014"/>
    <s v="-74.0989141"/>
    <s v="CUNDINAMARCA"/>
    <s v="BOGOTÁ"/>
    <s v="BOGOTÁ"/>
    <n v="11001"/>
    <s v="2025-09-11"/>
    <n v="1"/>
    <s v="BOGOTA"/>
    <x v="2"/>
    <n v="37313"/>
    <n v="37313"/>
  </r>
  <r>
    <n v="79038"/>
    <s v="BARRIO CARLOS MEISEL BARRANQUILLA"/>
    <n v="72234246"/>
    <s v="3008587524"/>
    <s v="3008587524"/>
    <m/>
    <s v="CR 23 B 73 - 49,CARLOS MEISEL"/>
    <s v="10.9722003"/>
    <s v="-74.8142620"/>
    <s v="ATLÁNTICO"/>
    <s v="BARRANQUILLA"/>
    <s v="BARRANQUILLA"/>
    <n v="8001"/>
    <s v="2025-09-11"/>
    <n v="1"/>
    <s v="BARRANQUILLA"/>
    <x v="5"/>
    <n v="37313"/>
    <n v="37313"/>
  </r>
  <r>
    <n v="74335"/>
    <s v="BARRIO PALMERA PARTE BAJA CUCUTA"/>
    <n v="1090502920"/>
    <s v="3102148823"/>
    <s v="3023745765"/>
    <s v="3102148823"/>
    <s v="MZ 47 LOTE 13,PALMERAS PARTE BAJA"/>
    <s v="7.9073222"/>
    <s v="-72.5346124"/>
    <s v="NORTE DE SANTANDER"/>
    <s v="CÚCUTA"/>
    <s v="CÚCUTA"/>
    <n v="54001"/>
    <s v="2025-09-11"/>
    <n v="1"/>
    <s v="CUCUTA"/>
    <x v="4"/>
    <n v="49671.7"/>
    <n v="49671.7"/>
  </r>
  <r>
    <n v="76714"/>
    <s v="BARRIO DECEPAZ CALI 3"/>
    <n v="1143940338"/>
    <s v="3017455233"/>
    <s v="3015456436"/>
    <s v="3017455233"/>
    <s v="CL 120 K 22 62,DECEPAZ"/>
    <s v="3.4265718"/>
    <s v="-76.4631934"/>
    <s v="VALLE DEL CAUCA"/>
    <s v="CALI"/>
    <s v="SANTIAGO DE CALI"/>
    <n v="76001"/>
    <s v="2025-09-11"/>
    <n v="1"/>
    <s v="CALI"/>
    <x v="3"/>
    <n v="37313"/>
    <n v="37313"/>
  </r>
  <r>
    <n v="76722"/>
    <s v="BARRIO PARQUE REAL CUCUTA"/>
    <n v="17654806"/>
    <s v="3143842881"/>
    <s v="3143842881"/>
    <s v="3143842881"/>
    <s v="CL 1 B NORTE NRO 16E-06,PARQUE REAL"/>
    <s v="7.926877"/>
    <s v="-72.498937"/>
    <s v="NORTE DE SANTANDER"/>
    <s v="CÚCUTA"/>
    <s v="CÚCUTA"/>
    <n v="54001"/>
    <s v="2025-09-11"/>
    <n v="1"/>
    <s v="CUCUTA"/>
    <x v="4"/>
    <n v="49671.7"/>
    <n v="49671.7"/>
  </r>
  <r>
    <n v="76868"/>
    <s v="BARRIO TRISTE MEDELLIN 7"/>
    <n v="71319014"/>
    <s v="3005525885"/>
    <s v="3005525885"/>
    <s v="3007651209"/>
    <s v="CR 60 44 32,TRISTE"/>
    <s v="6.2478328"/>
    <s v="-75.5783315"/>
    <s v="ANTIOQUIA"/>
    <s v="MEDELLÍN"/>
    <s v="MEDELLÍN"/>
    <n v="5001"/>
    <s v="2025-09-11"/>
    <n v="1"/>
    <s v="MEDELLIN"/>
    <x v="0"/>
    <n v="37313"/>
    <n v="37313"/>
  </r>
  <r>
    <n v="75434"/>
    <s v="BARRIO ITAGUI ITAGUI 26"/>
    <n v="15523245"/>
    <s v="0"/>
    <s v="3207378337"/>
    <s v="3207378337"/>
    <s v="CR 58 B CL 14 SUR 05,ITAGUI"/>
    <s v="6.1966428"/>
    <s v="-75.5979585"/>
    <s v="ANTIOQUIA"/>
    <s v="ITAGÜÍ"/>
    <s v="ITAGÜÍ"/>
    <n v="5360"/>
    <s v="2025-09-11"/>
    <n v="1"/>
    <s v="MEDELLIN"/>
    <x v="0"/>
    <n v="37313"/>
    <n v="37313"/>
  </r>
  <r>
    <n v="75485"/>
    <s v="BARRIO LOMAS BOGOTA 1"/>
    <n v="1098406005"/>
    <s v="0"/>
    <s v="3144166930"/>
    <s v="3144166930"/>
    <s v="DG 32 A BIS B SUR 12 D - 48,LOMAS"/>
    <s v="4.5701793"/>
    <s v="-74.1101668"/>
    <s v="CUNDINAMARCA"/>
    <s v="BOGOTÁ"/>
    <s v="BOGOTÁ"/>
    <n v="11001"/>
    <s v="2025-09-11"/>
    <n v="1"/>
    <s v="BOGOTA"/>
    <x v="2"/>
    <n v="37313"/>
    <n v="37313"/>
  </r>
  <r>
    <n v="75564"/>
    <s v="BARRIO SIMON BOLIVAR BARRANQUILLA 6"/>
    <n v="1234891353"/>
    <s v="3015785752"/>
    <s v="3015785752"/>
    <s v="3043746123"/>
    <s v="CL 17 E 07-06,SIMON BOLIVAR"/>
    <s v="10.94570"/>
    <s v="-74.77285"/>
    <s v="ATLÁNTICO"/>
    <s v="BARRANQUILLA"/>
    <s v="BARRANQUILLA"/>
    <n v="8001"/>
    <s v="2025-09-11"/>
    <n v="1"/>
    <s v="BARRANQUILLA"/>
    <x v="5"/>
    <n v="37313"/>
    <n v="37313"/>
  </r>
  <r>
    <n v="75837"/>
    <s v="BARRIO URB PRADOS DEL ESTE CUCUTA 7"/>
    <n v="79420103"/>
    <s v="3165373099"/>
    <s v="3165377780"/>
    <s v="3165373099"/>
    <s v="CL 6 NRO 8-60 LC 3,URB PRADOS DEL ESTE"/>
    <s v="7.913066"/>
    <s v="-72.476273"/>
    <s v="NORTE DE SANTANDER"/>
    <s v="CÚCUTA"/>
    <s v="CÚCUTA"/>
    <n v="54001"/>
    <s v="2025-09-11"/>
    <n v="1"/>
    <s v="CUCUTA"/>
    <x v="4"/>
    <n v="49671.7"/>
    <n v="49671.7"/>
  </r>
  <r>
    <n v="77304"/>
    <s v="BARRIO _x0009_CONJUNTO CERRADO MADEIRA  CUCUTA"/>
    <n v="88272915"/>
    <s v="3219970861"/>
    <s v="3219970861"/>
    <m/>
    <s v="MZ E CASA 12,CONJUNTO CERRADO MADEIRA"/>
    <s v="7.8845641"/>
    <s v="-72.4609168"/>
    <s v="NORTE DE SANTANDER"/>
    <s v="CÚCUTA"/>
    <s v="CÚCUTA"/>
    <n v="54001"/>
    <s v="2025-09-11"/>
    <n v="1"/>
    <s v="CUCUTA"/>
    <x v="4"/>
    <n v="49671.7"/>
    <n v="49671.7"/>
  </r>
  <r>
    <n v="77649"/>
    <s v="BARRIO _x0009_LA CAROLINA CONJUNTO JARDÍN CAMELIA TORRE 1 AP 10 CARTAGENA DE INDIAS"/>
    <n v="45463761"/>
    <s v="3177191656"/>
    <s v="3217258136"/>
    <s v="3165620647"/>
    <s v="DG 38A# 83 B 511,LA CAROLINA CONJUNTO JARDÍN CAMELIA TORRE 1 AP 102"/>
    <s v="10.3966408"/>
    <s v="-75.4549874"/>
    <s v="BOLÍVAR"/>
    <s v="CARTAGENA DE INDIAS"/>
    <s v="CARTAGENA DE INDIAS"/>
    <n v="13001"/>
    <s v="2025-09-11"/>
    <n v="1"/>
    <s v="CARTAGENA"/>
    <x v="5"/>
    <n v="49671.7"/>
    <n v="49671.7"/>
  </r>
  <r>
    <n v="77894"/>
    <s v="BARRIO ZONA INDUSTRIAL CUCUTA"/>
    <n v="1090988028"/>
    <s v="3118112962"/>
    <s v="3118112962"/>
    <s v="3118112962"/>
    <s v="AV 7 NRO 9N-63 TO 3 APTO 111 TORRES DEL BOSQUE,ZONA INDUSTRIAL"/>
    <s v="7.911850"/>
    <s v="-72.503027"/>
    <s v="NORTE DE SANTANDER"/>
    <s v="CÚCUTA"/>
    <s v="CÚCUTA"/>
    <n v="54001"/>
    <s v="2025-09-11"/>
    <n v="1"/>
    <s v="CUCUTA"/>
    <x v="4"/>
    <n v="49671.7"/>
    <n v="49671.7"/>
  </r>
  <r>
    <n v="79766"/>
    <s v="BARRIO GUAIMARAL CUCUTA  13"/>
    <n v="13481098"/>
    <s v="3502011970"/>
    <s v="3502011970"/>
    <m/>
    <s v="CL 9 N NRO 9E-13 ,GUAIMARAL"/>
    <s v="7.9082980"/>
    <s v="-72.4941313"/>
    <s v="NORTE DE SANTANDER"/>
    <s v="CÚCUTA"/>
    <s v="CÚCUTA"/>
    <n v="54001"/>
    <s v="2025-09-11"/>
    <n v="1"/>
    <s v="CUCUTA"/>
    <x v="4"/>
    <n v="49671.7"/>
    <n v="49671.7"/>
  </r>
  <r>
    <n v="77661"/>
    <s v="BARRIO LOS OLIVOS CUCUTA  2"/>
    <n v="1093777665"/>
    <s v="3106657831"/>
    <s v="3106657831"/>
    <m/>
    <s v="AV 47 NRO 7A -02,LOS OLIVOS"/>
    <s v="7.9034844"/>
    <s v="-72.5404984"/>
    <s v="NORTE DE SANTANDER"/>
    <s v="CÚCUTA"/>
    <s v="CÚCUTA"/>
    <n v="54001"/>
    <s v="2025-09-11"/>
    <n v="1"/>
    <s v="CUCUTA"/>
    <x v="4"/>
    <n v="49671.7"/>
    <n v="49671.7"/>
  </r>
  <r>
    <n v="77654"/>
    <s v="BARRIO LOZERIA CALDAS"/>
    <n v="43841066"/>
    <s v="3146865176"/>
    <s v="3146865176"/>
    <s v="3146865176"/>
    <s v="CR 54 128 B SUR 22,LOZERIA"/>
    <s v="6.0920982"/>
    <s v="-75.6392872"/>
    <s v="ANTIOQUIA"/>
    <s v="CALDAS"/>
    <s v="CALDAS"/>
    <n v="5129"/>
    <s v="2025-09-11"/>
    <n v="1"/>
    <s v="MEDELLIN"/>
    <x v="0"/>
    <n v="37313"/>
    <n v="37313"/>
  </r>
  <r>
    <n v="79840"/>
    <s v="BARRIO CIUDADELA 20 DE JULIO BARRANQUILLA  11"/>
    <n v="32882217"/>
    <s v="3104308753"/>
    <s v="3104308753"/>
    <m/>
    <s v="CR 8 SUR 46 D - 10,CIUDADELA 20 DE JULIO"/>
    <s v="10.9275492"/>
    <s v="-74.8039160"/>
    <s v="ATLÁNTICO"/>
    <s v="BARRANQUILLA"/>
    <s v="BARRANQUILLA"/>
    <n v="8001"/>
    <s v="2025-09-11"/>
    <n v="1"/>
    <s v="BARRANQUILLA"/>
    <x v="5"/>
    <n v="37313"/>
    <n v="37313"/>
  </r>
  <r>
    <n v="77897"/>
    <s v="BARRIO _x0009_CIUDADELA SIMÓN BOLÍVAR LL ETAPA IBAGUE"/>
    <n v="40761246"/>
    <s v="3212780035"/>
    <s v="3053234871"/>
    <s v="3212780035"/>
    <s v="MZ 33 CA 10,CIUDADELA SIMÓN BOLÍVAR LL ETAPA"/>
    <s v="4.435391"/>
    <s v="-75.174683"/>
    <s v="TOLIMA"/>
    <s v="IBAGUÉ"/>
    <s v="IBAGUÉ"/>
    <n v="73001"/>
    <s v="2025-09-11"/>
    <n v="1"/>
    <s v="IBAGUE"/>
    <x v="1"/>
    <n v="49671.7"/>
    <n v="49671.7"/>
  </r>
  <r>
    <n v="25469"/>
    <s v="BARRIO LOS PINOS PASTO"/>
    <n v="36759392"/>
    <s v="7210669"/>
    <s v="3117095060"/>
    <s v="3117095060"/>
    <s v=" CL 22 1 30 LC 2B"/>
    <s v="1.2065254"/>
    <s v="-77.2634520"/>
    <s v="NARIÑO"/>
    <s v="PASTO"/>
    <s v="SAN JUAN DE PASTO"/>
    <n v="52001"/>
    <s v="2025-09-12"/>
    <n v="1"/>
    <s v="PASTO"/>
    <x v="3"/>
    <n v="49671.7"/>
    <n v="49671.7"/>
  </r>
  <r>
    <n v="31115"/>
    <s v="BARRIO SUBA BILBAO"/>
    <n v="1019023397"/>
    <s v="7967945"/>
    <s v="3212305840"/>
    <s v="3212305840"/>
    <s v=" CR 141 A BIS  143 B 57"/>
    <s v="4.7519834"/>
    <s v="-74.1134147"/>
    <s v="CUNDINAMARCA"/>
    <s v="BOGOTÁ"/>
    <s v="BOGOTÁ"/>
    <n v="11001"/>
    <s v="2025-09-12"/>
    <n v="2"/>
    <s v="BOGOTA"/>
    <x v="2"/>
    <n v="37313"/>
    <n v="74626"/>
  </r>
  <r>
    <n v="19647"/>
    <s v="BARRIO ANDALUCIA LA FRANCIA MEDELLIN"/>
    <n v="13497435"/>
    <s v="2369269"/>
    <s v="3116307505"/>
    <s v="3116307505"/>
    <s v=" CR 49 B 106 58"/>
    <s v="6.297391"/>
    <s v="-75.55460"/>
    <s v="ANTIOQUIA"/>
    <s v="MEDELLÍN"/>
    <s v="MEDELLÍN"/>
    <n v="5001"/>
    <s v="2025-09-12"/>
    <n v="1"/>
    <s v="MEDELLIN"/>
    <x v="0"/>
    <n v="37313"/>
    <n v="37313"/>
  </r>
  <r>
    <n v="25655"/>
    <s v="BARRIO SAN JORGE - BOGOTÁ"/>
    <n v="79292015"/>
    <s v="7144454"/>
    <s v="3106662297"/>
    <s v="3106662297"/>
    <s v=" CL 45 A SUR 16 J 70"/>
    <s v="4.5719685"/>
    <s v="-74.1235154"/>
    <s v="CUNDINAMARCA"/>
    <s v="BOGOTÁ"/>
    <s v="BOGOTÁ"/>
    <n v="11001"/>
    <s v="2025-09-12"/>
    <n v="1"/>
    <s v="BOGOTA"/>
    <x v="2"/>
    <n v="37313"/>
    <n v="37313"/>
  </r>
  <r>
    <n v="32265"/>
    <s v="BARRIO VENECIA III PASTO"/>
    <n v="59820836"/>
    <s v="7501394"/>
    <s v="3185955950"/>
    <s v="3185955950"/>
    <s v=" CR 8 17 26  VENECIA"/>
    <s v="1.2002218"/>
    <s v="-77.2703837"/>
    <s v="NARIÑO"/>
    <s v="PASTO"/>
    <s v="SAN JUAN DE PASTO"/>
    <n v="52001"/>
    <s v="2025-09-12"/>
    <n v="1"/>
    <s v="PASTO"/>
    <x v="3"/>
    <n v="49671.7"/>
    <n v="49671.7"/>
  </r>
  <r>
    <n v="13841"/>
    <s v="BARRIO CALIXTO II NEIVA"/>
    <n v="7706814"/>
    <s v="8744463"/>
    <s v="3158886666"/>
    <s v="3158886666"/>
    <s v=" CL 6B  18-04"/>
    <s v="2.9297013"/>
    <s v="-75.2770415"/>
    <s v="HUILA"/>
    <s v="NEIVA"/>
    <s v="NEIVA"/>
    <n v="41001"/>
    <s v="2025-09-12"/>
    <n v="2"/>
    <s v="NEIVA"/>
    <x v="1"/>
    <n v="49671.7"/>
    <n v="99343.4"/>
  </r>
  <r>
    <n v="18218"/>
    <s v="BARRIO CIUDADELA DE LAS AMERICAS IBAGUE"/>
    <n v="28722249"/>
    <s v="2697704"/>
    <s v="3118737360"/>
    <s v="3118737360"/>
    <s v=" CS 20 SM 5 MZ 4 CIUDADELA LAS AMERICAS"/>
    <s v="4.4090129"/>
    <s v="-75.1444077"/>
    <s v="TOLIMA"/>
    <s v="IBAGUÉ"/>
    <s v="IBAGUÉ"/>
    <n v="73001"/>
    <s v="2025-09-12"/>
    <n v="1"/>
    <s v="IBAGUE"/>
    <x v="1"/>
    <n v="49671.7"/>
    <n v="49671.7"/>
  </r>
  <r>
    <n v="12370"/>
    <s v="BARRIO CRISTO REY II - CALDAS"/>
    <n v="900430096"/>
    <s v="2785538"/>
    <s v="3107401086"/>
    <s v="3107401086"/>
    <s v=" CR 50  134A SUR-23 CRISTO REY CALDAS"/>
    <s v="6.08736849"/>
    <s v="-75.6358941"/>
    <s v="ANTIOQUIA"/>
    <s v="CALDAS"/>
    <s v="CALDAS"/>
    <n v="5129"/>
    <s v="2025-09-12"/>
    <n v="1"/>
    <s v="MEDELLIN"/>
    <x v="0"/>
    <n v="37313"/>
    <n v="37313"/>
  </r>
  <r>
    <n v="18622"/>
    <s v="BARRIO ANDALUCIA LA FRANCIA III MEDELLIN"/>
    <n v="8355925"/>
    <s v="2588704"/>
    <s v="3226644644"/>
    <s v="3226644644"/>
    <s v=" CL 107 48 A 42 ANDALUCIA LA FRANCIA"/>
    <s v="6.2970313"/>
    <s v="-75.5529291"/>
    <s v="ANTIOQUIA"/>
    <s v="MEDELLÍN"/>
    <s v="MEDELLÍN"/>
    <n v="5001"/>
    <s v="2025-09-12"/>
    <n v="1"/>
    <s v="MEDELLIN"/>
    <x v="0"/>
    <n v="37313"/>
    <n v="37313"/>
  </r>
  <r>
    <n v="22725"/>
    <s v="BARRIO CIUDADELA CONFENALCO - IBAGUÉ"/>
    <n v="37327126"/>
    <s v="2666574"/>
    <s v="3003672214"/>
    <s v="3003672214"/>
    <s v=" MZ 23 CS 40"/>
    <s v="4.406623"/>
    <s v="-75.155200"/>
    <s v="TOLIMA"/>
    <s v="IBAGUÉ"/>
    <s v="IBAGUÉ"/>
    <n v="73001"/>
    <s v="2025-09-12"/>
    <n v="1"/>
    <s v="IBAGUE"/>
    <x v="1"/>
    <n v="49671.7"/>
    <n v="49671.7"/>
  </r>
  <r>
    <n v="10545"/>
    <s v="BARRIO IPANEMA"/>
    <n v="55190797"/>
    <s v="8705138"/>
    <s v="3208533847"/>
    <s v="3208533847"/>
    <s v=" CL 8  32-60 LC-102 PRADO ALTO"/>
    <s v="2.9284143"/>
    <s v="-75.2660672"/>
    <s v="HUILA"/>
    <s v="NEIVA"/>
    <s v="NEIVA"/>
    <n v="41001"/>
    <s v="2025-09-12"/>
    <n v="3"/>
    <s v="NEIVA"/>
    <x v="1"/>
    <n v="49671.7"/>
    <n v="149015.09999999998"/>
  </r>
  <r>
    <n v="31786"/>
    <s v="BARRIO LAS GAVIOTAS CARTAGENA DE INDIAS"/>
    <n v="50917619"/>
    <s v="3104492"/>
    <s v="3015230052"/>
    <s v="3012393463"/>
    <s v=" DG 30 E 65 6 P1 LC 3"/>
    <s v="10.3983616666"/>
    <s v="-75.492363"/>
    <s v="BOLÍVAR"/>
    <s v="CARTAGENA DE INDIAS"/>
    <s v="CARTAGENA DE INDIAS"/>
    <n v="13001"/>
    <s v="2025-09-12"/>
    <n v="1"/>
    <s v="CARTAGENA"/>
    <x v="5"/>
    <n v="49671.7"/>
    <n v="49671.7"/>
  </r>
  <r>
    <n v="12300"/>
    <s v="BARRIO SANTA MARIA V - ITAGUI"/>
    <n v="43534887"/>
    <s v="2775667"/>
    <s v="3178793840"/>
    <s v="3178793840"/>
    <s v="CRA 52D 77 12"/>
    <s v="6.1880980"/>
    <s v="-75.5967396"/>
    <s v="ANTIOQUIA"/>
    <s v="ITAGÜÍ"/>
    <s v="ITAGÜÍ"/>
    <n v="5360"/>
    <s v="2025-09-12"/>
    <n v="3"/>
    <s v="MEDELLIN"/>
    <x v="0"/>
    <n v="37313"/>
    <n v="111939"/>
  </r>
  <r>
    <n v="33405"/>
    <s v="BARRIO LLANADITAS MEDELLIN"/>
    <n v="43532737"/>
    <s v="2912526"/>
    <s v="3242099526"/>
    <s v="3242099526"/>
    <s v="CL 57 F 22 C 06 IN 301"/>
    <s v="6.2509800"/>
    <s v="-75.5450317"/>
    <s v="ANTIOQUIA"/>
    <s v="MEDELLÍN"/>
    <s v="MEDELLÍN"/>
    <n v="5001"/>
    <s v="2025-09-12"/>
    <n v="1"/>
    <s v="MEDELLIN"/>
    <x v="0"/>
    <n v="37313"/>
    <n v="37313"/>
  </r>
  <r>
    <n v="30667"/>
    <s v="BARRIO ROSAL DEL NORTE CUCUTA"/>
    <n v="88207150"/>
    <s v="5870704"/>
    <s v="3222839761"/>
    <s v="3222839761"/>
    <s v=" AV 11 CL 4B 186 33"/>
    <s v="7.9151503"/>
    <s v="-72.5117317"/>
    <s v="NORTE DE SANTANDER"/>
    <s v="CÚCUTA"/>
    <s v="CÚCUTA"/>
    <n v="54001"/>
    <s v="2025-09-12"/>
    <n v="1"/>
    <s v="CUCUTA"/>
    <x v="4"/>
    <n v="49671.7"/>
    <n v="49671.7"/>
  </r>
  <r>
    <n v="31787"/>
    <s v="BARRIO COMUNEROS POPAYAN "/>
    <n v="1061702722"/>
    <s v="3104492"/>
    <s v="3233205901"/>
    <s v="3116087727"/>
    <s v=" CR 6 21 20"/>
    <s v="2.4303427"/>
    <s v="-76.6099045"/>
    <s v="CAUCA"/>
    <s v="POPAYÁN"/>
    <s v="POPAYÁN"/>
    <n v="19001"/>
    <s v="2025-09-12"/>
    <n v="1"/>
    <s v="CALI"/>
    <x v="3"/>
    <n v="37313"/>
    <n v="37313"/>
  </r>
  <r>
    <n v="18547"/>
    <s v="BARRIO ACEVEDO III MEDELLÍN"/>
    <n v="3836352"/>
    <s v="5222744"/>
    <s v="3128845200"/>
    <s v="3128845200"/>
    <s v=" CR 52 108 34 ACEVEDO"/>
    <s v="6.3005797"/>
    <s v="-75.5568026"/>
    <s v="ANTIOQUIA"/>
    <s v="MEDELLÍN"/>
    <s v="MEDELLÍN"/>
    <n v="5001"/>
    <s v="2025-09-12"/>
    <n v="1"/>
    <s v="MEDELLIN"/>
    <x v="0"/>
    <n v="37313"/>
    <n v="37313"/>
  </r>
  <r>
    <n v="23123"/>
    <s v="BARRIO MARIANO RAMOS - CALI"/>
    <n v="70810325"/>
    <s v="3384889"/>
    <s v="3168757073"/>
    <s v="3168757073"/>
    <s v=" CR 46 41 A 42"/>
    <s v="3.406148"/>
    <s v="-76.515010"/>
    <s v="VALLE DEL CAUCA"/>
    <s v="CALI"/>
    <s v="SANTIAGO DE CALI"/>
    <n v="76001"/>
    <s v="2025-09-12"/>
    <n v="2"/>
    <s v="CALI"/>
    <x v="3"/>
    <n v="37313"/>
    <n v="74626"/>
  </r>
  <r>
    <n v="29383"/>
    <s v="BARRIO MIRADOR 2 BELLO"/>
    <n v="15457949"/>
    <s v="4511970"/>
    <s v="3113369761 "/>
    <s v="3113369761"/>
    <s v=" CL 70 49 A 08"/>
    <s v="6.3486699"/>
    <s v="-75.5581474"/>
    <s v="ANTIOQUIA"/>
    <s v="BELLO"/>
    <s v="BELLO"/>
    <n v="5088"/>
    <s v="2025-09-12"/>
    <n v="1"/>
    <s v="MEDELLIN"/>
    <x v="0"/>
    <n v="37313"/>
    <n v="37313"/>
  </r>
  <r>
    <n v="36668"/>
    <s v="BARRIO EL DEAN BAJO POPAYAN"/>
    <n v="10546030"/>
    <s v="8207183"/>
    <s v="3127651882"/>
    <s v="3127651882"/>
    <s v=" CL 22 9 24 EL DEAN BAJO"/>
    <s v="2.4310452"/>
    <s v="-76.6130149"/>
    <s v="CAUCA"/>
    <s v="POPAYÁN"/>
    <s v="POPAYÁN"/>
    <n v="19001"/>
    <s v="2025-09-12"/>
    <n v="1"/>
    <s v="CALI"/>
    <x v="3"/>
    <n v="37313"/>
    <n v="37313"/>
  </r>
  <r>
    <n v="36211"/>
    <s v="BARRIO PLAYON MEDELLIN 1"/>
    <n v="27879098"/>
    <s v="4623114"/>
    <s v="3127466739"/>
    <s v="3127466739"/>
    <s v="CR 51 E 124 - 4"/>
    <s v="6.3074208"/>
    <s v="-75.5552512"/>
    <s v="ANTIOQUIA"/>
    <s v="MEDELLÍN"/>
    <s v="MEDELLÍN"/>
    <n v="5001"/>
    <s v="2025-09-12"/>
    <n v="1"/>
    <s v="MEDELLIN"/>
    <x v="0"/>
    <n v="37313"/>
    <n v="37313"/>
  </r>
  <r>
    <n v="38523"/>
    <s v="BARRIO SUBA BILBAO BOGOTA 2"/>
    <n v="830020406"/>
    <s v="5367402"/>
    <s v="3133962716"/>
    <s v="3133962716"/>
    <s v=" CR 141 A BIS A 143 B 11  SUBA BILBAO"/>
    <s v="4.7514900"/>
    <s v="-74.11363"/>
    <s v="CUNDINAMARCA"/>
    <s v="BOGOTÁ"/>
    <s v="BOGOTÁ"/>
    <n v="11001"/>
    <s v="2025-09-12"/>
    <n v="1"/>
    <s v="BOGOTA"/>
    <x v="2"/>
    <n v="37313"/>
    <n v="37313"/>
  </r>
  <r>
    <n v="37780"/>
    <s v="BARRIO PALACE MEDELLIN"/>
    <n v="900453792"/>
    <s v="3200100"/>
    <s v="3158372703"/>
    <s v="3183937244"/>
    <s v=" CR 50 40 50 PALACE"/>
    <s v="6.2411041"/>
    <s v="-75.5711040"/>
    <s v="ANTIOQUIA"/>
    <s v="MEDELLÍN"/>
    <s v="MEDELLÍN"/>
    <n v="5001"/>
    <s v="2025-09-12"/>
    <n v="1"/>
    <s v="MEDELLIN"/>
    <x v="0"/>
    <n v="37313"/>
    <n v="37313"/>
  </r>
  <r>
    <n v="39217"/>
    <s v="BARRIO SANTA MARIA ITAGUI 2"/>
    <n v="1037638982"/>
    <m/>
    <s v="3128265280"/>
    <s v="3128265280"/>
    <s v=" CL 79 52 A 19  SANTA MARIA"/>
    <s v="6.189637"/>
    <s v="-75.594073"/>
    <s v="ANTIOQUIA"/>
    <s v="ITAGÜÍ"/>
    <s v="ITAGÜÍ"/>
    <n v="5360"/>
    <s v="2025-09-12"/>
    <n v="1"/>
    <s v="MEDELLIN"/>
    <x v="0"/>
    <n v="37313"/>
    <n v="37313"/>
  </r>
  <r>
    <n v="41684"/>
    <s v="BARRIO CENTRO PASTO 13"/>
    <n v="12751506"/>
    <s v="3177265163"/>
    <s v="3177265163"/>
    <s v="3145878979"/>
    <s v="CL 3 2 86 CGT DE CATAMBUCO,CENTRO"/>
    <s v="1.1649872"/>
    <s v="-77.2993019"/>
    <s v="NARIÑO"/>
    <s v="PASTO"/>
    <s v="SAN JUAN DE PASTO"/>
    <n v="52001"/>
    <s v="2025-09-12"/>
    <n v="1"/>
    <s v="PASTO"/>
    <x v="3"/>
    <n v="49671.7"/>
    <n v="49671.7"/>
  </r>
  <r>
    <n v="41847"/>
    <s v="BARRIO ENCENILLO NEIVA"/>
    <n v="1079410814"/>
    <s v="8635083"/>
    <s v="3143264115"/>
    <s v="3143264115"/>
    <s v="CR 32 E 22A 55 SUR,ENCENILLO"/>
    <s v="2.904457"/>
    <s v="-75.267745"/>
    <s v="HUILA"/>
    <s v="NEIVA"/>
    <s v="NEIVA"/>
    <n v="41001"/>
    <s v="2025-09-12"/>
    <n v="2"/>
    <s v="NEIVA"/>
    <x v="1"/>
    <n v="49671.7"/>
    <n v="99343.4"/>
  </r>
  <r>
    <n v="43185"/>
    <s v="BARRIO HACARITAMA VILLAVICENCIO 1"/>
    <n v="86080186"/>
    <s v="3103999757"/>
    <s v="3148076365"/>
    <s v="3103999757"/>
    <s v="CL 3 18 37,HACARITAMA"/>
    <s v="4.1024117"/>
    <s v="-73.6221687"/>
    <s v="META"/>
    <s v="VILLAVICENCIO"/>
    <s v="VILLAVICENCIO"/>
    <n v="50001"/>
    <s v="2025-09-12"/>
    <n v="1"/>
    <s v="VILLAVICENCIO"/>
    <x v="1"/>
    <n v="49671.7"/>
    <n v="49671.7"/>
  </r>
  <r>
    <n v="39213"/>
    <s v="BARRIO COLON MEDELLIN 2"/>
    <n v="1036633416"/>
    <s v="4172621"/>
    <s v="3106788451"/>
    <s v="3104205999"/>
    <s v=" CR 46 40 25 COLON"/>
    <s v="6.2402929"/>
    <s v="-75.5698272"/>
    <s v="ANTIOQUIA"/>
    <s v="MEDELLÍN"/>
    <s v="MEDELLÍN"/>
    <n v="5001"/>
    <s v="2025-09-12"/>
    <n v="1"/>
    <s v="MEDELLIN"/>
    <x v="0"/>
    <n v="37313"/>
    <n v="37313"/>
  </r>
  <r>
    <n v="51235"/>
    <s v="BARRIO CANAPOTE CARTAGENA DE INDIAS 2"/>
    <n v="1047371339"/>
    <s v="0"/>
    <s v="3046365477"/>
    <s v="3046365477"/>
    <s v="Canapote CL 63  15-05"/>
    <s v="10.4399110"/>
    <s v="-75.5241098"/>
    <s v="BOLÍVAR"/>
    <s v="CARTAGENA DE INDIAS"/>
    <s v="CARTAGENA DE INDIAS"/>
    <n v="13001"/>
    <s v="2025-09-12"/>
    <n v="1"/>
    <s v="CARTAGENA"/>
    <x v="5"/>
    <n v="49671.7"/>
    <n v="49671.7"/>
  </r>
  <r>
    <n v="51335"/>
    <s v="BARRIO COUNTRY SUR BOGOTA 1"/>
    <n v="1010227110"/>
    <s v="0"/>
    <s v="3132047450"/>
    <s v="3202831681"/>
    <s v="CL 31 SUR 10 D- 16"/>
    <s v="4.5700002"/>
    <s v="-74.102584"/>
    <s v="CUNDINAMARCA"/>
    <s v="BOGOTÁ"/>
    <s v="BOGOTÁ"/>
    <n v="11001"/>
    <s v="2025-09-12"/>
    <n v="1"/>
    <s v="BOGOTA"/>
    <x v="2"/>
    <n v="37313"/>
    <n v="37313"/>
  </r>
  <r>
    <n v="38077"/>
    <s v="BARRIO MARROQUIN 1 CALI"/>
    <n v="6100319"/>
    <s v="4007717"/>
    <s v="3117233631"/>
    <s v="3117233631"/>
    <s v=" TV 103 26 P 9 09 MAEROQUÍN1"/>
    <s v="3.4225809"/>
    <s v="-76.4777663"/>
    <s v="VALLE DEL CAUCA"/>
    <s v="CALI"/>
    <s v="SANTIAGO DE CALI"/>
    <n v="76001"/>
    <s v="2025-09-12"/>
    <n v="1"/>
    <s v="CALI"/>
    <x v="3"/>
    <n v="37313"/>
    <n v="37313"/>
  </r>
  <r>
    <n v="50030"/>
    <s v="BARRIO ALAMOS NORTE NEIVA "/>
    <n v="88141639"/>
    <s v="0"/>
    <s v="3143591302"/>
    <s v="3138807605"/>
    <s v="CL 46 16 224 LOCAL 1,ALAMOS NORTE"/>
    <s v="2.9560072"/>
    <s v="-75.2854563"/>
    <s v="HUILA"/>
    <s v="NEIVA"/>
    <s v="NEIVA"/>
    <n v="41001"/>
    <s v="2025-09-12"/>
    <n v="1"/>
    <s v="NEIVA"/>
    <x v="1"/>
    <n v="49671.7"/>
    <n v="49671.7"/>
  </r>
  <r>
    <n v="42235"/>
    <s v="BARRIO EMPORIO VILLAVICENCIO"/>
    <n v="40421434"/>
    <s v="3124812921"/>
    <s v="3124812921"/>
    <s v="3124812921"/>
    <s v="CL 39 C 27 A 11,EMPORIO"/>
    <s v="4.154934"/>
    <s v="-73.6338089"/>
    <s v="META"/>
    <s v="VILLAVICENCIO"/>
    <s v="VILLAVICENCIO"/>
    <n v="50001"/>
    <s v="2025-09-12"/>
    <n v="1"/>
    <s v="VILLAVICENCIO"/>
    <x v="1"/>
    <n v="49671.7"/>
    <n v="49671.7"/>
  </r>
  <r>
    <n v="43165"/>
    <s v="BARRIO SANTA INES POPAYAN 3"/>
    <n v="1061773990"/>
    <s v="8350822"/>
    <s v="3168534411"/>
    <s v="3113197491"/>
    <s v="CL 7 1 A 48,SANTA INES"/>
    <s v="2.4385082"/>
    <s v="-76.6030151"/>
    <s v="CAUCA"/>
    <s v="POPAYÁN"/>
    <s v="POPAYÁN"/>
    <n v="19001"/>
    <s v="2025-09-12"/>
    <n v="1"/>
    <s v="CALI"/>
    <x v="3"/>
    <n v="37313"/>
    <n v="37313"/>
  </r>
  <r>
    <n v="47171"/>
    <s v="BARRIO SUBA BILBAO BOGOTA 3"/>
    <n v="1111338247"/>
    <s v="3217708404"/>
    <s v="3217708404"/>
    <s v="3014041554"/>
    <s v="DG 150 141 A 81 ET 4 BL A 3 INT 14"/>
    <s v="4.7584512"/>
    <s v="-74.1132894"/>
    <s v="CUNDINAMARCA"/>
    <s v="BOGOTÁ"/>
    <s v="BOGOTÁ"/>
    <n v="11001"/>
    <s v="2025-09-12"/>
    <n v="1"/>
    <s v="BOGOTA"/>
    <x v="2"/>
    <n v="37313"/>
    <n v="37313"/>
  </r>
  <r>
    <n v="48252"/>
    <s v="BARRIO UNIDOS CALDAS"/>
    <n v="1026144991"/>
    <s v="3117814436"/>
    <s v="3004878496"/>
    <s v="3117814436"/>
    <s v="CL 138 B SUR 48 23"/>
    <s v="6.0844943"/>
    <s v="-75.6342482"/>
    <s v="ANTIOQUIA"/>
    <s v="CALDAS"/>
    <s v="CALDAS"/>
    <n v="5129"/>
    <s v="2025-09-12"/>
    <n v="1"/>
    <s v="MEDELLIN"/>
    <x v="0"/>
    <n v="37313"/>
    <n v="37313"/>
  </r>
  <r>
    <n v="54082"/>
    <s v="BARRIO VILLA JOMABER CALDAS"/>
    <n v="1026138713"/>
    <s v="2987161"/>
    <s v="3058334453"/>
    <s v="3058334453"/>
    <s v="CL 132 SUR 49 33"/>
    <s v="6.0897695"/>
    <s v="-75.6354989"/>
    <s v="ANTIOQUIA"/>
    <s v="CALDAS"/>
    <s v="CALDAS"/>
    <n v="5129"/>
    <s v="2025-09-12"/>
    <n v="1"/>
    <s v="MEDELLIN"/>
    <x v="0"/>
    <n v="37313"/>
    <n v="37313"/>
  </r>
  <r>
    <n v="51400"/>
    <s v="BARRIO CENTRO VILLAVICENCIO 11"/>
    <n v="1121873140"/>
    <s v="3202790187"/>
    <s v="3202790187"/>
    <s v="3208626379"/>
    <s v="CL 37 30 53,CENTRO"/>
    <s v="4.151038888"/>
    <s v="-73.6360797"/>
    <s v="META"/>
    <s v="VILLAVICENCIO"/>
    <s v="VILLAVICENCIO"/>
    <n v="50001"/>
    <s v="2025-09-12"/>
    <n v="1"/>
    <s v="VILLAVICENCIO"/>
    <x v="1"/>
    <n v="49671.7"/>
    <n v="49671.7"/>
  </r>
  <r>
    <n v="58407"/>
    <s v="BARRIO ESTERO VILLAVICENCIO 6"/>
    <n v="40403009"/>
    <s v="3112247648"/>
    <s v="3112247648"/>
    <s v="3112247648"/>
    <s v="CR 12 N 12- 03 ESTERO"/>
    <s v="4.133198"/>
    <s v="-73.613101"/>
    <s v="META"/>
    <s v="VILLAVICENCIO"/>
    <s v="VILLAVICENCIO"/>
    <n v="50001"/>
    <s v="2025-09-12"/>
    <n v="1"/>
    <s v="VILLAVICENCIO"/>
    <x v="1"/>
    <n v="49671.7"/>
    <n v="49671.7"/>
  </r>
  <r>
    <n v="57737"/>
    <s v="BARRIO KENNEDY CENTRAL BOGOTA 6"/>
    <n v="1030543687"/>
    <s v="0"/>
    <s v="3187739655"/>
    <s v="3187739655"/>
    <s v="TV 73 A BIS B 35 D 16 SUR"/>
    <s v="4.61919797"/>
    <s v="-74.14628500"/>
    <s v="CUNDINAMARCA"/>
    <s v="BOGOTÁ"/>
    <s v="BOGOTÁ"/>
    <n v="11001"/>
    <s v="2025-09-12"/>
    <n v="1"/>
    <s v="BOGOTA"/>
    <x v="2"/>
    <n v="37313"/>
    <n v="37313"/>
  </r>
  <r>
    <n v="65493"/>
    <s v="BARRIO SAN RAFAEL CUCUTA 4"/>
    <n v="1092342092"/>
    <s v="0"/>
    <s v="3138417530"/>
    <s v="3138417530"/>
    <s v="Av 1a 31-04 Brr San Rafael"/>
    <s v="7.8680282"/>
    <s v="-72.5024461"/>
    <s v="NORTE DE SANTANDER"/>
    <s v="CÚCUTA"/>
    <s v="CÚCUTA"/>
    <n v="54001"/>
    <s v="2025-09-12"/>
    <n v="1"/>
    <s v="CUCUTA"/>
    <x v="4"/>
    <n v="49671.7"/>
    <n v="49671.7"/>
  </r>
  <r>
    <n v="62460"/>
    <s v="BARRIO SAN LUIS GONZAGA IBAGUE"/>
    <n v="52952894"/>
    <s v="0"/>
    <s v="3115195481"/>
    <s v="3115195481"/>
    <s v="MZ A CASA 3A ESQUINA URBANIZACIÓN SAN LUIS GONZAGA"/>
    <s v="4.4492161"/>
    <s v="-75.1639737"/>
    <s v="TOLIMA"/>
    <s v="IBAGUÉ"/>
    <s v="IBAGUÉ"/>
    <n v="73001"/>
    <s v="2025-09-12"/>
    <n v="1"/>
    <s v="IBAGUE"/>
    <x v="1"/>
    <n v="49671.7"/>
    <n v="49671.7"/>
  </r>
  <r>
    <n v="48749"/>
    <s v="BARRIO VILLAS DEL SOL NIQUIA BELLO"/>
    <n v="1017241877"/>
    <s v="3216481594"/>
    <s v="3216481594"/>
    <s v="3216481594"/>
    <s v="CL 71 63 A 05,VILLAS DEL SOL NIQUIA"/>
    <s v="6.3503101"/>
    <s v="-75.5665198"/>
    <s v="ANTIOQUIA"/>
    <s v="BELLO"/>
    <s v="BELLO"/>
    <n v="5088"/>
    <s v="2025-09-12"/>
    <n v="1"/>
    <s v="MEDELLIN"/>
    <x v="0"/>
    <n v="37313"/>
    <n v="37313"/>
  </r>
  <r>
    <n v="67288"/>
    <s v="BARRIO CONJUNTO ARBOLEDA CAMPESTRE IBAGUE"/>
    <n v="66934094"/>
    <s v="0"/>
    <s v="3208367105"/>
    <s v="3208367105"/>
    <s v="CR 22 A SUR # 154-120 TO 29 AP 102,CONJUNTO ARBOLEDA CAMPESTRE"/>
    <s v="4.389707"/>
    <s v="-75.142148"/>
    <s v="TOLIMA"/>
    <s v="IBAGUÉ"/>
    <s v="IBAGUÉ"/>
    <n v="73001"/>
    <s v="2025-09-12"/>
    <n v="1"/>
    <s v="IBAGUE"/>
    <x v="1"/>
    <n v="49671.7"/>
    <n v="49671.7"/>
  </r>
  <r>
    <n v="60147"/>
    <s v="BARRIO BILBAO BOGOTA 3"/>
    <n v="80069550"/>
    <s v="0"/>
    <s v="3124485715"/>
    <s v="3124485715"/>
    <s v="CL 145 A 143 85,BILBAO"/>
    <s v="4.755603333"/>
    <s v="-74.11544388"/>
    <s v="CUNDINAMARCA"/>
    <s v="BOGOTÁ"/>
    <s v="BOGOTÁ"/>
    <n v="11001"/>
    <s v="2025-09-12"/>
    <n v="1"/>
    <s v="BOGOTA"/>
    <x v="2"/>
    <n v="37313"/>
    <n v="37313"/>
  </r>
  <r>
    <n v="69396"/>
    <s v="BARRIO LA CAROLINA PASTO 1"/>
    <n v="27149848"/>
    <s v="316 2452453"/>
    <s v="3162452453"/>
    <s v="3145091309"/>
    <s v="CR 2 24A 66 BR LA CAROLINA"/>
    <s v="1.2116131"/>
    <s v="-77.2625491"/>
    <s v="NARIÑO"/>
    <s v="PASTO"/>
    <s v="SAN JUAN DE PASTO"/>
    <n v="52001"/>
    <s v="2025-09-12"/>
    <n v="1"/>
    <s v="PASTO"/>
    <x v="3"/>
    <n v="49671.7"/>
    <n v="49671.7"/>
  </r>
  <r>
    <n v="69763"/>
    <s v="BARRIO BIBAO BOGOTA"/>
    <n v="1242689388"/>
    <s v="3013023133"/>
    <s v="3013023133"/>
    <s v="3013023133"/>
    <s v="CL 143 B 141 C 02 P 1,BILBAO"/>
    <s v="4.7516118"/>
    <s v="-74.1148097"/>
    <s v="CUNDINAMARCA"/>
    <s v="BOGOTÁ"/>
    <s v="BOGOTÁ"/>
    <n v="11001"/>
    <s v="2025-09-12"/>
    <n v="1"/>
    <s v="BOGOTA"/>
    <x v="2"/>
    <n v="37313"/>
    <n v="37313"/>
  </r>
  <r>
    <n v="72229"/>
    <s v="ITAGUI COLINAS DEL SUR ITAGUI"/>
    <n v="32351005"/>
    <s v="6045973116"/>
    <s v="3006555453"/>
    <s v="3003202686"/>
    <s v="CALLE 84 A 52 D 71,COLINAS DEL SUR ITAGUI"/>
    <s v="6.1920594"/>
    <s v="-75.5936631"/>
    <s v="ANTIOQUIA"/>
    <s v="ITAGÜÍ"/>
    <s v="ITAGÜÍ"/>
    <n v="5360"/>
    <s v="2025-09-12"/>
    <n v="1"/>
    <s v="MEDELLIN"/>
    <x v="0"/>
    <n v="37313"/>
    <n v="37313"/>
  </r>
  <r>
    <n v="68375"/>
    <s v="BARRIO SANTA BARBARA PASTO 5"/>
    <n v="27308728"/>
    <s v="3155160015"/>
    <s v="3155160015"/>
    <s v="3105054184"/>
    <s v="CL 21 C  2A 27 BR SANTA BARBARA"/>
    <s v="1.2036309"/>
    <s v="-77.2626280"/>
    <s v="NARIÑO"/>
    <s v="PASTO"/>
    <s v="SAN JUAN DE PASTO"/>
    <n v="52001"/>
    <s v="2025-09-12"/>
    <n v="1"/>
    <s v="PASTO"/>
    <x v="3"/>
    <n v="49671.7"/>
    <n v="49671.7"/>
  </r>
  <r>
    <n v="68523"/>
    <s v="LAS MERCEDES NEIVA 1"/>
    <n v="52509237"/>
    <s v="3204161833"/>
    <s v="3204161833"/>
    <s v="3204161833"/>
    <s v="CL 64 1 A 62,LAS MERCEDES"/>
    <s v="2.9630289"/>
    <s v="-75.2950273"/>
    <s v="HUILA"/>
    <s v="NEIVA"/>
    <s v="NEIVA"/>
    <n v="41001"/>
    <s v="2025-09-12"/>
    <n v="1"/>
    <s v="NEIVA"/>
    <x v="1"/>
    <n v="49671.7"/>
    <n v="49671.7"/>
  </r>
  <r>
    <n v="45582"/>
    <s v="BARRIO VILLA HERMOSA 6"/>
    <n v="1040323628"/>
    <s v="5877982"/>
    <s v="3136338407"/>
    <s v="3136338407"/>
    <s v="CR 39A # 66C-38"/>
    <s v="6.2593313"/>
    <s v="-75.5509756"/>
    <s v="ANTIOQUIA"/>
    <s v="MEDELLÍN"/>
    <s v="MEDELLÍN"/>
    <n v="5001"/>
    <s v="2025-09-12"/>
    <n v="1"/>
    <s v="MEDELLIN"/>
    <x v="0"/>
    <n v="37313"/>
    <n v="37313"/>
  </r>
  <r>
    <n v="48654"/>
    <s v="BARRIO SANTA ROSA NEIVA 1"/>
    <n v="55178983"/>
    <s v="8765457"/>
    <s v="3222170006"/>
    <s v="3214288273"/>
    <s v="CL 82 B 2 68,SANTA ROSA"/>
    <s v="2.9749706"/>
    <s v="-75.2878458"/>
    <s v="HUILA"/>
    <s v="NEIVA"/>
    <s v="NEIVA"/>
    <n v="41001"/>
    <s v="2025-09-12"/>
    <n v="1"/>
    <s v="NEIVA"/>
    <x v="1"/>
    <n v="49671.7"/>
    <n v="49671.7"/>
  </r>
  <r>
    <n v="63831"/>
    <s v="BARRIO CAMILO TORRES BOGOTA"/>
    <n v="52463704"/>
    <s v="0"/>
    <s v="3118221640"/>
    <s v="3118221640"/>
    <s v="CL 38 C SUR 73 A 05"/>
    <s v="4.6161735"/>
    <s v="-74.1490015"/>
    <s v="CUNDINAMARCA"/>
    <s v="BOGOTÁ"/>
    <s v="BOGOTÁ"/>
    <n v="11001"/>
    <s v="2025-09-12"/>
    <n v="1"/>
    <s v="BOGOTA"/>
    <x v="2"/>
    <n v="37313"/>
    <n v="37313"/>
  </r>
  <r>
    <n v="62889"/>
    <s v="BARRIO VILLA RECREO PASTO 1"/>
    <n v="5207936"/>
    <s v="3122627466"/>
    <s v="3122627466"/>
    <s v="3122627466"/>
    <s v="MZ B CS 1 - VILLA RECREO,VILLA RECREO"/>
    <s v="1.2098905"/>
    <s v="-77.2625875"/>
    <s v="NARIÑO"/>
    <s v="PASTO"/>
    <s v="SAN JUAN DE PASTO"/>
    <n v="52001"/>
    <s v="2025-09-12"/>
    <n v="1"/>
    <s v="PASTO"/>
    <x v="3"/>
    <n v="49671.7"/>
    <n v="49671.7"/>
  </r>
  <r>
    <n v="71105"/>
    <s v="BARRIO POMONA PAPAYAN"/>
    <n v="34326535"/>
    <s v="3017300092"/>
    <s v="3017300092"/>
    <s v="3017300092"/>
    <s v="CR 2 21 N 100, LC 7"/>
    <s v="2.4507017"/>
    <s v="-76.5913081"/>
    <s v="CAUCA"/>
    <s v="POPAYÁN"/>
    <s v="POPAYÁN"/>
    <n v="19001"/>
    <s v="2025-09-12"/>
    <n v="1"/>
    <s v="CALI"/>
    <x v="3"/>
    <n v="37313"/>
    <n v="37313"/>
  </r>
  <r>
    <n v="70982"/>
    <s v="BARRIO ANDALUCIA CALDAS 4"/>
    <n v="1000921305"/>
    <s v="3113589478"/>
    <s v="3113589478"/>
    <s v="3113589478"/>
    <s v="CALLE 127 SUR 42 150,ANDALUCÍA"/>
    <s v="6.0941128"/>
    <s v="-75.6305361"/>
    <s v="ANTIOQUIA"/>
    <s v="CALDAS"/>
    <s v="CALDAS"/>
    <n v="5129"/>
    <s v="2025-09-12"/>
    <n v="1"/>
    <s v="MEDELLIN"/>
    <x v="0"/>
    <n v="37313"/>
    <n v="37313"/>
  </r>
  <r>
    <n v="68503"/>
    <s v="LA FRANCIA MEDELLIN 3"/>
    <n v="1007378265"/>
    <s v="3012268842"/>
    <s v="3107546309"/>
    <s v="3107546309"/>
    <s v="CARRERA 49 B 108 123,LA FRANCIA"/>
    <s v="6.3003918"/>
    <s v="-75.5527732"/>
    <s v="ANTIOQUIA"/>
    <s v="MEDELLÍN"/>
    <s v="MEDELLÍN"/>
    <n v="5001"/>
    <s v="2025-09-12"/>
    <n v="1"/>
    <s v="MEDELLIN"/>
    <x v="0"/>
    <n v="37313"/>
    <n v="37313"/>
  </r>
  <r>
    <n v="70685"/>
    <s v="MARROQUIN II CALI"/>
    <n v="67037491"/>
    <s v="3015486794"/>
    <s v="3015486794"/>
    <s v="3015486794"/>
    <s v="KR 26 P5 # 87- 10,MARROQUÍN II"/>
    <s v="3.4242457"/>
    <s v="-76.4801789"/>
    <s v="VALLE DEL CAUCA"/>
    <s v="CALI"/>
    <s v="SANTIAGO DE CALI"/>
    <n v="76001"/>
    <s v="2025-09-12"/>
    <n v="1"/>
    <s v="CALI"/>
    <x v="3"/>
    <n v="37313"/>
    <n v="37313"/>
  </r>
  <r>
    <n v="67994"/>
    <s v="VEREDA  POPAYAN"/>
    <n v="10298858"/>
    <s v="3216560768"/>
    <s v="3204559778"/>
    <s v="3204559778"/>
    <s v="CR 12 31 53 OTRO NO CODIFICADO (POP),VEREDA"/>
    <s v="2.4230339"/>
    <s v="-76.6154453"/>
    <s v="CAUCA"/>
    <s v="POPAYÁN"/>
    <s v="POPAYÁN"/>
    <n v="19001"/>
    <s v="2025-09-12"/>
    <n v="1"/>
    <s v="CALI"/>
    <x v="3"/>
    <n v="37313"/>
    <n v="37313"/>
  </r>
  <r>
    <n v="78075"/>
    <s v="BARRIO PASEO BOLIVAR CARTAGENA DE INDIAS 3"/>
    <n v="1002130809"/>
    <s v="3244350928"/>
    <s v="3244350928"/>
    <s v="3155539930"/>
    <s v="CR 17 N°43-43,PASEO BOLIVAR"/>
    <s v="10.4298190"/>
    <s v="-75.5339728"/>
    <s v="BOLÍVAR"/>
    <s v="CARTAGENA DE INDIAS"/>
    <s v="CARTAGENA DE INDIAS"/>
    <n v="13001"/>
    <s v="2025-09-12"/>
    <n v="1"/>
    <s v="CARTAGENA"/>
    <x v="5"/>
    <n v="49671.7"/>
    <n v="49671.7"/>
  </r>
  <r>
    <n v="78192"/>
    <s v="BARRIO PORTAL DE LAS FERIAS ETAPA 1 POPAYAN "/>
    <n v="1061725984"/>
    <s v="3154761233"/>
    <s v="3150454545"/>
    <s v="3154761233"/>
    <s v="CR 6 E 14 14,PORTAL DE LAS FERIAS ETAPA 1"/>
    <s v="2.4321686"/>
    <s v="-76.5999852"/>
    <s v="CAUCA"/>
    <s v="POPAYÁN"/>
    <s v="POPAYÁN"/>
    <n v="19001"/>
    <s v="2025-09-12"/>
    <n v="1"/>
    <s v="CALI"/>
    <x v="3"/>
    <n v="37313"/>
    <n v="37313"/>
  </r>
  <r>
    <n v="70973"/>
    <s v="LOS ANGELES MEDELLN"/>
    <n v="1128439394"/>
    <s v="3042845520"/>
    <s v="3042845520"/>
    <s v="3042845520"/>
    <s v="CALLE 60 N 43 64,LOS ANGELES"/>
    <s v="6.2548378"/>
    <s v="-75.5591356"/>
    <s v="ANTIOQUIA"/>
    <s v="MEDELLÍN"/>
    <s v="MEDELLÍN"/>
    <n v="5001"/>
    <s v="2025-09-12"/>
    <n v="1"/>
    <s v="MEDELLIN"/>
    <x v="0"/>
    <n v="37313"/>
    <n v="37313"/>
  </r>
  <r>
    <n v="76176"/>
    <s v="BARRIO CENTRO VILLAVICENCIO 31"/>
    <n v="86057229"/>
    <s v="3114491979"/>
    <s v="3114491979"/>
    <s v="3114491979"/>
    <s v="CR 30 N 37 - 12 CENTRO,CENTRO"/>
    <s v="4.151454"/>
    <s v="-73.635545"/>
    <s v="META"/>
    <s v="VILLAVICENCIO"/>
    <s v="VILLAVICENCIO"/>
    <n v="50001"/>
    <s v="2025-09-12"/>
    <n v="1"/>
    <s v="VILLAVICENCIO"/>
    <x v="1"/>
    <n v="49671.7"/>
    <n v="49671.7"/>
  </r>
  <r>
    <n v="76415"/>
    <s v="BARRIO MOTILONES CUCUTA 25"/>
    <n v="1090398089"/>
    <s v="3017920808"/>
    <s v="3017920808"/>
    <s v="3017920808"/>
    <s v="AV 1 CLL 8 NRO 14,MOTILONES"/>
    <s v="7.9172615"/>
    <s v="-72.5221981"/>
    <s v="NORTE DE SANTANDER"/>
    <s v="CÚCUTA"/>
    <s v="CÚCUTA"/>
    <n v="54001"/>
    <s v="2025-09-12"/>
    <n v="1"/>
    <s v="CUCUTA"/>
    <x v="4"/>
    <n v="49671.7"/>
    <n v="49671.7"/>
  </r>
  <r>
    <n v="70375"/>
    <s v="BARRIO CENTRO MEDELLIN  98"/>
    <n v="1031133874"/>
    <s v="3172895887"/>
    <s v="3118341628"/>
    <s v="3118341628"/>
    <s v="CALLE 51 55 69 LOCAL 135,CENTRO"/>
    <s v="6.2524984"/>
    <s v="-75.5721764"/>
    <s v="ANTIOQUIA"/>
    <s v="MEDELLÍN"/>
    <s v="MEDELLÍN"/>
    <n v="5001"/>
    <s v="2025-09-12"/>
    <n v="1"/>
    <s v="MEDELLIN"/>
    <x v="0"/>
    <n v="37313"/>
    <n v="37313"/>
  </r>
  <r>
    <n v="70682"/>
    <s v="NUEVO HORIZONTE"/>
    <n v="29927829"/>
    <s v="3187445646"/>
    <s v="0"/>
    <s v="3187445646"/>
    <s v="CL 72 J 28 F - 02 LC 102"/>
    <s v="3.4218144"/>
    <s v="-76.4975758"/>
    <s v="VALLE DEL CAUCA"/>
    <s v="CALI"/>
    <s v="SANTIAGO DE CALI"/>
    <n v="76001"/>
    <s v="2025-09-12"/>
    <n v="1"/>
    <s v="CALI"/>
    <x v="3"/>
    <n v="37313"/>
    <n v="37313"/>
  </r>
  <r>
    <n v="78016"/>
    <s v="BARRIO PRIMERO DE MAYO POPAYAN 1"/>
    <n v="1061694241"/>
    <s v="3053530390"/>
    <s v="3133537838"/>
    <s v="3127392032"/>
    <s v="CL 17 8 69 BRR PRIMERO DE MAYO,PRIMERO DE MAYO"/>
    <s v="2.4333754"/>
    <s v="-76.6117678"/>
    <s v="CAUCA"/>
    <s v="POPAYÁN"/>
    <s v="POPAYÁN"/>
    <n v="19001"/>
    <s v="2025-09-12"/>
    <n v="1"/>
    <s v="CALI"/>
    <x v="3"/>
    <n v="37313"/>
    <n v="37313"/>
  </r>
  <r>
    <n v="78345"/>
    <s v="BARRIO PRADOS NORTE CUCUTA"/>
    <n v="60348752"/>
    <s v="3212169158"/>
    <s v="3212169158"/>
    <s v="3212169158"/>
    <s v="AV 1 NRO 21AN -06,PRADOS NORTE"/>
    <s v="7.917483"/>
    <s v="-72.494354"/>
    <s v="NORTE DE SANTANDER"/>
    <s v="CÚCUTA"/>
    <s v="CÚCUTA"/>
    <n v="54001"/>
    <s v="2025-09-12"/>
    <n v="1"/>
    <s v="CUCUTA"/>
    <x v="4"/>
    <n v="49671.7"/>
    <n v="49671.7"/>
  </r>
  <r>
    <n v="78414"/>
    <s v="BARRIO MARCO FIDEL SUAREZ BOGOTA  7"/>
    <n v="1024472487"/>
    <s v="3103028829"/>
    <s v="3103028829"/>
    <s v="3103028829"/>
    <s v="CL 43 SUR 12F 17 LC 2,MARCO FIDEL SUAREZ"/>
    <s v="4.5682058"/>
    <s v="-74.1160618"/>
    <s v="CUNDINAMARCA"/>
    <s v="BOGOTÁ"/>
    <s v="BOGOTÁ"/>
    <n v="11001"/>
    <s v="2025-09-12"/>
    <n v="1"/>
    <s v="BOGOTA"/>
    <x v="2"/>
    <n v="37313"/>
    <n v="37313"/>
  </r>
  <r>
    <n v="78378"/>
    <s v="BARRIO VEREDA PUERTO LLERAS CUCUTA"/>
    <n v="1004811888"/>
    <s v="3165759602"/>
    <s v="3165759602"/>
    <s v="3165759602"/>
    <s v="KDX 18 1A,VEREDA PUERTO LLERAS"/>
    <s v="8.162205894207382"/>
    <s v="-72.45682037548241"/>
    <s v="NORTE DE SANTANDER"/>
    <s v="CÚCUTA"/>
    <s v="CÚCUTA"/>
    <n v="54001"/>
    <s v="2025-09-12"/>
    <n v="1"/>
    <s v="CUCUTA"/>
    <x v="4"/>
    <n v="49671.7"/>
    <n v="49671.7"/>
  </r>
  <r>
    <n v="78388"/>
    <s v="BARRIO SANTA INES POPAYAN 4"/>
    <n v="1061737537"/>
    <s v="3229096044"/>
    <s v="3162382825"/>
    <s v="3229096044"/>
    <s v="CL 11 1 35 LC 1 SANTA INES,SANTA INES"/>
    <s v="2.4350065"/>
    <s v="-76.6042679"/>
    <s v="CAUCA"/>
    <s v="POPAYÁN"/>
    <s v="POPAYÁN"/>
    <n v="19001"/>
    <s v="2025-09-12"/>
    <n v="1"/>
    <s v="CALI"/>
    <x v="3"/>
    <n v="37313"/>
    <n v="37313"/>
  </r>
  <r>
    <n v="76097"/>
    <s v="BARRIO CENTRO PASTO 35"/>
    <n v="59816471"/>
    <s v="3153042218"/>
    <s v="3137479127"/>
    <s v="3116062202"/>
    <s v="CL 14 # 23-57 BBR EL COLORADO CEN"/>
    <s v="1.2121418"/>
    <s v="-77.2817670"/>
    <s v="NARIÑO"/>
    <s v="PASTO"/>
    <s v="SAN JUAN DE PASTO"/>
    <n v="52001"/>
    <s v="2025-09-12"/>
    <n v="1"/>
    <s v="PASTO"/>
    <x v="3"/>
    <n v="49671.7"/>
    <n v="49671.7"/>
  </r>
  <r>
    <n v="80123"/>
    <s v="BARRIO MARROQUIN 2 CALI  6"/>
    <n v="1143983711"/>
    <s v="3217241689"/>
    <s v="3217241689"/>
    <m/>
    <s v="CL 83 26 M 11 P 1,MARROQUIN 2"/>
    <s v="3.4269895"/>
    <s v="-76.4811310"/>
    <s v="VALLE DEL CAUCA"/>
    <s v="CALI"/>
    <s v="SANTIAGO DE CALI"/>
    <n v="76001"/>
    <s v="2025-09-12"/>
    <n v="1"/>
    <s v="CALI"/>
    <x v="3"/>
    <n v="37313"/>
    <n v="37313"/>
  </r>
  <r>
    <n v="76003"/>
    <s v="BARRIO EL PARAISO CUCUTA"/>
    <n v="13269167"/>
    <s v="3213116839"/>
    <s v="3213116839"/>
    <s v="3213116839"/>
    <s v="CL 14 NRO 11 143,EL PARAISO"/>
    <s v="7.9273419"/>
    <s v="-72.5296334"/>
    <s v="NORTE DE SANTANDER"/>
    <s v="CÚCUTA"/>
    <s v="CÚCUTA"/>
    <n v="54001"/>
    <s v="2025-09-12"/>
    <n v="1"/>
    <s v="CUCUTA"/>
    <x v="4"/>
    <n v="49671.7"/>
    <n v="49671.7"/>
  </r>
  <r>
    <n v="76266"/>
    <s v="BARRIO  OSPINA PEREZ  CUCUTA"/>
    <n v="1090538464"/>
    <s v="3135488417"/>
    <s v="3135488417"/>
    <s v="3135488417"/>
    <s v="AV 5 NRO 19-64,OSPINA PEREZ"/>
    <s v="7.9250950"/>
    <s v="-72.5208976"/>
    <s v="NORTE DE SANTANDER"/>
    <s v="CÚCUTA"/>
    <s v="CÚCUTA"/>
    <n v="54001"/>
    <s v="2025-09-12"/>
    <n v="1"/>
    <s v="CUCUTA"/>
    <x v="4"/>
    <n v="49671.7"/>
    <n v="49671.7"/>
  </r>
  <r>
    <n v="73499"/>
    <s v="BARRIO SANTA MONICA PASTO 3"/>
    <n v="36992521"/>
    <s v="3186096477"/>
    <s v="3154806629"/>
    <s v="3186096477"/>
    <s v="MANZANA C CASA 82 B SANTA MONICA,SANTA MONICA"/>
    <s v="1.2033052"/>
    <s v="-77.2569743"/>
    <s v="NARIÑO"/>
    <s v="PASTO"/>
    <s v="SAN JUAN DE PASTO"/>
    <n v="52001"/>
    <s v="2025-09-12"/>
    <n v="1"/>
    <s v="PASTO"/>
    <x v="3"/>
    <n v="49671.7"/>
    <n v="49671.7"/>
  </r>
  <r>
    <n v="80261"/>
    <s v="BARRIO PARQUES DE BOLIVAR CUCUTA"/>
    <n v="1094829769"/>
    <s v="3204000945"/>
    <s v="3204000945"/>
    <m/>
    <s v="AV 25 NRO 25-100 ETAPA 3,PARQUES DE BOLIVAR"/>
    <s v="7.9523942"/>
    <s v="-72.5166868"/>
    <s v="NORTE DE SANTANDER"/>
    <s v="CÚCUTA"/>
    <s v="CÚCUTA"/>
    <n v="54001"/>
    <s v="2025-09-12"/>
    <n v="1"/>
    <s v="CUCUTA"/>
    <x v="4"/>
    <n v="49671.7"/>
    <n v="49671.7"/>
  </r>
  <r>
    <n v="80443"/>
    <s v="BARRIO MARROQUIN II CALI 1"/>
    <n v="38612042"/>
    <s v="3116556015"/>
    <s v="3116556015"/>
    <m/>
    <s v="CR 26 P83 74 BRR MARROQUIN II,MARROQUIN II"/>
    <s v="3.4259819"/>
    <s v="-76.4804225"/>
    <s v="VALLE DEL CAUCA"/>
    <s v="CALI"/>
    <s v="SANTIAGO DE CALI"/>
    <n v="76001"/>
    <s v="2025-09-12"/>
    <n v="1"/>
    <s v="CALI"/>
    <x v="3"/>
    <n v="37313"/>
    <n v="37313"/>
  </r>
  <r>
    <n v="62941"/>
    <s v="BARRIO BELLO BELLO 7"/>
    <n v="1152686111"/>
    <s v="6044992996"/>
    <s v="3017360115"/>
    <s v="3017360115"/>
    <s v="CL 81 65 18,BELLO"/>
    <s v="6.356452"/>
    <s v="-75.568670"/>
    <s v="ANTIOQUIA"/>
    <s v="BELLO"/>
    <s v="BELLO"/>
    <n v="5088"/>
    <s v="2025-09-12"/>
    <n v="1"/>
    <s v="MEDELLIN"/>
    <x v="0"/>
    <n v="37313"/>
    <n v="37313"/>
  </r>
  <r>
    <n v="80134"/>
    <s v="BARRIO PANAMERICANO CUCUTA 3"/>
    <n v="52109245"/>
    <s v="3125164208"/>
    <s v="3125164208"/>
    <m/>
    <s v="AV 7 NRO 0C - 51 LC 4,PANAMERICANO"/>
    <s v="7.9253219"/>
    <s v="-72.5011917"/>
    <s v="NORTE DE SANTANDER"/>
    <s v="CÚCUTA"/>
    <s v="CÚCUTA"/>
    <n v="54001"/>
    <s v="2025-09-12"/>
    <n v="1"/>
    <s v="CUCUTA"/>
    <x v="4"/>
    <n v="49671.7"/>
    <n v="49671.7"/>
  </r>
  <r>
    <n v="78419"/>
    <s v="BARRIO 13 DE JUNIO CARTAGENA DE INDIAS  2"/>
    <n v="1143382226"/>
    <s v="3117789596"/>
    <s v="3117789596"/>
    <s v="3114208866"/>
    <s v="DG 32B 69D -115 P1 LC1,13 DE JUNIO"/>
    <s v="10.4004308"/>
    <s v="-75.4852081"/>
    <s v="BOLÍVAR"/>
    <s v="CARTAGENA DE INDIAS"/>
    <s v="CARTAGENA DE INDIAS"/>
    <n v="13001"/>
    <s v="2025-09-12"/>
    <n v="1"/>
    <s v="CARTAGENA"/>
    <x v="5"/>
    <n v="49671.7"/>
    <n v="49671.7"/>
  </r>
  <r>
    <n v="80361"/>
    <s v="BARRIO SANTAMARIA ITAGUI 2"/>
    <n v="42793885"/>
    <s v="3143716020"/>
    <s v="3143716020"/>
    <m/>
    <s v="CL 78 52 A 112,SANTAMARIA"/>
    <s v="6.1883694"/>
    <s v="-75.5957756"/>
    <s v="ANTIOQUIA"/>
    <s v="ITAGÜÍ"/>
    <s v="ITAGÜÍ"/>
    <n v="5360"/>
    <s v="2025-09-12"/>
    <n v="1"/>
    <s v="MEDELLIN"/>
    <x v="0"/>
    <n v="37313"/>
    <n v="37313"/>
  </r>
  <r>
    <n v="76186"/>
    <s v="BARRIO ANTONIO NARIÑO CALI 2"/>
    <n v="94548036"/>
    <s v="3017927601"/>
    <s v="3017927601"/>
    <s v="3127631722"/>
    <s v="CR 41A 39 86,ANTONIO NARIÑO"/>
    <s v="3.4142187"/>
    <s v="-76.5089407"/>
    <s v="VALLE DEL CAUCA"/>
    <s v="CALI"/>
    <s v="SANTIAGO DE CALI"/>
    <n v="76001"/>
    <s v="2025-09-12"/>
    <n v="1"/>
    <s v="CALI"/>
    <x v="3"/>
    <n v="37313"/>
    <n v="37313"/>
  </r>
  <r>
    <n v="76187"/>
    <s v="BARRIO GAVIOTAS CARGENA DE INDIAS"/>
    <n v="13515796"/>
    <s v="3135097272"/>
    <s v="3126591048"/>
    <s v="3135097272"/>
    <s v="MZ 47 LT 1 ET 4,GAVIOTAS"/>
    <s v="10.4022590"/>
    <s v="-75.4885089"/>
    <s v="BOLÍVAR"/>
    <s v="CARTAGENA DE INDIAS"/>
    <s v="CARTAGENA DE INDIAS"/>
    <n v="13001"/>
    <s v="2025-09-12"/>
    <n v="1"/>
    <s v="CARTAGENA"/>
    <x v="5"/>
    <n v="49671.7"/>
    <n v="49671.7"/>
  </r>
  <r>
    <n v="76418"/>
    <s v="BARRIO OSPINA PEREZ CUCUTA 10"/>
    <n v="1092036152"/>
    <s v="3043204394"/>
    <s v="3043204394"/>
    <m/>
    <s v="CL 18 NRO 0 56 BR OSPINA PEREZ,OSPINA PEREZ"/>
    <s v="7.9215932"/>
    <s v="-72.5179152"/>
    <s v="NORTE DE SANTANDER"/>
    <s v="CÚCUTA"/>
    <s v="CÚCUTA"/>
    <n v="54001"/>
    <s v="2025-09-12"/>
    <n v="1"/>
    <s v="CUCUTA"/>
    <x v="4"/>
    <n v="49671.7"/>
    <n v="49671.7"/>
  </r>
  <r>
    <n v="73964"/>
    <s v="BARRIO ULPIANO LLOREDA CALI"/>
    <n v="66982909"/>
    <s v="3193533826"/>
    <s v="3172886311"/>
    <s v="3193533826"/>
    <s v="CL 71 # 26 A- 28,ULPIANO LLOREDA"/>
    <s v="3.4373155"/>
    <s v="-76.4932727"/>
    <s v="VALLE DEL CAUCA"/>
    <s v="CALI"/>
    <s v="SANTIAGO DE CALI"/>
    <n v="76001"/>
    <s v="2025-09-12"/>
    <n v="1"/>
    <s v="CALI"/>
    <x v="3"/>
    <n v="37313"/>
    <n v="37313"/>
  </r>
  <r>
    <n v="76710"/>
    <s v="BARRIO MARCO FIDEL SUAREZ BOGOTA 3"/>
    <n v="80770138"/>
    <s v="3203591411"/>
    <s v="3203591411"/>
    <s v="3203591411"/>
    <s v="CL 43 SUR 12 73 BRR MARCO FIDEL SUAREZ,MARCO FIDEL SUAREZ"/>
    <s v="4.5670455"/>
    <s v="-74.1146292"/>
    <s v="CUNDINAMARCA"/>
    <s v="BOGOTÁ"/>
    <s v="BOGOTÁ"/>
    <n v="11001"/>
    <s v="2025-09-12"/>
    <n v="1"/>
    <s v="BOGOTA"/>
    <x v="2"/>
    <n v="37313"/>
    <n v="37313"/>
  </r>
  <r>
    <n v="76796"/>
    <s v="BARRIO DOÑA NIDIA CUCUTA 3"/>
    <n v="1090426316"/>
    <s v="3203499644"/>
    <s v="3203499644"/>
    <m/>
    <s v="CL 8 1-71 LC 2,DOÑA NIDIA"/>
    <s v="7.8926144"/>
    <s v="-72.5271876"/>
    <s v="NORTE DE SANTANDER"/>
    <s v="CÚCUTA"/>
    <s v="CÚCUTA"/>
    <n v="54001"/>
    <s v="2025-09-12"/>
    <n v="1"/>
    <s v="CUCUTA"/>
    <x v="4"/>
    <n v="49671.7"/>
    <n v="49671.7"/>
  </r>
  <r>
    <n v="74482"/>
    <s v="BARRRIO LAS ACACIAS IBGUE"/>
    <n v="65733419"/>
    <s v="3152081134"/>
    <s v="3112083548"/>
    <s v="3178557552"/>
    <s v="AV GUAVINAL 33 14 EQ LC 1,LAS ACACIAS"/>
    <s v="4.4420826"/>
    <s v="-75.2195011"/>
    <s v="TOLIMA"/>
    <s v="IBAGUÉ"/>
    <s v="IBAGUÉ"/>
    <n v="73001"/>
    <s v="2025-09-12"/>
    <n v="1"/>
    <s v="IBAGUE"/>
    <x v="1"/>
    <n v="49671.7"/>
    <n v="49671.7"/>
  </r>
  <r>
    <n v="79343"/>
    <s v="BARRIO PRADO BARRANQUILLA 12"/>
    <n v="1129500065"/>
    <s v="3207176097"/>
    <s v="3126323624"/>
    <s v="3207176097"/>
    <s v="CR 47 72 - 81 LC 1,PRADO"/>
    <s v="10.9955068"/>
    <s v="-74.8057856"/>
    <s v="ATLÁNTICO"/>
    <s v="BARRANQUILLA"/>
    <s v="BARRANQUILLA"/>
    <n v="8001"/>
    <s v="2025-09-12"/>
    <n v="1"/>
    <s v="BARRANQUILLA"/>
    <x v="5"/>
    <n v="37313"/>
    <n v="37313"/>
  </r>
  <r>
    <n v="78510"/>
    <s v="BARRIO COMUNEROS  II CALI"/>
    <n v="1093744892"/>
    <s v="3202231017"/>
    <s v="3202231017"/>
    <s v="3202231017"/>
    <s v="CL 72 I 2 #28B 1-150 AP 101"/>
    <s v="3.4251098"/>
    <s v="-76.4940549"/>
    <s v="VALLE DEL CAUCA"/>
    <s v="CALI"/>
    <s v="SANTIAGO DE CALI"/>
    <n v="76001"/>
    <s v="2025-09-12"/>
    <n v="1"/>
    <s v="CALI"/>
    <x v="3"/>
    <n v="37313"/>
    <n v="37313"/>
  </r>
  <r>
    <n v="78785"/>
    <s v="BARRIO CENTRO BARRANQUILLA 55"/>
    <n v="72247312"/>
    <s v="3046031875"/>
    <s v="3046031875"/>
    <m/>
    <s v="CL 17 39 - 30 LC 1,CENTRO"/>
    <s v="10.9767267"/>
    <s v="-74.7755850"/>
    <s v="ATLÁNTICO"/>
    <s v="BARRANQUILLA"/>
    <s v="BARRANQUILLA"/>
    <n v="8001"/>
    <s v="2025-09-12"/>
    <n v="1"/>
    <s v="BARRANQUILLA"/>
    <x v="5"/>
    <n v="37313"/>
    <n v="37313"/>
  </r>
  <r>
    <n v="77345"/>
    <s v="BARRIO LA FORTALEZA CUCUTA"/>
    <n v="1090406590"/>
    <s v="3175754388"/>
    <s v="3175754388"/>
    <m/>
    <s v="MZ M LOTE 10,LA FORTALEZA"/>
    <s v="7.9029320"/>
    <s v="-72.5522716"/>
    <s v="NORTE DE SANTANDER"/>
    <s v="CÚCUTA"/>
    <s v="CÚCUTA"/>
    <n v="54001"/>
    <s v="2025-09-12"/>
    <n v="1"/>
    <s v="CUCUTA"/>
    <x v="4"/>
    <n v="49671.7"/>
    <n v="49671.7"/>
  </r>
  <r>
    <n v="78779"/>
    <s v="BARRIO CENTRO BARRANQUILLA 48"/>
    <n v="1044213446"/>
    <s v="3107431887"/>
    <s v="3107431887"/>
    <m/>
    <s v="CR 43 34 - 18 P 2 LC 208,CENTRO"/>
    <s v="10.9813835"/>
    <s v="-74.7783494"/>
    <s v="ATLÁNTICO"/>
    <s v="BARRANQUILLA"/>
    <s v="BARRANQUILLA"/>
    <n v="8001"/>
    <s v="2025-09-12"/>
    <n v="1"/>
    <s v="BARRANQUILLA"/>
    <x v="5"/>
    <n v="37313"/>
    <n v="37313"/>
  </r>
  <r>
    <n v="78901"/>
    <s v="BARRIO LA FLORESTA CUCUTA"/>
    <n v="37343387"/>
    <s v="3153085489"/>
    <s v="3153085489"/>
    <s v="3153085489"/>
    <s v="VRD LA FLORESTA KDX 8-1 ,LA FLORESTA"/>
    <s v="8.1662108"/>
    <s v="-72.4787800"/>
    <s v="NORTE DE SANTANDER"/>
    <s v="CÚCUTA"/>
    <s v="CÚCUTA"/>
    <n v="54001"/>
    <s v="2025-09-12"/>
    <n v="1"/>
    <s v="CUCUTA"/>
    <x v="4"/>
    <n v="49671.7"/>
    <n v="49671.7"/>
  </r>
  <r>
    <n v="79066"/>
    <s v="BARRIO AEROPUERTO CUCUTA 20"/>
    <n v="1116853271"/>
    <s v="3249855313"/>
    <s v="3249855313"/>
    <m/>
    <s v="AV 2 10-15 LC 3,AEROPUERTO"/>
    <s v="7.9337958"/>
    <s v="-72.5042289"/>
    <s v="NORTE DE SANTANDER"/>
    <s v="CÚCUTA"/>
    <s v="CÚCUTA"/>
    <n v="54001"/>
    <s v="2025-09-12"/>
    <n v="1"/>
    <s v="CUCUTA"/>
    <x v="4"/>
    <n v="49671.7"/>
    <n v="49671.7"/>
  </r>
  <r>
    <n v="77229"/>
    <s v="BARRIO CONJUNTO CERRADO MADEIRA  CUCUTA"/>
    <n v="1093748345"/>
    <s v="3132927977"/>
    <s v="3132927977"/>
    <m/>
    <s v="MZ A CASA 34,CONJUNTO CERRADO MADEIRA"/>
    <s v="7.8845577"/>
    <s v="-72.4614680"/>
    <s v="NORTE DE SANTANDER"/>
    <s v="CÚCUTA"/>
    <s v="CÚCUTA"/>
    <n v="54001"/>
    <s v="2025-09-12"/>
    <n v="1"/>
    <s v="CUCUTA"/>
    <x v="4"/>
    <n v="49671.7"/>
    <n v="49671.7"/>
  </r>
  <r>
    <n v="74825"/>
    <s v="barrio  marco fidel suarez bogota"/>
    <n v="41439527"/>
    <s v="3203286773"/>
    <s v="3123484567"/>
    <s v="3123484567"/>
    <s v="TV 13 B 43 41 SUR,MARCO FIDEL SUÁREZ"/>
    <s v="4.5697250"/>
    <s v="-74.1186554"/>
    <s v="CUNDINAMARCA"/>
    <s v="BOGOTÁ"/>
    <s v="BOGOTÁ"/>
    <n v="11001"/>
    <s v="2025-09-12"/>
    <n v="1"/>
    <s v="BOGOTA"/>
    <x v="2"/>
    <n v="37313"/>
    <n v="37313"/>
  </r>
  <r>
    <n v="75098"/>
    <s v="BARRIO LA CASTELLANA IBAGUE"/>
    <n v="1110471839"/>
    <s v="3194615487"/>
    <s v="3054088905"/>
    <s v="3054088905"/>
    <s v="CR 3 39 39,LA CASTELLANA"/>
    <s v="4.4298927"/>
    <s v="-75.2150626"/>
    <s v="TOLIMA"/>
    <s v="IBAGUÉ"/>
    <s v="IBAGUÉ"/>
    <n v="73001"/>
    <s v="2025-09-12"/>
    <n v="1"/>
    <s v="IBAGUE"/>
    <x v="1"/>
    <n v="49671.7"/>
    <n v="49671.7"/>
  </r>
  <r>
    <n v="79067"/>
    <s v="BARRIO EL CENTRO CUCUTA 85"/>
    <n v="60315422"/>
    <s v="3118407645"/>
    <s v="3118407645"/>
    <m/>
    <s v="AV 3 NRO 11-65 ,EL CENTRO"/>
    <s v="7.8857105"/>
    <s v="-72.5014770"/>
    <s v="NORTE DE SANTANDER"/>
    <s v="CÚCUTA"/>
    <s v="CÚCUTA"/>
    <n v="54001"/>
    <s v="2025-09-12"/>
    <n v="1"/>
    <s v="CUCUTA"/>
    <x v="4"/>
    <n v="49671.7"/>
    <n v="49671.7"/>
  </r>
  <r>
    <n v="75351"/>
    <s v="BARRIO MOTILONES CUCUTA 23"/>
    <n v="1090437159"/>
    <s v="3222040230"/>
    <s v="3222040230"/>
    <s v="3222040230"/>
    <s v="AV 1 NRO 10-54,MOTILONES"/>
    <s v="7.9184299"/>
    <s v="-72.5211493"/>
    <s v="NORTE DE SANTANDER"/>
    <s v="CÚCUTA"/>
    <s v="CÚCUTA"/>
    <n v="54001"/>
    <s v="2025-09-12"/>
    <n v="1"/>
    <s v="CUCUTA"/>
    <x v="4"/>
    <n v="49671.7"/>
    <n v="49671.7"/>
  </r>
  <r>
    <n v="74968"/>
    <s v="BARRIO KENNEDY PROVEDENCIA OCCIDENTAL BOGOTA"/>
    <n v="52954197"/>
    <s v="3142340845"/>
    <s v="3168325635"/>
    <s v="3168325635"/>
    <s v="CL 36 SUR 72 Q 78 LC 101.KENNEDY PROVEDENCIA OCCIDENTAL"/>
    <s v="4.6186874"/>
    <s v="-74.1448097"/>
    <s v="CUNDINAMARCA"/>
    <s v="BOGOTÁ"/>
    <s v="BOGOTÁ"/>
    <n v="11001"/>
    <s v="2025-09-12"/>
    <n v="1"/>
    <s v="BOGOTA"/>
    <x v="2"/>
    <n v="37313"/>
    <n v="37313"/>
  </r>
  <r>
    <n v="75208"/>
    <s v="BARRIO LA HERMITA CUCUTA 3"/>
    <n v="901693357"/>
    <s v="3114754727"/>
    <s v="3114754727"/>
    <s v="3114754727"/>
    <s v="CL 30 6B 02,LA HERMITA"/>
    <s v="7.9316091"/>
    <s v="-72.5185370"/>
    <s v="NORTE DE SANTANDER"/>
    <s v="CÚCUTA"/>
    <s v="CÚCUTA"/>
    <n v="54001"/>
    <s v="2025-09-12"/>
    <n v="1"/>
    <s v="CUCUTA"/>
    <x v="4"/>
    <n v="49671.7"/>
    <n v="49671.7"/>
  </r>
  <r>
    <n v="75876"/>
    <s v="BARRIO ITAGUI SIMON BOLIVAR ITAGUI"/>
    <n v="6433877"/>
    <s v="3506635310"/>
    <s v="3506635310"/>
    <s v="3506635310"/>
    <s v="CL 69 52D 90,ITAGÜI SIMON BOLIVAR"/>
    <s v="6.1835495"/>
    <s v="-75.6007999"/>
    <s v="ANTIOQUIA"/>
    <s v="ITAGÜÍ"/>
    <s v="ITAGÜÍ"/>
    <n v="5360"/>
    <s v="2025-09-12"/>
    <n v="1"/>
    <s v="MEDELLIN"/>
    <x v="0"/>
    <n v="37313"/>
    <n v="37313"/>
  </r>
  <r>
    <n v="79737"/>
    <s v="BARRIO LA PAZ BARRANQUILLA  4"/>
    <n v="1041692544"/>
    <s v="3128260880"/>
    <s v="3128260880"/>
    <m/>
    <s v="CL 108 13 - 10,LA PAZ"/>
    <s v="10.9670416"/>
    <s v="-74.8358502"/>
    <s v="ATLÁNTICO"/>
    <s v="BARRANQUILLA"/>
    <s v="BARRANQUILLA"/>
    <n v="8001"/>
    <s v="2025-09-12"/>
    <n v="1"/>
    <s v="BARRANQUILLA"/>
    <x v="5"/>
    <n v="37313"/>
    <n v="37313"/>
  </r>
  <r>
    <n v="76736"/>
    <s v="BARRIO LA TOMA NEIVA 3"/>
    <n v="1000722983"/>
    <s v="3169333201"/>
    <s v="3222786830"/>
    <s v="3222786830"/>
    <s v="CR 9 10 07 LC 13,LA TOMA"/>
    <s v="2.929712"/>
    <s v="-75.285881"/>
    <s v="HUILA"/>
    <s v="NEIVA"/>
    <s v="NEIVA"/>
    <n v="41001"/>
    <s v="2025-09-12"/>
    <n v="2"/>
    <s v="NEIVA"/>
    <x v="1"/>
    <n v="49671.7"/>
    <n v="99343.4"/>
  </r>
  <r>
    <n v="76797"/>
    <s v="BARRIO BRISAS DEL AEROPUERTO CUCUTA 1"/>
    <n v="1101208226"/>
    <s v="3177349237"/>
    <s v="3177349237"/>
    <m/>
    <s v="CL 16 JN  18 56  BRR BRISAS DEL AEROPUERTO"/>
    <s v="7.9176058"/>
    <s v="-72.5120127"/>
    <s v="NORTE DE SANTANDER"/>
    <s v="CÚCUTA"/>
    <s v="CÚCUTA"/>
    <n v="54001"/>
    <s v="2025-09-12"/>
    <n v="1"/>
    <s v="CUCUTA"/>
    <x v="4"/>
    <n v="49671.7"/>
    <n v="49671.7"/>
  </r>
  <r>
    <n v="76767"/>
    <s v="BARRIO MOTILONES CUCUTA 27"/>
    <n v="1090427505"/>
    <s v="3054578681"/>
    <s v="3054578681"/>
    <m/>
    <s v="CL 10 2 86,MOTILONES"/>
    <s v="7.9193139"/>
    <s v="-72.5229241"/>
    <s v="NORTE DE SANTANDER"/>
    <s v="CÚCUTA"/>
    <s v="CÚCUTA"/>
    <n v="54001"/>
    <s v="2025-09-12"/>
    <n v="1"/>
    <s v="CUCUTA"/>
    <x v="4"/>
    <n v="49671.7"/>
    <n v="49671.7"/>
  </r>
  <r>
    <n v="77007"/>
    <s v="BARRIO EL PONDAJE CALI 1"/>
    <n v="14605205"/>
    <s v="3218141378"/>
    <s v="3117147127"/>
    <s v="3218141378"/>
    <s v="CL 72 J 27 A 04 EL PONDAJE"/>
    <s v="3.4303265"/>
    <s v="-76.4953276"/>
    <s v="VALLE DEL CAUCA"/>
    <s v="CALI"/>
    <s v="SANTIAGO DE CALI"/>
    <n v="76001"/>
    <s v="2025-09-12"/>
    <n v="1"/>
    <s v="CALI"/>
    <x v="3"/>
    <n v="37313"/>
    <n v="37313"/>
  </r>
  <r>
    <n v="75733"/>
    <s v="BARRIO HACARITAMA VILLVICENCIO"/>
    <n v="40217253"/>
    <s v="3105774222"/>
    <s v="3105774222"/>
    <s v="3105774222"/>
    <s v="CL 3 D 15 - 33 LC 2 HACARITAMA,HACARITAMA"/>
    <s v="4.127457"/>
    <s v="-73.614685"/>
    <s v="META"/>
    <s v="VILLAVICENCIO"/>
    <s v="VILLAVICENCIO"/>
    <n v="50001"/>
    <s v="2025-09-12"/>
    <n v="1"/>
    <s v="VILLAVICENCIO"/>
    <x v="1"/>
    <n v="49671.7"/>
    <n v="49671.7"/>
  </r>
  <r>
    <n v="77610"/>
    <s v="BARRIO ESTERO VILLAVICENCIO 16"/>
    <n v="1121896940"/>
    <s v="3132549840"/>
    <s v="3106402193"/>
    <s v="3106402193"/>
    <s v="CL 10 N 12 C 112 BRR ESTERO ,ESTERO"/>
    <s v="4.132210"/>
    <s v="-73.615806"/>
    <s v="META"/>
    <s v="VILLAVICENCIO"/>
    <s v="VILLAVICENCIO"/>
    <n v="50001"/>
    <s v="2025-09-12"/>
    <n v="1"/>
    <s v="VILLAVICENCIO"/>
    <x v="1"/>
    <n v="49671.7"/>
    <n v="49671.7"/>
  </r>
  <r>
    <n v="77646"/>
    <s v="BARRIO MANUELA BELTRAN CALI 2"/>
    <n v="1130657534"/>
    <s v="3027268162"/>
    <s v="3027268162"/>
    <s v="3167782806"/>
    <s v="CL 112 26 I 88,MANUELA BELTRAN"/>
    <s v="3.4216284"/>
    <s v="-76.4713245"/>
    <s v="VALLE DEL CAUCA"/>
    <s v="CALI"/>
    <s v="SANTIAGO DE CALI"/>
    <n v="76001"/>
    <s v="2025-09-12"/>
    <n v="1"/>
    <s v="CALI"/>
    <x v="3"/>
    <n v="37313"/>
    <n v="37313"/>
  </r>
  <r>
    <n v="79661"/>
    <s v="BARRIO PACHELY BELLO 1"/>
    <n v="1001508808"/>
    <s v="3006239159"/>
    <s v="3006239159"/>
    <s v="3006239159"/>
    <s v="CL 71 57 80,PACHELY"/>
    <s v="6.3498452"/>
    <s v="-75.5607736"/>
    <s v="ANTIOQUIA"/>
    <s v="BELLO"/>
    <s v="BELLO"/>
    <n v="5088"/>
    <s v="2025-09-12"/>
    <n v="1"/>
    <s v="MEDELLIN"/>
    <x v="0"/>
    <n v="37313"/>
    <n v="37313"/>
  </r>
  <r>
    <n v="79677"/>
    <s v="BARRIO BOSTON MEDELLIN  6"/>
    <n v="1026155632"/>
    <s v="3024341404"/>
    <s v="3024341404"/>
    <s v="3024341404"/>
    <s v="CL 58 A 37 134,BOSTON"/>
    <s v="6.2497001"/>
    <s v="-75.5565854"/>
    <s v="ANTIOQUIA"/>
    <s v="MEDELLÍN"/>
    <s v="MEDELLÍN"/>
    <n v="5001"/>
    <s v="2025-09-12"/>
    <n v="1"/>
    <s v="MEDELLIN"/>
    <x v="0"/>
    <n v="37313"/>
    <n v="37313"/>
  </r>
  <r>
    <n v="77693"/>
    <s v="BARRIO JORGE ELIECER GAITAN POPAYAN"/>
    <n v="1061720272"/>
    <s v="3206828335"/>
    <s v="3133482183"/>
    <s v="3206828335"/>
    <s v="CL 29 10 A 13,JORGE ELIÉCER GAITAN"/>
    <s v="2.4271113"/>
    <s v="-76.6148428"/>
    <s v="CAUCA"/>
    <s v="POPAYÁN"/>
    <s v="POPAYÁN"/>
    <n v="19001"/>
    <s v="2025-09-12"/>
    <n v="1"/>
    <s v="CALI"/>
    <x v="3"/>
    <n v="37313"/>
    <n v="37313"/>
  </r>
  <r>
    <n v="77346"/>
    <s v="BARRIO LA PLAYA CUCUTA  12"/>
    <n v="27592388"/>
    <s v="3108946054"/>
    <s v="3108946054"/>
    <m/>
    <s v="CL 12 NRO 2-22,LA PLAYA"/>
    <s v="7.885404"/>
    <s v="-72.500728"/>
    <s v="NORTE DE SANTANDER"/>
    <s v="CÚCUTA"/>
    <s v="CÚCUTA"/>
    <n v="54001"/>
    <s v="2025-09-12"/>
    <n v="1"/>
    <s v="CUCUTA"/>
    <x v="4"/>
    <n v="49671.7"/>
    <n v="49671.7"/>
  </r>
  <r>
    <n v="77557"/>
    <s v="BARRIO SANTA BARBARA PASTO 7"/>
    <n v="1085688946"/>
    <s v="3162650192"/>
    <s v="3014191045"/>
    <s v="3162650192"/>
    <s v="CL 21 B 1 E 35 BR SANTA BARBARA"/>
    <s v="1.2025918"/>
    <s v="-77.2602616"/>
    <s v="NARIÑO"/>
    <s v="PASTO"/>
    <s v="SAN JUAN DE PASTO"/>
    <n v="52001"/>
    <s v="2025-09-12"/>
    <n v="1"/>
    <s v="PASTO"/>
    <x v="3"/>
    <n v="49671.7"/>
    <n v="49671.7"/>
  </r>
  <r>
    <n v="77538"/>
    <s v="BARRIO OSPINA PEREZ CUCUTA  11"/>
    <n v="1090467638"/>
    <s v="3044877773"/>
    <s v="3044877773"/>
    <m/>
    <s v="CL 17 5-90,OSPINA PEREZ"/>
    <s v="7.9245238"/>
    <s v="-72.5226796"/>
    <s v="NORTE DE SANTANDER"/>
    <s v="CÚCUTA"/>
    <s v="CÚCUTA"/>
    <n v="54001"/>
    <s v="2025-09-12"/>
    <n v="1"/>
    <s v="CUCUTA"/>
    <x v="4"/>
    <n v="49671.7"/>
    <n v="49671.7"/>
  </r>
  <r>
    <n v="77689"/>
    <s v="BARRIO CAROLINA PASTO"/>
    <n v="1085293812"/>
    <s v="3114141000"/>
    <s v="3114141000"/>
    <s v="3108452153"/>
    <s v="CL 26 B 1 - 04 LC 5 CONJ BALCONES DE LA CAROLINA"/>
    <s v="1.2113804"/>
    <s v="-77.2607848"/>
    <s v="NARIÑO"/>
    <s v="PASTO"/>
    <s v="SAN JUAN DE PASTO"/>
    <n v="52001"/>
    <s v="2025-09-12"/>
    <n v="1"/>
    <s v="PASTO"/>
    <x v="3"/>
    <n v="49671.7"/>
    <n v="49671.7"/>
  </r>
  <r>
    <n v="14541"/>
    <s v="BARRIO SERVIVIENDA - CALI"/>
    <n v="94399946"/>
    <s v="3160247"/>
    <s v="3166360581"/>
    <s v="3166360581"/>
    <s v=" CR 96 OESTE  1-11"/>
    <s v="3.3731250"/>
    <s v="-76.5546483"/>
    <s v="VALLE DEL CAUCA"/>
    <s v="CALI"/>
    <s v="SANTIAGO DE CALI"/>
    <n v="76001"/>
    <s v="2025-09-15"/>
    <n v="1"/>
    <s v="CALI"/>
    <x v="3"/>
    <n v="37313"/>
    <n v="37313"/>
  </r>
  <r>
    <n v="26955"/>
    <s v="BARRIO EL DORADO BOGOTA"/>
    <n v="7310888"/>
    <s v="7557670"/>
    <s v="3186053537"/>
    <s v="3186053537"/>
    <s v=" DG 1 7 B 62 ESTE  "/>
    <s v="4.5803687"/>
    <s v="-74.0724118"/>
    <s v="CUNDINAMARCA"/>
    <s v="BOGOTÁ"/>
    <s v="BOGOTÁ"/>
    <n v="11001"/>
    <s v="2025-09-15"/>
    <n v="1"/>
    <s v="BOGOTA"/>
    <x v="2"/>
    <n v="37313"/>
    <n v="37313"/>
  </r>
  <r>
    <n v="12698"/>
    <s v="BARRIO CUIDAD DE LA LUZ - IBAGUE "/>
    <n v="65779492"/>
    <s v="2675479"/>
    <s v="3137544231"/>
    <s v="3137544231"/>
    <s v=" MZ D CS 1 URB CIUDAD LUZ"/>
    <s v="4.4333738"/>
    <s v="-75.1880333"/>
    <s v="TOLIMA"/>
    <s v="IBAGUÉ"/>
    <s v="IBAGUÉ"/>
    <n v="73001"/>
    <s v="2025-09-15"/>
    <n v="1"/>
    <s v="IBAGUE"/>
    <x v="1"/>
    <n v="49671.7"/>
    <n v="49671.7"/>
  </r>
  <r>
    <n v="15204"/>
    <s v="BARRIO ARIZONA VALLEDUPAR"/>
    <n v="2768290"/>
    <s v="5734978"/>
    <s v="3002353107"/>
    <s v="3002353107"/>
    <s v=" CL 5A  19A-04"/>
    <s v="10.48641104"/>
    <s v="-73.2645359"/>
    <s v="CESAR"/>
    <s v="VALLEDUPAR"/>
    <s v="VALLEDUPAR"/>
    <n v="20001"/>
    <s v="2025-09-15"/>
    <n v="1"/>
    <s v="VALLEDUPAR"/>
    <x v="5"/>
    <n v="49671.7"/>
    <n v="49671.7"/>
  </r>
  <r>
    <n v="17275"/>
    <s v="BARRIO EL REFUGIO II CALI"/>
    <n v="5348523"/>
    <s v="3244815"/>
    <s v="3147760314"/>
    <s v="3147760314"/>
    <s v=" CR 66  3C-05"/>
    <s v="3.3982880"/>
    <s v="-76.5480828"/>
    <s v="VALLE DEL CAUCA"/>
    <s v="CALI"/>
    <s v="SANTIAGO DE CALI"/>
    <n v="76001"/>
    <s v="2025-09-15"/>
    <n v="1"/>
    <s v="CALI"/>
    <x v="3"/>
    <n v="37313"/>
    <n v="37313"/>
  </r>
  <r>
    <n v="26988"/>
    <s v="BARRIO JORDAN CALI"/>
    <n v="40987329"/>
    <s v="3160360"/>
    <s v="3128333914"/>
    <s v="3128333914"/>
    <s v=" CR 94 2 92"/>
    <s v="3.3766441"/>
    <s v="-76.5517867"/>
    <s v="VALLE DEL CAUCA"/>
    <s v="CALI"/>
    <s v="SANTIAGO DE CALI"/>
    <n v="76001"/>
    <s v="2025-09-15"/>
    <n v="2"/>
    <s v="CALI"/>
    <x v="3"/>
    <n v="37313"/>
    <n v="74626"/>
  </r>
  <r>
    <n v="12945"/>
    <s v="BARRIO CENTRO - TUNJA"/>
    <n v="24221747"/>
    <s v="7409685"/>
    <s v="3138297778"/>
    <s v="3138297778"/>
    <s v=" CR 14  21-57 CENTRO TUNJA"/>
    <s v="5.53624847"/>
    <s v="-73.36517832"/>
    <s v="BOYACÁ"/>
    <s v="TUNJA"/>
    <s v="TUNJA"/>
    <n v="15001"/>
    <s v="2025-09-15"/>
    <n v="1"/>
    <s v="TUNJA"/>
    <x v="4"/>
    <n v="49671.7"/>
    <n v="49671.7"/>
  </r>
  <r>
    <n v="27883"/>
    <s v="BARRIO POPULAR - VILLAVICENCIO"/>
    <n v="1121883126"/>
    <s v="6703293"/>
    <s v="3163968008"/>
    <s v="3163968008"/>
    <s v=" CL 25  10 A 75"/>
    <s v="4.139792"/>
    <s v="-73.612364"/>
    <s v="META"/>
    <s v="VILLAVICENCIO"/>
    <s v="VILLAVICENCIO"/>
    <n v="50001"/>
    <s v="2025-09-15"/>
    <n v="1"/>
    <s v="VILLAVICENCIO"/>
    <x v="1"/>
    <n v="49671.7"/>
    <n v="49671.7"/>
  </r>
  <r>
    <n v="21450"/>
    <s v="BARRIO ALPES - BARRANQUILLA"/>
    <n v="22621920"/>
    <s v="3591116"/>
    <s v="3004443729"/>
    <s v="3004443729"/>
    <s v=" CL 84  42C13  ANQUILLA  ANQUILLA ATLANTICO"/>
    <s v="10.9945665"/>
    <s v="-74.8239112"/>
    <s v="ATLÁNTICO"/>
    <s v="BARRANQUILLA"/>
    <s v="BARRANQUILLA"/>
    <n v="8001"/>
    <s v="2025-09-15"/>
    <n v="1"/>
    <s v="BARRANQUILLA"/>
    <x v="5"/>
    <n v="37313"/>
    <n v="37313"/>
  </r>
  <r>
    <n v="23562"/>
    <s v="BARRIO PIZARREAL I - LOS PATIOS"/>
    <n v="88220235"/>
    <s v="5874141"/>
    <s v="3245594142"/>
    <s v="3245594142"/>
    <s v=" AV 10 CL 8 KDX 55"/>
    <s v="7.808195889106744"/>
    <s v="-72.5172640872009"/>
    <s v="NORTE DE SANTANDER"/>
    <s v="LOS PATIOS"/>
    <s v="LOS PATIOS"/>
    <n v="54405"/>
    <s v="2025-09-15"/>
    <n v="1"/>
    <s v="CUCUTA"/>
    <x v="4"/>
    <n v="49671.7"/>
    <n v="49671.7"/>
  </r>
  <r>
    <n v="23637"/>
    <s v="BARRIO CAROLA - MANIZALES "/>
    <n v="9845745"/>
    <s v="8724468"/>
    <s v="3104423282"/>
    <s v="3104423282"/>
    <s v=" CR 11 57 D 20"/>
    <s v="5.0669193"/>
    <s v="-75.4891373"/>
    <s v="CALDAS"/>
    <s v="MANIZALES"/>
    <s v="MANIZALES"/>
    <n v="17001"/>
    <s v="2025-09-15"/>
    <n v="2"/>
    <s v="MANIZALES"/>
    <x v="6"/>
    <n v="49671.7"/>
    <n v="99343.4"/>
  </r>
  <r>
    <n v="16166"/>
    <s v="BARRIO HAYUELOS BOGOTA"/>
    <n v="23276686"/>
    <s v="3568638"/>
    <s v="3107732443"/>
    <s v="3107732443"/>
    <s v=" CL 19A  91-05 LC-1 HAYUELOS"/>
    <s v="4.6659561"/>
    <s v="-74.1364781"/>
    <s v="CUNDINAMARCA"/>
    <s v="BOGOTÁ"/>
    <s v="BOGOTÁ"/>
    <n v="11001"/>
    <s v="2025-09-15"/>
    <n v="1"/>
    <s v="BOGOTA"/>
    <x v="2"/>
    <n v="37313"/>
    <n v="37313"/>
  </r>
  <r>
    <n v="24009"/>
    <s v="CORREGIMIENTO EL ENCANO - PASTO"/>
    <n v="98383266"/>
    <s v="7201963"/>
    <s v="3103945677"/>
    <s v="3103945677"/>
    <s v="CGT DEL ENCANO AV LIBERTAD CA 85"/>
    <s v="1.161836"/>
    <s v="-77.154891"/>
    <s v="NARIÑO"/>
    <s v="PASTO"/>
    <s v="SAN JUAN DE PASTO"/>
    <n v="52001"/>
    <s v="2025-09-15"/>
    <n v="1"/>
    <s v="PASTO"/>
    <x v="3"/>
    <n v="49671.7"/>
    <n v="49671.7"/>
  </r>
  <r>
    <n v="24130"/>
    <s v="BARRIO ALAMOS NORTE III - NEIVA"/>
    <n v="7732888"/>
    <s v="8767316"/>
    <s v="3134757966"/>
    <s v="3134757966"/>
    <s v=" CL 50  20B 04 NEIVA NEIVA HUILA"/>
    <s v="2.254957"/>
    <s v="-75.769982"/>
    <s v="HUILA"/>
    <s v="NEIVA"/>
    <s v="NEIVA"/>
    <n v="41001"/>
    <s v="2025-09-15"/>
    <n v="2"/>
    <s v="NEIVA"/>
    <x v="1"/>
    <n v="49671.7"/>
    <n v="99343.4"/>
  </r>
  <r>
    <n v="28952"/>
    <s v="BARRIO NIQUIA CAMACOL BELLO ANTIOQUIA"/>
    <n v="4558914"/>
    <s v="4830025"/>
    <s v="3508201025"/>
    <s v="3508201025"/>
    <s v=" DG 65 47 B 10"/>
    <s v="6.3466233"/>
    <s v="-75.5549733"/>
    <s v="ANTIOQUIA"/>
    <s v="BELLO"/>
    <s v="BELLO"/>
    <n v="5088"/>
    <s v="2025-09-15"/>
    <n v="1"/>
    <s v="MEDELLIN"/>
    <x v="0"/>
    <n v="37313"/>
    <n v="37313"/>
  </r>
  <r>
    <n v="29984"/>
    <s v="BARRIO EL DEPARTAMENTAL - CALI "/>
    <n v="31168813"/>
    <s v="3367050"/>
    <s v="3164424223"/>
    <s v="3164424223"/>
    <s v=" CR 39 12 52 10L"/>
    <s v="3.4197236"/>
    <s v="-76.5326377"/>
    <s v="VALLE DEL CAUCA"/>
    <s v="CALI"/>
    <s v="SANTIAGO DE CALI"/>
    <n v="76001"/>
    <s v="2025-09-15"/>
    <n v="1"/>
    <s v="CALI"/>
    <x v="3"/>
    <n v="37313"/>
    <n v="37313"/>
  </r>
  <r>
    <n v="18383"/>
    <s v="BARRIO SAN PEDRO MARTIR III CARTAGENA"/>
    <n v="73117070"/>
    <s v="6743363"/>
    <s v="3114147669"/>
    <s v="3114147669"/>
    <s v=" CL 68 B  7-200 SAN PEDRO MARTIR "/>
    <s v="10.378243"/>
    <s v="-75.4866675"/>
    <s v="BOLÍVAR"/>
    <s v="CARTAGENA DE INDIAS"/>
    <s v="CARTAGENA DE INDIAS"/>
    <n v="13001"/>
    <s v="2025-09-15"/>
    <n v="1"/>
    <s v="CARTAGENA"/>
    <x v="5"/>
    <n v="49671.7"/>
    <n v="49671.7"/>
  </r>
  <r>
    <n v="35410"/>
    <s v="BARRIO PARQUE ITAGUI 6"/>
    <n v="43872283"/>
    <s v="3774570"/>
    <s v="3006008585"/>
    <s v="3006008585"/>
    <s v=" CR 50 51 29 IN 101"/>
    <s v="6.1724832"/>
    <s v="-75.6086087"/>
    <s v="ANTIOQUIA"/>
    <s v="ITAGÜÍ"/>
    <s v="ITAGÜÍ"/>
    <n v="5360"/>
    <s v="2025-09-15"/>
    <n v="3"/>
    <s v="MEDELLIN"/>
    <x v="0"/>
    <n v="37313"/>
    <n v="111939"/>
  </r>
  <r>
    <n v="35408"/>
    <s v="BARRIO VILLA PAULA ITAGUI"/>
    <n v="43746561"/>
    <s v="3628751"/>
    <s v="3117879566"/>
    <s v="3117879566"/>
    <s v=" CR 52 55 05"/>
    <s v="6.1751042"/>
    <s v="-75.6066929"/>
    <s v="ANTIOQUIA"/>
    <s v="ITAGÜÍ"/>
    <s v="ITAGÜÍ"/>
    <n v="5360"/>
    <s v="2025-09-15"/>
    <n v="1"/>
    <s v="MEDELLIN"/>
    <x v="0"/>
    <n v="37313"/>
    <n v="37313"/>
  </r>
  <r>
    <n v="36495"/>
    <s v="BARRIO EL PARAMO"/>
    <n v="60410614"/>
    <s v="5706755"/>
    <s v="3166923051"/>
    <s v="3166923051"/>
    <s v="CL 13   10 55"/>
    <s v="7.82647724"/>
    <s v="-72.47510678"/>
    <s v="NORTE DE SANTANDER"/>
    <s v="VILLA DEL ROSARIO"/>
    <s v="VILLA DEL ROSARIO"/>
    <n v="54874"/>
    <s v="2025-09-15"/>
    <n v="1"/>
    <s v="CUCUTA"/>
    <x v="4"/>
    <n v="49671.7"/>
    <n v="49671.7"/>
  </r>
  <r>
    <n v="23010"/>
    <s v="BARRIO LOMA DE LOS BALSOS - MEDELLÍN"/>
    <n v="43283649"/>
    <s v="3213228"/>
    <s v="3147046329"/>
    <s v="3147046329"/>
    <s v=" CR 25 12 SUR 59 LC 201"/>
    <s v="6.1862829"/>
    <s v="-75.5622305"/>
    <s v="ANTIOQUIA"/>
    <s v="MEDELLÍN"/>
    <s v="MEDELLÍN"/>
    <n v="5001"/>
    <s v="2025-09-15"/>
    <n v="1"/>
    <s v="MEDELLIN"/>
    <x v="0"/>
    <n v="37313"/>
    <n v="37313"/>
  </r>
  <r>
    <n v="27599"/>
    <s v="BARRIO ENGATIVA 10 - BOGOTÁ"/>
    <n v="79568140"/>
    <s v="2234446"/>
    <s v="3115066136"/>
    <s v="3115066136"/>
    <s v="CR 86 88 41"/>
    <s v="4.7088838"/>
    <s v="-74.0959467"/>
    <s v="CUNDINAMARCA"/>
    <s v="BOGOTÁ"/>
    <s v="BOGOTÁ"/>
    <n v="11001"/>
    <s v="2025-09-15"/>
    <n v="1"/>
    <s v="BOGOTA"/>
    <x v="2"/>
    <n v="37313"/>
    <n v="37313"/>
  </r>
  <r>
    <n v="34777"/>
    <s v="BARRIO BELLO HORIZONTE  1 YOPAL"/>
    <n v="13723035"/>
    <s v="6332989"/>
    <s v="3212401337"/>
    <s v="3212401337"/>
    <s v=" CL 10 21 82"/>
    <s v="5.3157913"/>
    <s v="-72.3945208"/>
    <s v="CASANARE"/>
    <s v="YOPAL"/>
    <s v="YOPAL"/>
    <n v="85001"/>
    <s v="2025-09-15"/>
    <n v="1"/>
    <s v="YOPAL"/>
    <x v="1"/>
    <n v="49671.7"/>
    <n v="49671.7"/>
  </r>
  <r>
    <n v="27489"/>
    <s v="URB LOS JARDINEZ - CARTAGENA DE INDIAS"/>
    <n v="32779728"/>
    <s v="6714383"/>
    <s v="3104993004"/>
    <s v="3104993004"/>
    <s v=" MZ H LT31"/>
    <s v="10.4334999"/>
    <s v="-75.529655"/>
    <s v="BOLÍVAR"/>
    <s v="CARTAGENA DE INDIAS"/>
    <s v="CARTAGENA DE INDIAS"/>
    <n v="13001"/>
    <s v="2025-09-15"/>
    <n v="1"/>
    <s v="CARTAGENA"/>
    <x v="5"/>
    <n v="49671.7"/>
    <n v="49671.7"/>
  </r>
  <r>
    <n v="30609"/>
    <s v="BARRIO _x0009_CENTRO 19"/>
    <n v="46667077"/>
    <s v="7634014"/>
    <s v="3143572601"/>
    <s v="3143572601"/>
    <s v=" CR 15 17 21"/>
    <s v="5.517865"/>
    <s v="-73.363868"/>
    <s v="BOYACÁ"/>
    <s v="DUITAMA"/>
    <s v="DUITAMA"/>
    <n v="15238"/>
    <s v="2025-09-15"/>
    <n v="1"/>
    <s v="TUNJA"/>
    <x v="4"/>
    <n v="49671.7"/>
    <n v="49671.7"/>
  </r>
  <r>
    <n v="32849"/>
    <s v="BARRIO EL RESURGIMIENTO YOPAL"/>
    <n v="74270469"/>
    <s v="6347040"/>
    <s v="3104420906"/>
    <s v="3133260814"/>
    <s v=" CL 15 18 13  LA ESPERANZA"/>
    <s v="5.3422143"/>
    <s v="-72.3993092"/>
    <s v="CASANARE"/>
    <s v="YOPAL"/>
    <s v="YOPAL"/>
    <n v="85001"/>
    <s v="2025-09-15"/>
    <n v="1"/>
    <s v="YOPAL"/>
    <x v="1"/>
    <n v="49671.7"/>
    <n v="49671.7"/>
  </r>
  <r>
    <n v="11491"/>
    <s v="BARRIO LAS AMERICAS - POPAYAN"/>
    <n v="25291357"/>
    <s v="8373010"/>
    <s v="3147191161"/>
    <s v="3147191161"/>
    <s v=" CR 17  12-101"/>
    <s v="2.4376292"/>
    <s v="-76.615798"/>
    <s v="CAUCA"/>
    <s v="POPAYÁN"/>
    <s v="POPAYÁN"/>
    <n v="19001"/>
    <s v="2025-09-15"/>
    <n v="1"/>
    <s v="CALI"/>
    <x v="3"/>
    <n v="37313"/>
    <n v="37313"/>
  </r>
  <r>
    <n v="15396"/>
    <s v="BARRIO BOYACA DUITAMA"/>
    <n v="9520132"/>
    <s v="7967712"/>
    <s v="3105795199"/>
    <s v="3105795199"/>
    <s v=" MZ 2 CS 17"/>
    <s v="5.8258090"/>
    <s v="-73.0452845"/>
    <s v="BOYACÁ"/>
    <s v="DUITAMA"/>
    <s v="DUITAMA"/>
    <n v="15238"/>
    <s v="2025-09-15"/>
    <n v="1"/>
    <s v="TUNJA"/>
    <x v="4"/>
    <n v="49671.7"/>
    <n v="49671.7"/>
  </r>
  <r>
    <n v="27605"/>
    <s v="BARRIO NIQUIA 9 - BELLO"/>
    <n v="98472903"/>
    <s v="4228039"/>
    <s v="3136001418"/>
    <s v="3136001418"/>
    <s v=" DG 62 37 B 12"/>
    <s v="6.3447433"/>
    <s v="-75.5457983"/>
    <s v="ANTIOQUIA"/>
    <s v="BELLO"/>
    <s v="BELLO"/>
    <n v="5088"/>
    <s v="2025-09-15"/>
    <n v="1"/>
    <s v="MEDELLIN"/>
    <x v="0"/>
    <n v="37313"/>
    <n v="37313"/>
  </r>
  <r>
    <n v="32107"/>
    <s v="BARRIO ALFONSO LOPEZ 2 BUCARAMANGA"/>
    <n v="37616293"/>
    <s v="6422498"/>
    <s v="3155473161"/>
    <s v="3155473161"/>
    <s v=" CR 8 41 66"/>
    <s v="7.7454329"/>
    <s v="-73.0564321"/>
    <s v="SANTANDER"/>
    <s v="BUCARAMANGA"/>
    <s v="BUCARAMANGA"/>
    <n v="68001"/>
    <s v="2025-09-15"/>
    <n v="1"/>
    <s v="BUCARAMANGA"/>
    <x v="4"/>
    <n v="37313"/>
    <n v="37313"/>
  </r>
  <r>
    <n v="26299"/>
    <s v="BARRIO CABECERA 2  BUCARAMANGA"/>
    <n v="37816204"/>
    <s v="6430760"/>
    <s v="3012043127"/>
    <s v="3012043127"/>
    <s v=" CR 35 A 49 07 LC 303 CE CABECERA 4 ET"/>
    <s v="7.11516884"/>
    <s v="-73.10914978"/>
    <s v="SANTANDER"/>
    <s v="BUCARAMANGA"/>
    <s v="BUCARAMANGA"/>
    <n v="68001"/>
    <s v="2025-09-15"/>
    <n v="1"/>
    <s v="BUCARAMANGA"/>
    <x v="4"/>
    <n v="37313"/>
    <n v="37313"/>
  </r>
  <r>
    <n v="30567"/>
    <s v="BARRIO MANDALAY  2  CALDAS"/>
    <n v="1027945040"/>
    <s v="3388535"/>
    <s v="3115189870"/>
    <s v="3115189870"/>
    <s v=" CL 140 SUR 50 21"/>
    <s v="6.0827209"/>
    <s v="-75.6351244"/>
    <s v="ANTIOQUIA"/>
    <s v="CALDAS"/>
    <s v="CALDAS"/>
    <n v="5129"/>
    <s v="2025-09-15"/>
    <n v="1"/>
    <s v="MEDELLIN"/>
    <x v="0"/>
    <n v="37313"/>
    <n v="37313"/>
  </r>
  <r>
    <n v="34795"/>
    <s v="BARRIO ALMENDROS 1 SOLEDAD"/>
    <n v="32767640"/>
    <s v="3805330"/>
    <s v="3013816131"/>
    <s v="3013816131"/>
    <s v=" CR 21 76C 10"/>
    <s v="10.9180143"/>
    <s v="-74.8130219"/>
    <s v="ATLÁNTICO"/>
    <s v="SOLEDAD"/>
    <s v="SOLEDAD"/>
    <n v="8758"/>
    <s v="2025-09-15"/>
    <n v="1"/>
    <s v="BARRANQUILLA"/>
    <x v="5"/>
    <n v="37313"/>
    <n v="37313"/>
  </r>
  <r>
    <n v="25005"/>
    <s v="CENTRO YOPAL III - CASANARE"/>
    <n v="63273874"/>
    <s v="6358869"/>
    <s v="3212082248"/>
    <s v="3212082248"/>
    <s v=" CR 20  6 70 CENTRO"/>
    <s v="1.3337159"/>
    <s v="-74.8431823"/>
    <s v="CASANARE"/>
    <s v="YOPAL"/>
    <s v="YOPAL"/>
    <n v="85001"/>
    <s v="2025-09-15"/>
    <n v="1"/>
    <s v="YOPAL"/>
    <x v="1"/>
    <n v="49671.7"/>
    <n v="49671.7"/>
  </r>
  <r>
    <n v="26408"/>
    <s v="BARRIO MINUTO DE DIOS IV BOGOTA"/>
    <n v="52621584"/>
    <s v="5382984"/>
    <s v="3134435559"/>
    <s v="3134435559"/>
    <s v=" CR 73 A 81 A 02"/>
    <s v="4.69795822"/>
    <s v="-74.09010828"/>
    <s v="CUNDINAMARCA"/>
    <s v="BOGOTÁ"/>
    <s v="BOGOTÁ"/>
    <n v="11001"/>
    <s v="2025-09-15"/>
    <n v="1"/>
    <s v="BOGOTA"/>
    <x v="2"/>
    <n v="37313"/>
    <n v="37313"/>
  </r>
  <r>
    <n v="46216"/>
    <s v="BARRIO LA ESTRELLA LA ESTRELLA 2"/>
    <n v="43189315"/>
    <m/>
    <s v="3059207589"/>
    <s v="3059207589"/>
    <s v="CL 80 SUR 56 B 11 ,LA ESTRELLA"/>
    <s v="6.1561307"/>
    <s v="-75.6392866"/>
    <s v="ANTIOQUIA"/>
    <s v="LA ESTRELLA"/>
    <s v="LA ESTRELLA"/>
    <n v="5380"/>
    <s v="2025-09-15"/>
    <n v="2"/>
    <s v="MEDELLIN"/>
    <x v="0"/>
    <n v="37313"/>
    <n v="74626"/>
  </r>
  <r>
    <n v="36119"/>
    <s v="BARRIO MARIO CORREA RENGIFO CALI"/>
    <n v="29926289"/>
    <s v="3238702"/>
    <s v="3217593960"/>
    <s v="3217593960"/>
    <s v=" CR 75  1BIS 45"/>
    <s v="3.3885848"/>
    <s v="-76.5572458"/>
    <s v="VALLE DEL CAUCA"/>
    <s v="CALI"/>
    <s v="SANTIAGO DE CALI"/>
    <n v="76001"/>
    <s v="2025-09-15"/>
    <n v="1"/>
    <s v="CALI"/>
    <x v="3"/>
    <n v="37313"/>
    <n v="37313"/>
  </r>
  <r>
    <n v="42356"/>
    <s v="BARRIO CENTRO MEDELLIN 50"/>
    <n v="42886017"/>
    <s v="5134720"/>
    <s v="3117622185"/>
    <s v="3505009581"/>
    <s v="CR 52 45 77 LOC 107,CENTRO"/>
    <s v="6.2469292"/>
    <s v="-75.5709404"/>
    <s v="ANTIOQUIA"/>
    <s v="MEDELLÍN"/>
    <s v="MEDELLÍN"/>
    <n v="5001"/>
    <s v="2025-09-15"/>
    <n v="3"/>
    <s v="MEDELLIN"/>
    <x v="0"/>
    <n v="37313"/>
    <n v="111939"/>
  </r>
  <r>
    <n v="47290"/>
    <s v="BARRIO BARZAL VILLAVICENCIO 7"/>
    <n v="1099206576"/>
    <s v="0"/>
    <s v="3003480163"/>
    <s v="3003480163"/>
    <s v="CL 35 N 35 - 57 LOCAL 4,BARZAL"/>
    <s v="4.147151"/>
    <s v="-73.638636"/>
    <s v="META"/>
    <s v="VILLAVICENCIO"/>
    <s v="VILLAVICENCIO"/>
    <n v="50001"/>
    <s v="2025-09-15"/>
    <n v="1"/>
    <s v="VILLAVICENCIO"/>
    <x v="1"/>
    <n v="49671.7"/>
    <n v="49671.7"/>
  </r>
  <r>
    <n v="42525"/>
    <s v="BARRIO ANTONIA SANTOS BUCARAMANGA 2"/>
    <n v="1116865333"/>
    <s v="7004481"/>
    <s v="3202725857"/>
    <s v="3202725857"/>
    <s v="CR 26 31 70 EDIFICIO VERDETTO P.H.B,ANTONIA SANTOS"/>
    <s v="7.1241878"/>
    <s v="-73.1193933"/>
    <s v="SANTANDER"/>
    <s v="BUCARAMANGA"/>
    <s v="BUCARAMANGA"/>
    <n v="68001"/>
    <s v="2025-09-15"/>
    <n v="1"/>
    <s v="BUCARAMANGA"/>
    <x v="4"/>
    <n v="37313"/>
    <n v="37313"/>
  </r>
  <r>
    <n v="45596"/>
    <s v="BARRIO CENTRO TUNJA 11"/>
    <n v="6775845"/>
    <s v="3124607125"/>
    <s v="3124607125"/>
    <s v="3124607125"/>
    <s v="CR 9 17 24,CENTRO"/>
    <s v="5.530"/>
    <s v="-73.362"/>
    <s v="BOYACÁ"/>
    <s v="TUNJA"/>
    <s v="TUNJA"/>
    <n v="15001"/>
    <s v="2025-09-15"/>
    <n v="1"/>
    <s v="TUNJA"/>
    <x v="4"/>
    <n v="49671.7"/>
    <n v="49671.7"/>
  </r>
  <r>
    <n v="46609"/>
    <s v="BARRIO ALQUERIA LA FRAGUA BOGOTA"/>
    <n v="1036220901"/>
    <s v="9308853"/>
    <s v="3212834225"/>
    <s v="3046840800"/>
    <s v="CL 39 SUR 68 G 78.ALQUERÍA LA FRAGUA"/>
    <s v="4.6043015"/>
    <s v="-74.139398"/>
    <s v="CUNDINAMARCA"/>
    <s v="BOGOTÁ"/>
    <s v="BOGOTÁ"/>
    <n v="11001"/>
    <s v="2025-09-15"/>
    <n v="1"/>
    <s v="BOGOTA"/>
    <x v="2"/>
    <n v="37313"/>
    <n v="37313"/>
  </r>
  <r>
    <n v="48546"/>
    <s v="BARRIO CIUDAD DORADA ARMENIA 1"/>
    <n v="89007597"/>
    <s v="0"/>
    <s v="3104057983"/>
    <s v="3104057983"/>
    <s v="BRR CIUDAD DORADA MZ 44 CA 20,CIUDAD DORADA"/>
    <s v="4.5284532"/>
    <s v="-75.7044763"/>
    <s v="QUINDÍO"/>
    <s v="ARMENIA"/>
    <s v="ARMENIA"/>
    <n v="63001"/>
    <s v="2025-09-15"/>
    <n v="1"/>
    <s v="PEREIRA"/>
    <x v="6"/>
    <n v="37313"/>
    <n v="37313"/>
  </r>
  <r>
    <n v="46674"/>
    <s v="BARRIO EL CENTRO YOPAL 3"/>
    <n v="1118551744"/>
    <s v="0"/>
    <s v="3213968458"/>
    <s v="3213968458"/>
    <s v="CR 21  10 - 06  BRR El centro"/>
    <s v="5.3470663"/>
    <s v="-72.3990780"/>
    <s v="CASANARE"/>
    <s v="YOPAL"/>
    <s v="YOPAL"/>
    <n v="85001"/>
    <s v="2025-09-15"/>
    <n v="1"/>
    <s v="YOPAL"/>
    <x v="1"/>
    <n v="49671.7"/>
    <n v="49671.7"/>
  </r>
  <r>
    <n v="48397"/>
    <s v="BARRIO POBLADO 2 PEREIRA"/>
    <n v="1088339790"/>
    <s v="0"/>
    <s v="3144548696"/>
    <s v="3144548696"/>
    <s v="MZ 38 CA 34 BRR POBLADO 2"/>
    <s v="4.80174638"/>
    <s v="-75.706671"/>
    <s v="RISARALDA"/>
    <s v="PEREIRA"/>
    <s v="PEREIRA"/>
    <n v="66001"/>
    <s v="2025-09-15"/>
    <n v="1"/>
    <s v="PEREIRA"/>
    <x v="6"/>
    <n v="37313"/>
    <n v="37313"/>
  </r>
  <r>
    <n v="48468"/>
    <s v="BARRIO ALFONSO LOPEZ BUCARAMANGA 3"/>
    <n v="1098695596"/>
    <s v="3134418666"/>
    <s v="3134418666"/>
    <s v="3167730309"/>
    <s v="calle 37 # 6-59"/>
    <s v="7.1165610"/>
    <s v="-73.1241450"/>
    <s v="SANTANDER"/>
    <s v="BUCARAMANGA"/>
    <s v="BUCARAMANGA"/>
    <n v="68001"/>
    <s v="2025-09-15"/>
    <n v="1"/>
    <s v="BUCARAMANGA"/>
    <x v="4"/>
    <n v="37313"/>
    <n v="37313"/>
  </r>
  <r>
    <n v="49776"/>
    <s v="BARRIO SANTA INES NEIVA 2"/>
    <n v="1075269714"/>
    <s v="0"/>
    <s v="3144637147"/>
    <s v="3185552078"/>
    <s v="CR 6 W 31 16 LOCAL 2,SANTA INES"/>
    <s v="2.9464780"/>
    <s v="-75.3017800"/>
    <s v="HUILA"/>
    <s v="NEIVA"/>
    <s v="NEIVA"/>
    <n v="41001"/>
    <s v="2025-09-15"/>
    <n v="1"/>
    <s v="NEIVA"/>
    <x v="1"/>
    <n v="49671.7"/>
    <n v="49671.7"/>
  </r>
  <r>
    <n v="45689"/>
    <s v="BARRIO EL DORADO BOGOTA 1"/>
    <n v="41782081"/>
    <m/>
    <s v="3118682780"/>
    <s v="3118682780"/>
    <s v="CR 5 ESTE NO. 2 C -25,EL DORADO"/>
    <s v="4.586254"/>
    <s v="-74.0715016"/>
    <s v="CUNDINAMARCA"/>
    <s v="BOGOTÁ"/>
    <s v="BOGOTÁ"/>
    <n v="11001"/>
    <s v="2025-09-15"/>
    <n v="1"/>
    <s v="BOGOTA"/>
    <x v="2"/>
    <n v="37313"/>
    <n v="37313"/>
  </r>
  <r>
    <n v="49316"/>
    <s v="BARRIO LA MARIA ORIENTE POPAYAN"/>
    <n v="4616200"/>
    <s v="0"/>
    <s v="3148625973"/>
    <s v="3148625973"/>
    <s v="CL 17 A 1 B. E 74,LA MARÍA ORIENTE"/>
    <s v="2.4307527"/>
    <s v="-76.6010066"/>
    <s v="CAUCA"/>
    <s v="POPAYÁN"/>
    <s v="POPAYÁN"/>
    <n v="19001"/>
    <s v="2025-09-15"/>
    <n v="1"/>
    <s v="CALI"/>
    <x v="3"/>
    <n v="37313"/>
    <n v="37313"/>
  </r>
  <r>
    <n v="52651"/>
    <s v="BARRIO CENTRO YOPAL"/>
    <n v="1118532742"/>
    <s v="0"/>
    <s v="3138930296"/>
    <s v="3138930296"/>
    <s v="CL 9 A 18 37 LAT 5,CENTRO"/>
    <s v="5.3465011"/>
    <s v="-72.4015017"/>
    <s v="CASANARE"/>
    <s v="YOPAL"/>
    <s v="YOPAL"/>
    <n v="85001"/>
    <s v="2025-09-15"/>
    <n v="1"/>
    <s v="YOPAL"/>
    <x v="1"/>
    <n v="49671.7"/>
    <n v="49671.7"/>
  </r>
  <r>
    <n v="39423"/>
    <s v="BARRIO MORICHAL CALI 2"/>
    <n v="27433552"/>
    <s v="3765230"/>
    <s v="3146318098"/>
    <s v="3146318098"/>
    <s v=" CL 56 42 70 MORICHAL"/>
    <s v="3.3997902"/>
    <s v="-76.5023221"/>
    <s v="VALLE DEL CAUCA"/>
    <s v="CALI"/>
    <s v="SANTIAGO DE CALI"/>
    <n v="76001"/>
    <s v="2025-09-15"/>
    <n v="1"/>
    <s v="CALI"/>
    <x v="3"/>
    <n v="37313"/>
    <n v="37313"/>
  </r>
  <r>
    <n v="46659"/>
    <s v="BARRIO TERRANOVA SANTA MARTA 1"/>
    <n v="901286229"/>
    <s v="3154262729"/>
    <s v="3154262729"/>
    <s v="3177191705"/>
    <s v="MZ 3 CA 33 URB LAS CASAS SECTOR TERRANOVA,TERRANOVA"/>
    <s v="11.20987952"/>
    <s v="-74.17818136"/>
    <s v="MAGDALENA"/>
    <s v="SANTA MARTA"/>
    <s v="SANTA MARTA"/>
    <n v="47001"/>
    <s v="2025-09-15"/>
    <n v="1"/>
    <s v="SANTA MARTA"/>
    <x v="5"/>
    <n v="49671.7"/>
    <n v="49671.7"/>
  </r>
  <r>
    <n v="37146"/>
    <s v="BARRIO VILLA HERMOSA MANIZALES 1"/>
    <n v="901253684"/>
    <s v="8768376"/>
    <s v="3122966459"/>
    <s v="3122966459"/>
    <s v=" CL 54 B 12 A 04 VILLA HERMOSA"/>
    <s v="5.0686458"/>
    <s v="-75.4916923"/>
    <s v="CALDAS"/>
    <s v="MANIZALES"/>
    <s v="MANIZALES"/>
    <n v="17001"/>
    <s v="2025-09-15"/>
    <n v="3"/>
    <s v="MANIZALES"/>
    <x v="6"/>
    <n v="49671.7"/>
    <n v="149015.09999999998"/>
  </r>
  <r>
    <n v="50845"/>
    <s v="BARRIO VILLANUEVA BOGOTA"/>
    <n v="41640520"/>
    <s v="0"/>
    <s v="3204997887"/>
    <s v="3133844886"/>
    <s v="CALLE 39 SUR  68 J 39.VILLANUEVA"/>
    <s v="4.6053487"/>
    <s v="-74.1400502"/>
    <s v="CUNDINAMARCA"/>
    <s v="BOGOTÁ"/>
    <s v="BOGOTÁ"/>
    <n v="11001"/>
    <s v="2025-09-15"/>
    <n v="1"/>
    <s v="BOGOTA"/>
    <x v="2"/>
    <n v="37313"/>
    <n v="37313"/>
  </r>
  <r>
    <n v="52421"/>
    <s v="BARRIO CENTRO EL ZULIA"/>
    <n v="1094348804"/>
    <s v="0"/>
    <s v="3164971517"/>
    <s v="3164971517"/>
    <s v="CL 5 # 4-30,CENTRO"/>
    <s v="7.933494"/>
    <s v="-72.603093"/>
    <s v="NORTE DE SANTANDER"/>
    <s v="EL ZULIA"/>
    <s v="EL ZULIA"/>
    <n v="54261"/>
    <s v="2025-09-15"/>
    <n v="1"/>
    <s v="CUCUTA"/>
    <x v="4"/>
    <n v="49671.7"/>
    <n v="49671.7"/>
  </r>
  <r>
    <n v="51774"/>
    <s v="BARRIO ALTOS DE CABECERA BUCARAMANGA"/>
    <n v="91110182"/>
    <s v="6812589"/>
    <s v="3142787066"/>
    <s v="3142787066"/>
    <s v="CR 38 52 03,ALTOS DE CABECERA"/>
    <s v="7.1136157"/>
    <s v="-73.1070857"/>
    <s v="SANTANDER"/>
    <s v="BUCARAMANGA"/>
    <s v="BUCARAMANGA"/>
    <n v="68001"/>
    <s v="2025-09-15"/>
    <n v="1"/>
    <s v="BUCARAMANGA"/>
    <x v="4"/>
    <n v="37313"/>
    <n v="37313"/>
  </r>
  <r>
    <n v="46996"/>
    <s v="BARRIO LA FUENTE TUNJA "/>
    <n v="40047923"/>
    <s v="3102354627"/>
    <s v="3102354627"/>
    <s v="3102354627"/>
    <s v="TV 17 32 18 ETAPA 1,LA FUENTE"/>
    <s v="5.5455469"/>
    <s v="-73.364149"/>
    <s v="BOYACÁ"/>
    <s v="TUNJA"/>
    <s v="TUNJA"/>
    <n v="15001"/>
    <s v="2025-09-15"/>
    <n v="1"/>
    <s v="TUNJA"/>
    <x v="4"/>
    <n v="49671.7"/>
    <n v="49671.7"/>
  </r>
  <r>
    <n v="50626"/>
    <s v="BARRIO LOS QUINDIOS ARMENIA"/>
    <n v="41910419"/>
    <s v="7480108"/>
    <s v="3226351330"/>
    <s v="3235307871"/>
    <s v="URB LOS QUINDOS MZ 11 7,LOS QUINDOS"/>
    <s v="4.5220330000"/>
    <s v="-75.70159097"/>
    <s v="QUINDÍO"/>
    <s v="ARMENIA"/>
    <s v="ARMENIA"/>
    <n v="63001"/>
    <s v="2025-09-15"/>
    <n v="1"/>
    <s v="PEREIRA"/>
    <x v="6"/>
    <n v="37313"/>
    <n v="37313"/>
  </r>
  <r>
    <n v="53028"/>
    <s v="BARRIO CENTRO VILLAVICENCIO 13"/>
    <n v="40390416"/>
    <s v="3103489567"/>
    <s v="3103489567"/>
    <s v="3137143618"/>
    <s v="CR 30 A NO. 38 - 52 ,CENTRO"/>
    <s v="4.152675"/>
    <s v="-73.636344"/>
    <s v="META"/>
    <s v="VILLAVICENCIO"/>
    <s v="VILLAVICENCIO"/>
    <n v="50001"/>
    <s v="2025-09-15"/>
    <n v="1"/>
    <s v="VILLAVICENCIO"/>
    <x v="1"/>
    <n v="49671.7"/>
    <n v="49671.7"/>
  </r>
  <r>
    <n v="54095"/>
    <s v="BARRIO LA PALMITA VILLA DEL ROSARIO 1"/>
    <n v="27893097"/>
    <s v="0"/>
    <s v="3154761671"/>
    <s v="3154761671"/>
    <s v="CR 7 NRO 9-48 LOCAL 1, BRR LA PALMITA"/>
    <s v="7.828922972"/>
    <s v="-72.471628972"/>
    <s v="NORTE DE SANTANDER"/>
    <s v="VILLA DEL ROSARIO"/>
    <s v="VILLA DEL ROSARIO"/>
    <n v="54874"/>
    <s v="2025-09-15"/>
    <n v="1"/>
    <s v="CUCUTA"/>
    <x v="4"/>
    <n v="49671.7"/>
    <n v="49671.7"/>
  </r>
  <r>
    <n v="52996"/>
    <s v="BARRIO MONTECARLO BOGOTA"/>
    <n v="79561966"/>
    <s v="9394476"/>
    <s v="3134086553"/>
    <s v="3134086553"/>
    <s v="CR 20 B ESTE 11- 62 SUR"/>
    <s v="4.5686203"/>
    <s v="-74.0714458"/>
    <s v="CUNDINAMARCA"/>
    <s v="BOGOTÁ"/>
    <s v="BOGOTÁ"/>
    <n v="11001"/>
    <s v="2025-09-15"/>
    <n v="1"/>
    <s v="BOGOTA"/>
    <x v="2"/>
    <n v="37313"/>
    <n v="37313"/>
  </r>
  <r>
    <n v="54272"/>
    <s v="BARRIO BUENOS AIRES SINCELEJO"/>
    <n v="92522753"/>
    <s v="3114240160"/>
    <s v="3002302878"/>
    <s v="3114240160"/>
    <s v="CR 22 F NRO 33-69,BUENOS AIRES"/>
    <s v="9.2948885"/>
    <s v="-75.3882641"/>
    <s v="SUCRE"/>
    <s v="SINCELEJO"/>
    <s v="SINCELEJO"/>
    <n v="70001"/>
    <s v="2025-09-15"/>
    <n v="1"/>
    <s v="SINCELEJO"/>
    <x v="5"/>
    <n v="49671.7"/>
    <n v="49671.7"/>
  </r>
  <r>
    <n v="55442"/>
    <s v="BARRIO CAROLITA MANIZALES"/>
    <n v="901391427"/>
    <s v="0"/>
    <s v="3137001810"/>
    <s v="3137001810"/>
    <s v="CRA 9 B 57 D - 44,"/>
    <s v="5.0668766"/>
    <s v="-75.4867336"/>
    <s v="CALDAS"/>
    <s v="MANIZALES"/>
    <s v="MANIZALES"/>
    <n v="17001"/>
    <s v="2025-09-15"/>
    <n v="1"/>
    <s v="MANIZALES"/>
    <x v="6"/>
    <n v="49671.7"/>
    <n v="49671.7"/>
  </r>
  <r>
    <n v="53387"/>
    <s v="  BARRIO EL CENTRO YOPAL 5"/>
    <n v="37399575"/>
    <s v="0"/>
    <s v="3123718060"/>
    <s v="3123718060"/>
    <s v="CL 9 20 - 45 LOCAL 102"/>
    <s v="5.20535992"/>
    <s v="-72.24002232"/>
    <s v="CASANARE"/>
    <s v="YOPAL"/>
    <s v="YOPAL"/>
    <n v="85001"/>
    <s v="2025-09-15"/>
    <n v="1"/>
    <s v="YOPAL"/>
    <x v="1"/>
    <n v="49671.7"/>
    <n v="49671.7"/>
  </r>
  <r>
    <n v="53689"/>
    <s v="BARRIO REMANSOS DE COMFANDI CALI 2"/>
    <n v="16929845"/>
    <s v="0"/>
    <s v="3163502115"/>
    <s v="3163502115"/>
    <s v="CRA 26 K NO. 121 01 "/>
    <s v="3.416667"/>
    <s v="-76.474067"/>
    <s v="VALLE DEL CAUCA"/>
    <s v="CALI"/>
    <s v="SANTIAGO DE CALI"/>
    <n v="76001"/>
    <s v="2025-09-15"/>
    <n v="1"/>
    <s v="CALI"/>
    <x v="3"/>
    <n v="37313"/>
    <n v="37313"/>
  </r>
  <r>
    <n v="53820"/>
    <s v="BARRIO CENTRO TUNJA 16"/>
    <n v="40047185"/>
    <s v="3103368439"/>
    <s v="3103368439"/>
    <s v="3103368439"/>
    <s v="CR 10 19 95,"/>
    <s v="5.53281033"/>
    <s v="-73.36209782"/>
    <s v="BOYACÁ"/>
    <s v="TUNJA"/>
    <s v="TUNJA"/>
    <n v="15001"/>
    <s v="2025-09-15"/>
    <n v="1"/>
    <s v="TUNJA"/>
    <x v="4"/>
    <n v="49671.7"/>
    <n v="49671.7"/>
  </r>
  <r>
    <n v="55325"/>
    <s v="BARRIO NUEVA COLOMBIA FLORENCIA 1"/>
    <n v="41121089"/>
    <s v="3203244668"/>
    <s v="3203244668"/>
    <s v="3203244668"/>
    <s v="SECTOR B MANZANA 3 CASA 12,BRR NUEVA COLOMBIA"/>
    <s v="1.374300"/>
    <s v="-75.35520"/>
    <s v="CAQUETÁ"/>
    <s v="FLORENCIA"/>
    <s v="FLORENCIA"/>
    <n v="18001"/>
    <s v="2025-09-15"/>
    <n v="1"/>
    <s v="NEIVA"/>
    <x v="1"/>
    <n v="49671.7"/>
    <n v="49671.7"/>
  </r>
  <r>
    <n v="52256"/>
    <s v="BARRIO LA CASTAÑA BOGOTA"/>
    <n v="80913538"/>
    <s v="7683537"/>
    <s v="3015704227"/>
    <s v="3015704227"/>
    <s v="CL 21 SUR 11 A - 27 ESTE"/>
    <s v="4.56625"/>
    <s v="-74.08092"/>
    <s v="CUNDINAMARCA"/>
    <s v="BOGOTÁ"/>
    <s v="BOGOTÁ"/>
    <n v="11001"/>
    <s v="2025-09-15"/>
    <n v="1"/>
    <s v="BOGOTA"/>
    <x v="2"/>
    <n v="37313"/>
    <n v="37313"/>
  </r>
  <r>
    <n v="52316"/>
    <s v="BARRIO EL POBLADO 2 PEREIRA"/>
    <n v="52046096"/>
    <s v="3455239"/>
    <s v="3172976383"/>
    <s v="3172976383"/>
    <s v="MZ 18 CA 26 POBLADO 2"/>
    <s v="4.8027279"/>
    <s v="-75.7083625"/>
    <s v="RISARALDA"/>
    <s v="PEREIRA"/>
    <s v="PEREIRA"/>
    <n v="66001"/>
    <s v="2025-09-15"/>
    <n v="1"/>
    <s v="PEREIRA"/>
    <x v="6"/>
    <n v="37313"/>
    <n v="37313"/>
  </r>
  <r>
    <n v="53209"/>
    <s v="BARRIO CABECERA BUCARAMANGA 12"/>
    <n v="1095798271"/>
    <s v="3015242080"/>
    <s v="3015242080"/>
    <s v="3015242080"/>
    <s v="CL 56 33 09 LOCAL 3,CABECERA"/>
    <s v="7.109840"/>
    <s v="-73.1919928"/>
    <s v="SANTANDER"/>
    <s v="BUCARAMANGA"/>
    <s v="BUCARAMANGA"/>
    <n v="68001"/>
    <s v="2025-09-15"/>
    <n v="1"/>
    <s v="BUCARAMANGA"/>
    <x v="4"/>
    <n v="37313"/>
    <n v="37313"/>
  </r>
  <r>
    <n v="58496"/>
    <s v="BARRIO EL SILENCIO BARRANQUILLA 2"/>
    <n v="901406529"/>
    <s v="3015111"/>
    <s v="0"/>
    <s v="3117477818"/>
    <s v="CR 23 C 70 C 34"/>
    <s v="10.97217"/>
    <s v="-74.81110"/>
    <s v="ATLÁNTICO"/>
    <s v="BARRANQUILLA"/>
    <s v="BARRANQUILLA"/>
    <n v="8001"/>
    <s v="2025-09-15"/>
    <n v="1"/>
    <s v="BARRANQUILLA"/>
    <x v="5"/>
    <n v="37313"/>
    <n v="37313"/>
  </r>
  <r>
    <n v="58840"/>
    <s v="BARRIO TABLAZA LA ESTRELLA"/>
    <n v="901517801"/>
    <s v="3192314512"/>
    <s v="3192314512"/>
    <s v="3192314512"/>
    <s v="CL 100 SUR 49 95 LOCAL 62"/>
    <s v="6.1202223"/>
    <s v="-75.6337009"/>
    <s v="ANTIOQUIA"/>
    <s v="LA ESTRELLA"/>
    <s v="LA ESTRELLA"/>
    <n v="5380"/>
    <s v="2025-09-15"/>
    <n v="2"/>
    <s v="MEDELLIN"/>
    <x v="0"/>
    <n v="37313"/>
    <n v="74626"/>
  </r>
  <r>
    <n v="56385"/>
    <s v="BARRIO SANTA CRUZ MEDELLIN 12"/>
    <n v="901096888"/>
    <s v="5221216"/>
    <s v="3215970469"/>
    <s v="3215970469"/>
    <s v="CR 52 97 A 60"/>
    <s v="6.291471"/>
    <s v="-75.5620732"/>
    <s v="ANTIOQUIA"/>
    <s v="MEDELLÍN"/>
    <s v="MEDELLÍN"/>
    <n v="5001"/>
    <s v="2025-09-15"/>
    <n v="1"/>
    <s v="MEDELLIN"/>
    <x v="0"/>
    <n v="37313"/>
    <n v="37313"/>
  </r>
  <r>
    <n v="58345"/>
    <s v="BARRIO PIZARREAL LOS PATIOS 1"/>
    <n v="1093743067"/>
    <s v="0"/>
    <s v="3112061000"/>
    <s v="3112061000"/>
    <s v="AV 10 9S 40,BRR PIZARREAL"/>
    <s v="7.8079045"/>
    <s v="-72.5169543"/>
    <s v="NORTE DE SANTANDER"/>
    <s v="LOS PATIOS"/>
    <s v="LOS PATIOS"/>
    <n v="54405"/>
    <s v="2025-09-15"/>
    <n v="1"/>
    <s v="CUCUTA"/>
    <x v="4"/>
    <n v="49671.7"/>
    <n v="49671.7"/>
  </r>
  <r>
    <n v="60456"/>
    <s v="BARRIO CENTRO ITAGUI 4"/>
    <n v="22059334"/>
    <s v="0"/>
    <s v="3174986644"/>
    <s v="3174986644"/>
    <s v="CR 51 51 50 LC 109"/>
    <s v="6.1731808"/>
    <s v="-75.6087745"/>
    <s v="ANTIOQUIA"/>
    <s v="ITAGÜÍ"/>
    <s v="ITAGÜÍ"/>
    <n v="5360"/>
    <s v="2025-09-15"/>
    <n v="1"/>
    <s v="MEDELLIN"/>
    <x v="0"/>
    <n v="37313"/>
    <n v="37313"/>
  </r>
  <r>
    <n v="61186"/>
    <s v="BARRIO CENTRO FLORENCIA 18"/>
    <n v="901211874"/>
    <s v="3207916292"/>
    <s v="3125429798"/>
    <s v="3125429798"/>
    <s v="CL 21 11 A 54 CENTRO"/>
    <s v="1.620361"/>
    <s v="-75.615302"/>
    <s v="CAQUETÁ"/>
    <s v="FLORENCIA"/>
    <s v="FLORENCIA"/>
    <n v="18001"/>
    <s v="2025-09-15"/>
    <n v="1"/>
    <s v="NEIVA"/>
    <x v="1"/>
    <n v="49671.7"/>
    <n v="49671.7"/>
  </r>
  <r>
    <n v="61592"/>
    <s v="BARRIO REMANSO DE ROSA BLANCA VILLAVICENCIO"/>
    <n v="40341561"/>
    <s v="3112954894"/>
    <s v="3112954894"/>
    <s v="3112954894"/>
    <s v="CL 4 SUR24 A 75 MZ 6 CS 26 LOC 1 REMANSO DE ROSA BLANCA,REMANSO DE ROSA BLANCA"/>
    <s v="4.1166850"/>
    <s v="-73.6184429"/>
    <s v="META"/>
    <s v="VILLAVICENCIO"/>
    <s v="VILLAVICENCIO"/>
    <n v="50001"/>
    <s v="2025-09-15"/>
    <n v="1"/>
    <s v="VILLAVICENCIO"/>
    <x v="1"/>
    <n v="49671.7"/>
    <n v="49671.7"/>
  </r>
  <r>
    <n v="59527"/>
    <s v="BARRIO URBANIZACION PALERMO IBAGUE"/>
    <n v="1110555788"/>
    <s v="0"/>
    <s v="3124757145"/>
    <s v="3124757145"/>
    <s v="MZ A CASA 2,URBANIZACIÓN PALERMO"/>
    <s v="4.43605364"/>
    <s v="-75.185628"/>
    <s v="TOLIMA"/>
    <s v="IBAGUÉ"/>
    <s v="IBAGUÉ"/>
    <n v="73001"/>
    <s v="2025-09-15"/>
    <n v="1"/>
    <s v="IBAGUE"/>
    <x v="1"/>
    <n v="49671.7"/>
    <n v="49671.7"/>
  </r>
  <r>
    <n v="55850"/>
    <s v="BARRIO BELALCAZAR TUNJA"/>
    <n v="1049646126"/>
    <s v="3124047515"/>
    <s v="3124047515"/>
    <s v="3124047515"/>
    <s v="TV 11 10 108,"/>
    <s v="5.5439472"/>
    <s v="-73.3594362"/>
    <s v="BOYACÁ"/>
    <s v="TUNJA"/>
    <s v="TUNJA"/>
    <n v="15001"/>
    <s v="2025-09-15"/>
    <n v="1"/>
    <s v="TUNJA"/>
    <x v="4"/>
    <n v="49671.7"/>
    <n v="49671.7"/>
  </r>
  <r>
    <n v="60607"/>
    <s v="BARRIO DESEPAZ CALI"/>
    <n v="1143971962"/>
    <s v="0"/>
    <s v="3107338110"/>
    <s v="3107338110"/>
    <s v="KR 26 BIS # 122-58,DESEPAZ"/>
    <s v="3.4233181"/>
    <s v="-76.4641471"/>
    <s v="VALLE DEL CAUCA"/>
    <s v="CALI"/>
    <s v="SANTIAGO DE CALI"/>
    <n v="76001"/>
    <s v="2025-09-15"/>
    <n v="1"/>
    <s v="CALI"/>
    <x v="3"/>
    <n v="37313"/>
    <n v="37313"/>
  </r>
  <r>
    <n v="60959"/>
    <s v="BARRIO LLANO VERDE CALI"/>
    <n v="29820407"/>
    <s v="5582128"/>
    <s v="3165021390"/>
    <s v="3165021390"/>
    <s v="CL 56 I 48 B 22,LLANO VERDE"/>
    <s v="3.3917041"/>
    <s v="-76.5071240"/>
    <s v="VALLE DEL CAUCA"/>
    <s v="CALI"/>
    <s v="SANTIAGO DE CALI"/>
    <n v="76001"/>
    <s v="2025-09-15"/>
    <n v="1"/>
    <s v="CALI"/>
    <x v="3"/>
    <n v="37313"/>
    <n v="37313"/>
  </r>
  <r>
    <n v="60932"/>
    <s v="BARRIO ALMENDROS CAMPESTRE SOLEDAD 1"/>
    <n v="55220205"/>
    <s v="3015605191"/>
    <s v="3015605191"/>
    <s v="3043936623"/>
    <s v="CR 12 A 78 C 3 SOLEDAD,ALMENDROS CAMPESTRE"/>
    <s v="10.931910"/>
    <s v="-74.768154"/>
    <s v="ATLÁNTICO"/>
    <s v="SOLEDAD"/>
    <s v="SOLEDAD"/>
    <n v="8758"/>
    <s v="2025-09-15"/>
    <n v="1"/>
    <s v="BARRANQUILLA"/>
    <x v="5"/>
    <n v="37313"/>
    <n v="37313"/>
  </r>
  <r>
    <n v="67519"/>
    <s v="BARRIO CASTILLA MEDELLIN 8"/>
    <n v="901350013"/>
    <s v="6044382780"/>
    <s v="3008207883"/>
    <s v="3017855801"/>
    <s v="CL 94 68 60 LOCAL 101,CASTILLA"/>
    <s v="6.2888572"/>
    <s v="-75.5735177"/>
    <s v="ANTIOQUIA"/>
    <s v="MEDELLÍN"/>
    <s v="MEDELLÍN"/>
    <n v="5001"/>
    <s v="2025-09-15"/>
    <n v="2"/>
    <s v="MEDELLIN"/>
    <x v="0"/>
    <n v="37313"/>
    <n v="74626"/>
  </r>
  <r>
    <n v="38699"/>
    <s v="BARRIO CENTRO PASTO 8"/>
    <n v="41181309"/>
    <s v="3219683661"/>
    <s v="3206342295"/>
    <s v="3206342295"/>
    <s v="CR 3 2 32 CGT DEL ENCANO CENTRO"/>
    <s v="1.1621593"/>
    <s v="-77.1557200"/>
    <s v="NARIÑO"/>
    <s v="PASTO"/>
    <s v="SAN JUAN DE PASTO"/>
    <n v="52001"/>
    <s v="2025-09-15"/>
    <n v="1"/>
    <s v="PASTO"/>
    <x v="3"/>
    <n v="49671.7"/>
    <n v="49671.7"/>
  </r>
  <r>
    <n v="38936"/>
    <s v="   BARRIO LA FLORESTA IBAGUE    1"/>
    <n v="14322903"/>
    <m/>
    <s v="3214662108"/>
    <s v="3214662108"/>
    <s v=" CL 59 NÚMERO 2A - 05 LA FLORESTA"/>
    <s v="4.433285"/>
    <s v="-75.20201"/>
    <s v="TOLIMA"/>
    <s v="IBAGUÉ"/>
    <s v="IBAGUÉ"/>
    <n v="73001"/>
    <s v="2025-09-15"/>
    <n v="2"/>
    <s v="IBAGUE"/>
    <x v="1"/>
    <n v="49671.7"/>
    <n v="99343.4"/>
  </r>
  <r>
    <n v="61827"/>
    <s v="BARRIO LA GRANJA MONTERIA 17"/>
    <n v="1067923922"/>
    <s v="3017210617"/>
    <s v="3017210617"/>
    <s v="3017210617"/>
    <s v="TV 5 10 06 BR LA GRANJA"/>
    <s v="8.7368632"/>
    <s v="-75.8928369"/>
    <s v="CÓRDOBA"/>
    <s v="MONTERÍA"/>
    <s v="MONTERÍA"/>
    <n v="23001"/>
    <s v="2025-09-15"/>
    <n v="1"/>
    <s v="MONTERIA"/>
    <x v="5"/>
    <n v="37313"/>
    <n v="37313"/>
  </r>
  <r>
    <n v="59764"/>
    <s v="  BARRIO MONTEVIDEO BOGOTA 3"/>
    <n v="901388604"/>
    <s v="3118445096"/>
    <s v="3118445096"/>
    <s v="3118445096"/>
    <s v="CL 18 77 51"/>
    <s v="4.654075"/>
    <s v="-74.130622"/>
    <s v="CUNDINAMARCA"/>
    <s v="BOGOTÁ"/>
    <s v="BOGOTÁ"/>
    <n v="11001"/>
    <s v="2025-09-15"/>
    <n v="1"/>
    <s v="BOGOTA"/>
    <x v="2"/>
    <n v="37313"/>
    <n v="37313"/>
  </r>
  <r>
    <n v="65544"/>
    <s v="BARRIO EL PORTAL I MONTERIA"/>
    <n v="26167665"/>
    <s v="3218465461"/>
    <s v="3218465461"/>
    <s v="3218465461"/>
    <s v="SEC 1 MZ 6-34 URBANIZACIÓN EL PORTAL I,EL PORTAL I"/>
    <s v="8.7453413"/>
    <s v="-75.9064406"/>
    <s v="CÓRDOBA"/>
    <s v="MONTERÍA"/>
    <s v="MONTERÍA"/>
    <n v="23001"/>
    <s v="2025-09-15"/>
    <n v="2"/>
    <s v="MONTERIA"/>
    <x v="5"/>
    <n v="37313"/>
    <n v="74626"/>
  </r>
  <r>
    <n v="67033"/>
    <s v="BARRIO LA GRANJA MONTERIA 21"/>
    <n v="50923383"/>
    <s v="3022632308"/>
    <s v="3022632308"/>
    <s v="3022632308"/>
    <s v="TV 5 6 17,LA GRANJA"/>
    <s v="8.735695"/>
    <s v="-75.893122"/>
    <s v="CÓRDOBA"/>
    <s v="MONTERÍA"/>
    <s v="MONTERÍA"/>
    <n v="23001"/>
    <s v="2025-09-15"/>
    <n v="1"/>
    <s v="MONTERIA"/>
    <x v="5"/>
    <n v="37313"/>
    <n v="37313"/>
  </r>
  <r>
    <n v="46351"/>
    <s v="BARRIO EUCARISTICO CALI "/>
    <n v="900343388"/>
    <m/>
    <s v="3152869432"/>
    <s v="3152869432"/>
    <s v="CR 36 A 6 70,EUCARISTICO"/>
    <s v="3.4256826"/>
    <s v="-76.5394131"/>
    <s v="VALLE DEL CAUCA"/>
    <s v="CALI"/>
    <s v="SANTIAGO DE CALI"/>
    <n v="76001"/>
    <s v="2025-09-15"/>
    <n v="1"/>
    <s v="CALI"/>
    <x v="3"/>
    <n v="37313"/>
    <n v="37313"/>
  </r>
  <r>
    <n v="62953"/>
    <s v="BARRIO EL CENTRO EL ZULIA 1"/>
    <n v="1094165777"/>
    <s v="3194118107"/>
    <s v="3194118107"/>
    <s v="3203634766"/>
    <s v="AV 2 NRO 6-01 BR EL CENTRO"/>
    <s v="7.9321844"/>
    <s v="-72.6012206"/>
    <s v="NORTE DE SANTANDER"/>
    <s v="EL ZULIA"/>
    <s v="EL ZULIA"/>
    <n v="54261"/>
    <s v="2025-09-15"/>
    <n v="1"/>
    <s v="CUCUTA"/>
    <x v="4"/>
    <n v="49671.7"/>
    <n v="49671.7"/>
  </r>
  <r>
    <n v="65637"/>
    <s v="BARRIO BOSTON SINCELEJO 3"/>
    <n v="1102819380"/>
    <s v="3003586290"/>
    <s v="3003586290"/>
    <s v="3003586290"/>
    <s v="CL 33 CRA 25 A 133 LOC 1,BOSTON"/>
    <s v="9.29706"/>
    <s v="-75.384113"/>
    <s v="SUCRE"/>
    <s v="SINCELEJO"/>
    <s v="SINCELEJO"/>
    <n v="70001"/>
    <s v="2025-09-15"/>
    <n v="1"/>
    <s v="SINCELEJO"/>
    <x v="5"/>
    <n v="49671.7"/>
    <n v="49671.7"/>
  </r>
  <r>
    <n v="65775"/>
    <s v="BARRIO MODELIA BOGOTA 4"/>
    <n v="51683334"/>
    <s v="0"/>
    <s v="3002179366"/>
    <s v="3002179366"/>
    <s v="CR 131 132 B 38"/>
    <s v="4.6715713"/>
    <s v="-74.1227733"/>
    <s v="CUNDINAMARCA"/>
    <s v="BOGOTÁ"/>
    <s v="BOGOTÁ"/>
    <n v="11001"/>
    <s v="2025-09-15"/>
    <n v="1"/>
    <s v="BOGOTA"/>
    <x v="2"/>
    <n v="37313"/>
    <n v="37313"/>
  </r>
  <r>
    <n v="60195"/>
    <s v="BARRIO CENTRO VILLAVICENCIO 23"/>
    <n v="1121886927"/>
    <s v="3224201531"/>
    <s v="3125240185"/>
    <s v="3219954067"/>
    <s v="CL 39 30 A 10 ISLA 3,CENTRO"/>
    <s v="4.152993"/>
    <s v="-73.636729"/>
    <s v="META"/>
    <s v="VILLAVICENCIO"/>
    <s v="VILLAVICENCIO"/>
    <n v="50001"/>
    <s v="2025-09-15"/>
    <n v="1"/>
    <s v="VILLAVICENCIO"/>
    <x v="1"/>
    <n v="49671.7"/>
    <n v="49671.7"/>
  </r>
  <r>
    <n v="69284"/>
    <s v="BARRIO LA CANDELARIA MEDELLIN  3"/>
    <n v="71189983"/>
    <s v="0"/>
    <s v="3116390539"/>
    <s v="3116390539"/>
    <s v="CR 44 47 71,LA CANDELARIA"/>
    <s v="6.2456786"/>
    <s v="-75.5650761"/>
    <s v="ANTIOQUIA"/>
    <s v="MEDELLÍN"/>
    <s v="MEDELLÍN"/>
    <n v="5001"/>
    <s v="2025-09-15"/>
    <n v="2"/>
    <s v="MEDELLIN"/>
    <x v="0"/>
    <n v="37313"/>
    <n v="74626"/>
  </r>
  <r>
    <n v="69660"/>
    <s v="BARRIO SANTANDER MEDELLÍN"/>
    <n v="1214720126"/>
    <s v="3126849964"/>
    <s v="3126849964"/>
    <s v="3126849964"/>
    <s v="CARRERA 77 # 115 - 02,SANTANDER"/>
    <s v="6.3103530"/>
    <s v="-75.5739647"/>
    <s v="ANTIOQUIA"/>
    <s v="MEDELLÍN"/>
    <s v="MEDELLÍN"/>
    <n v="5001"/>
    <s v="2025-09-15"/>
    <n v="1"/>
    <s v="MEDELLIN"/>
    <x v="0"/>
    <n v="37313"/>
    <n v="37313"/>
  </r>
  <r>
    <n v="66036"/>
    <s v="ARRIO CIUDADELA REAL DE MINAS BUCARAMANGA 2"/>
    <n v="91262389"/>
    <s v="3174428365"/>
    <s v="3163136800"/>
    <s v="3174428365"/>
    <s v="CONJ RECIDENCIAL PLAZA MAYOR ENTRADA 4 LOCAL 120,CIUDADELA REAL DE MINAS"/>
    <s v="7.1033334"/>
    <s v="-73.1237362"/>
    <s v="SANTANDER"/>
    <s v="BUCARAMANGA"/>
    <s v="BUCARAMANGA"/>
    <n v="68001"/>
    <s v="2025-09-15"/>
    <n v="1"/>
    <s v="BUCARAMANGA"/>
    <x v="4"/>
    <n v="37313"/>
    <n v="37313"/>
  </r>
  <r>
    <n v="66563"/>
    <s v="BARRIO LOS EBANOS MONTERIA"/>
    <n v="26040374"/>
    <s v="3136529035"/>
    <s v="3136529035"/>
    <s v="3209357892"/>
    <s v="MZ 4 LT22,LOS EBANOS"/>
    <s v="8.7503907"/>
    <s v="-75.9104002"/>
    <s v="CÓRDOBA"/>
    <s v="MONTERÍA"/>
    <s v="MONTERÍA"/>
    <n v="23001"/>
    <s v="2025-09-15"/>
    <n v="1"/>
    <s v="MONTERIA"/>
    <x v="5"/>
    <n v="37313"/>
    <n v="37313"/>
  </r>
  <r>
    <n v="69013"/>
    <s v="BARRIO ITAGUI ITAGUI 22"/>
    <n v="1036600600"/>
    <m/>
    <s v="3004596210"/>
    <s v="3004596210"/>
    <s v="CARRERA 50 51 49 LOCAL 150,ITAGÜÍ"/>
    <s v="6.1725785"/>
    <s v="-75.6085718"/>
    <s v="ANTIOQUIA"/>
    <s v="ITAGÜÍ"/>
    <s v="ITAGÜÍ"/>
    <n v="5360"/>
    <s v="2025-09-15"/>
    <n v="1"/>
    <s v="MEDELLIN"/>
    <x v="0"/>
    <n v="37313"/>
    <n v="37313"/>
  </r>
  <r>
    <n v="70068"/>
    <s v="BARRIO BARZAL VILLAVICENCIO 18"/>
    <n v="901689012"/>
    <s v="3143690097"/>
    <s v="3143690097"/>
    <s v="3214286540"/>
    <s v="CR 35 NRO 35 25 BRR BARZAL BAJO - BARZAL,BARZAL"/>
    <s v="4.1478215"/>
    <s v="-73.6386500"/>
    <s v="META"/>
    <s v="VILLAVICENCIO"/>
    <s v="VILLAVICENCIO"/>
    <n v="50001"/>
    <s v="2025-09-15"/>
    <n v="1"/>
    <s v="VILLAVICENCIO"/>
    <x v="1"/>
    <n v="49671.7"/>
    <n v="49671.7"/>
  </r>
  <r>
    <n v="68977"/>
    <s v="LOS CEREZOS 2"/>
    <n v="1030592614"/>
    <m/>
    <s v="3217551100"/>
    <s v="3217551100"/>
    <s v="CALLE 84 A BIS 86 27,LOS CEREZOS"/>
    <s v="4.706384"/>
    <s v="-74.098731"/>
    <s v="CUNDINAMARCA"/>
    <s v="BOGOTÁ"/>
    <s v="BOGOTÁ"/>
    <n v="11001"/>
    <s v="2025-09-15"/>
    <n v="1"/>
    <s v="BOGOTA"/>
    <x v="2"/>
    <n v="37313"/>
    <n v="37313"/>
  </r>
  <r>
    <n v="69052"/>
    <s v="BARRIO CIUDAD DORADA ARMENIA 2"/>
    <n v="52471835"/>
    <s v="0"/>
    <s v="3144428101"/>
    <s v="3144428101"/>
    <s v="MZ 30 CASA 7 CIUDAD DORADA,CIUDAD DORADA"/>
    <s v="4.5279059"/>
    <s v="-75.7008233"/>
    <s v="QUINDÍO"/>
    <s v="ARMENIA"/>
    <s v="ARMENIA"/>
    <n v="63001"/>
    <s v="2025-09-15"/>
    <n v="1"/>
    <s v="PEREIRA"/>
    <x v="6"/>
    <n v="37313"/>
    <n v="37313"/>
  </r>
  <r>
    <n v="69030"/>
    <s v="BARRIO LIMONAR POPAYAN"/>
    <n v="1061760402"/>
    <s v="0"/>
    <s v="3113007151"/>
    <s v="3113007151"/>
    <s v="CR 10 A 13 - 02 - LIMONAR,LIMONAR"/>
    <s v="2.435510961"/>
    <s v="-76.612497622"/>
    <s v="CAUCA"/>
    <s v="POPAYÁN"/>
    <s v="POPAYÁN"/>
    <n v="19001"/>
    <s v="2025-09-15"/>
    <n v="1"/>
    <s v="CALI"/>
    <x v="3"/>
    <n v="37313"/>
    <n v="37313"/>
  </r>
  <r>
    <n v="46394"/>
    <s v="BARRIO ASIS TUNJA"/>
    <n v="1090440465"/>
    <s v="3138957608"/>
    <s v="3138957608"/>
    <s v="3138957608"/>
    <s v="CL 63 9 15,ASIS"/>
    <s v="5.5695041"/>
    <s v="-73.3459840"/>
    <s v="BOYACÁ"/>
    <s v="TUNJA"/>
    <s v="TUNJA"/>
    <n v="15001"/>
    <s v="2025-09-15"/>
    <n v="1"/>
    <s v="TUNJA"/>
    <x v="4"/>
    <n v="49671.7"/>
    <n v="49671.7"/>
  </r>
  <r>
    <n v="66676"/>
    <s v="BARRIO FONTIBON BOGOTA 17"/>
    <n v="901321544"/>
    <s v="3102561127"/>
    <s v="3133314741"/>
    <s v="3133314741"/>
    <s v="CL 15A NO. 83 54 LC 7 8,FONTIBON"/>
    <s v="4.656337"/>
    <s v="-74.138352"/>
    <s v="CUNDINAMARCA"/>
    <s v="BOGOTÁ"/>
    <s v="BOGOTÁ"/>
    <n v="11001"/>
    <s v="2025-09-15"/>
    <n v="1"/>
    <s v="BOGOTA"/>
    <x v="2"/>
    <n v="37313"/>
    <n v="37313"/>
  </r>
  <r>
    <n v="66794"/>
    <s v="BARRIO LOS SAUCES POPAYAN 1"/>
    <n v="1061750040"/>
    <s v="0"/>
    <s v="0"/>
    <s v="3172553841"/>
    <s v="CL 17 NRO 3 - 38 - LOS SAUCES"/>
    <s v="2.4290945"/>
    <s v="-76.6016620"/>
    <s v="CAUCA"/>
    <s v="POPAYÁN"/>
    <s v="POPAYÁN"/>
    <n v="19001"/>
    <s v="2025-09-15"/>
    <n v="1"/>
    <s v="CALI"/>
    <x v="3"/>
    <n v="37313"/>
    <n v="37313"/>
  </r>
  <r>
    <n v="63984"/>
    <s v="BARRIO FURATENA MONTERIA 3"/>
    <n v="1104414254"/>
    <s v="3017559226"/>
    <s v="3017559226"/>
    <s v="3017559226"/>
    <s v="Sector 1 Mz 56 - 1 Local 01 Furatena"/>
    <s v="8.7195679"/>
    <s v="-75.8872136"/>
    <s v="CÓRDOBA"/>
    <s v="MONTERÍA"/>
    <s v="MONTERÍA"/>
    <n v="23001"/>
    <s v="2025-09-15"/>
    <n v="1"/>
    <s v="MONTERIA"/>
    <x v="5"/>
    <n v="37313"/>
    <n v="37313"/>
  </r>
  <r>
    <n v="64295"/>
    <s v="BARRIO VILLA DEL PRADO PEREIRA 3"/>
    <n v="42143442"/>
    <s v="3207354932"/>
    <s v="3459741"/>
    <s v="3013033043"/>
    <s v="MZ 25 CA 33 LC 1 BRR VILLA DEL PRADO"/>
    <s v="4.7988371"/>
    <s v="-75.7056349"/>
    <s v="RISARALDA"/>
    <s v="PEREIRA"/>
    <s v="PEREIRA"/>
    <n v="66001"/>
    <s v="2025-09-15"/>
    <n v="1"/>
    <s v="PEREIRA"/>
    <x v="6"/>
    <n v="37313"/>
    <n v="37313"/>
  </r>
  <r>
    <n v="64416"/>
    <s v="BARRIO BOCHICA DUITAMA"/>
    <n v="1055312128"/>
    <s v="3104862911"/>
    <s v="3143310337"/>
    <s v="3204928795"/>
    <s v="CL 9 NO.33-23,BOCHICA"/>
    <s v="5.812035"/>
    <s v="-73.030312"/>
    <s v="BOYACÁ"/>
    <s v="DUITAMA"/>
    <s v="DUITAMA"/>
    <n v="15238"/>
    <s v="2025-09-15"/>
    <n v="1"/>
    <s v="TUNJA"/>
    <x v="4"/>
    <n v="49671.7"/>
    <n v="49671.7"/>
  </r>
  <r>
    <n v="70970"/>
    <s v="BARRIO EL FARO MEDELLIN "/>
    <n v="71532176"/>
    <s v="3103826250"/>
    <s v="0"/>
    <s v="3217570868"/>
    <s v="CR 17 D 62 31"/>
    <s v="6.2533471"/>
    <s v="-75.5388161"/>
    <s v="ANTIOQUIA"/>
    <s v="MEDELLÍN"/>
    <s v="MEDELLÍN"/>
    <n v="5001"/>
    <s v="2025-09-15"/>
    <n v="1"/>
    <s v="MEDELLIN"/>
    <x v="0"/>
    <n v="37313"/>
    <n v="37313"/>
  </r>
  <r>
    <n v="71463"/>
    <s v="BARRIO SAN JAVIER LA DIVISA MEDELLIN "/>
    <n v="1007104700"/>
    <s v="3156116633"/>
    <s v="3156116633"/>
    <s v="3156116633"/>
    <s v="CL 49 B 99 EE 169,SAN JAVIER"/>
    <s v="6.268698"/>
    <s v=" -75.613349"/>
    <s v="ANTIOQUIA"/>
    <s v="MEDELLÍN"/>
    <s v="MEDELLÍN"/>
    <n v="5001"/>
    <s v="2025-09-15"/>
    <n v="1"/>
    <s v="MEDELLIN"/>
    <x v="0"/>
    <n v="37313"/>
    <n v="37313"/>
  </r>
  <r>
    <n v="71621"/>
    <s v="BARRIO EL CENTRO EL ZULIA 3"/>
    <n v="901421717"/>
    <s v="3208577068"/>
    <s v="3208577068"/>
    <s v="3222656102"/>
    <s v="CL 5 NRO 4-63,EL CENTRO"/>
    <s v="7.9334971"/>
    <s v="-72.6033123"/>
    <s v="NORTE DE SANTANDER"/>
    <s v="EL ZULIA"/>
    <s v="EL ZULIA"/>
    <n v="54261"/>
    <s v="2025-09-15"/>
    <n v="1"/>
    <s v="CUCUTA"/>
    <x v="4"/>
    <n v="49671.7"/>
    <n v="49671.7"/>
  </r>
  <r>
    <n v="68291"/>
    <s v="BARRIO GRANADA IBAGUE"/>
    <n v="1110548158"/>
    <s v="0"/>
    <s v="3227826636"/>
    <s v="3227826636"/>
    <s v="CL 17 # 28 A SUR - 120,GRANADA"/>
    <s v="4.421780"/>
    <s v=" -75.256540 "/>
    <s v="TOLIMA"/>
    <s v="IBAGUÉ"/>
    <s v="IBAGUÉ"/>
    <n v="73001"/>
    <s v="2025-09-15"/>
    <n v="1"/>
    <s v="IBAGUE"/>
    <x v="1"/>
    <n v="49671.7"/>
    <n v="49671.7"/>
  </r>
  <r>
    <n v="69288"/>
    <s v="BARRIO SANTANDER MEDELLIN  5"/>
    <n v="1003026590"/>
    <s v="3022951150"/>
    <s v="3022951150"/>
    <s v="3207861141"/>
    <s v="CALLE 108 76 12,SANTANDER"/>
    <s v="6.3070495"/>
    <s v="-75.5719346"/>
    <s v="ANTIOQUIA"/>
    <s v="MEDELLÍN"/>
    <s v="MEDELLÍN"/>
    <n v="5001"/>
    <s v="2025-09-15"/>
    <n v="1"/>
    <s v="MEDELLIN"/>
    <x v="0"/>
    <n v="37313"/>
    <n v="37313"/>
  </r>
  <r>
    <n v="70550"/>
    <s v="BARRIO BERLIN FLORENCIA "/>
    <n v="40778538"/>
    <s v="3112928807"/>
    <s v="3112928807"/>
    <s v="3112928807"/>
    <s v="CL 4 5 04 BERLIN,BERLIN"/>
    <s v="1.614216"/>
    <s v="-75.602135"/>
    <s v="CAQUETÁ"/>
    <s v="FLORENCIA"/>
    <s v="FLORENCIA"/>
    <n v="18001"/>
    <s v="2025-09-15"/>
    <n v="1"/>
    <s v="NEIVA"/>
    <x v="1"/>
    <n v="49671.7"/>
    <n v="49671.7"/>
  </r>
  <r>
    <n v="71881"/>
    <s v="MANIZALES CAROLA"/>
    <n v="16090391"/>
    <s v="3209919348"/>
    <s v="3209919348"/>
    <s v="3209919348"/>
    <s v="CALLE 57 F 10 C 10 - CAROLA,CAROLA"/>
    <s v="5.0656010"/>
    <s v="-75.4880777"/>
    <s v="CALDAS"/>
    <s v="MANIZALES"/>
    <s v="MANIZALES"/>
    <n v="17001"/>
    <s v="2025-09-15"/>
    <n v="1"/>
    <s v="MANIZALES"/>
    <x v="6"/>
    <n v="49671.7"/>
    <n v="49671.7"/>
  </r>
  <r>
    <n v="63265"/>
    <s v="BARRIO CONSOLATA FLORENCIA 3"/>
    <n v="1117522737"/>
    <s v="3102661797"/>
    <s v="3102661797"/>
    <s v="3225091325"/>
    <s v="CL 21 13 07,CONSOLATA"/>
    <s v="1.6201378"/>
    <s v="-75.6161590"/>
    <s v="CAQUETÁ"/>
    <s v="FLORENCIA"/>
    <s v="FLORENCIA"/>
    <n v="18001"/>
    <s v="2025-09-15"/>
    <n v="1"/>
    <s v="NEIVA"/>
    <x v="1"/>
    <n v="49671.7"/>
    <n v="49671.7"/>
  </r>
  <r>
    <n v="69848"/>
    <s v="BARRIO CIUDAD DORADA ARMENIA 3"/>
    <n v="41953050"/>
    <s v="3206868153"/>
    <s v="3206868153"/>
    <s v="3206868153"/>
    <s v="BRR CIUDAD DORADA MZ 34 NRO. 7,CIUDAD DORADA"/>
    <s v="4.5283266"/>
    <s v="-75.7020855"/>
    <s v="QUINDÍO"/>
    <s v="ARMENIA"/>
    <s v="ARMENIA"/>
    <n v="63001"/>
    <s v="2025-09-15"/>
    <n v="1"/>
    <s v="PEREIRA"/>
    <x v="6"/>
    <n v="37313"/>
    <n v="37313"/>
  </r>
  <r>
    <n v="69889"/>
    <s v="BARRIO CENTRO MEDELLIN  97"/>
    <n v="1017135726"/>
    <s v="3147306019"/>
    <s v="3147306019"/>
    <s v="3147306019"/>
    <s v="CALLE 56 C # 16 – 46,CENTRO"/>
    <s v="6.240367"/>
    <s v="-75.5391506"/>
    <s v="ANTIOQUIA"/>
    <s v="MEDELLÍN"/>
    <s v="MEDELLÍN"/>
    <n v="5001"/>
    <s v="2025-09-15"/>
    <n v="1"/>
    <s v="MEDELLIN"/>
    <x v="0"/>
    <n v="37313"/>
    <n v="37313"/>
  </r>
  <r>
    <n v="67453"/>
    <s v="BARRIO SANTA ANA SUR BOGOTA 1"/>
    <n v="1090455086"/>
    <s v="0"/>
    <s v="3209037383"/>
    <s v="3209037383"/>
    <s v="CL 11 A SUR 0 ESTE 41,"/>
    <s v="4.5752546"/>
    <s v="-74.0831598"/>
    <s v="CUNDINAMARCA"/>
    <s v="BOGOTÁ"/>
    <s v="BOGOTÁ"/>
    <n v="11001"/>
    <s v="2025-09-15"/>
    <n v="1"/>
    <s v="BOGOTA"/>
    <x v="2"/>
    <n v="37313"/>
    <n v="37313"/>
  </r>
  <r>
    <n v="76310"/>
    <s v="BARRIO EL PUERTO FLORENCIA 1"/>
    <n v="30505219"/>
    <s v="3107505256"/>
    <s v="3142377853"/>
    <s v="3142377853"/>
    <s v="LO 02 BRR EL PUERTO,EL PUERTO"/>
    <s v="1.604062"/>
    <s v="-75.638077"/>
    <s v="CAQUETÁ"/>
    <s v="FLORENCIA"/>
    <s v="FLORENCIA"/>
    <n v="18001"/>
    <s v="2025-09-15"/>
    <n v="1"/>
    <s v="NEIVA"/>
    <x v="1"/>
    <n v="49671.7"/>
    <n v="49671.7"/>
  </r>
  <r>
    <n v="70463"/>
    <s v="BARRIO ALMENDRO CAMPESTRE SOLEDAD"/>
    <n v="1143121596"/>
    <s v="3054488717"/>
    <s v="3054488717"/>
    <s v="3104534315"/>
    <s v="CR 11 B 78 33,ALMENDRO CAMPESTRE"/>
    <s v="10.931990"/>
    <s v="-74.768132"/>
    <s v="ATLÁNTICO"/>
    <s v="SOLEDAD"/>
    <s v="SOLEDAD"/>
    <n v="8758"/>
    <s v="2025-09-15"/>
    <n v="1"/>
    <s v="BARRANQUILLA"/>
    <x v="5"/>
    <n v="37313"/>
    <n v="37313"/>
  </r>
  <r>
    <n v="78123"/>
    <s v="BARRIO _x0009_VEREDA LA CECILIA VILLAVICENCIO"/>
    <n v="86083768"/>
    <s v="3044564471"/>
    <s v="3044564471"/>
    <s v="3044564471"/>
    <s v="VRD LA CECILIA ZN 1 CA 4 FCA LA CABAÑA,VEREDA LA CECILIA"/>
    <s v="4.111574"/>
    <s v="-73.603626"/>
    <s v="META"/>
    <s v="VILLAVICENCIO"/>
    <s v="VILLAVICENCIO"/>
    <n v="50001"/>
    <s v="2025-09-15"/>
    <n v="1"/>
    <s v="VILLAVICENCIO"/>
    <x v="1"/>
    <n v="49671.7"/>
    <n v="49671.7"/>
  </r>
  <r>
    <n v="78161"/>
    <s v="BARRIO LA PALMITA VILLA DEL ROSARIO "/>
    <n v="1092337293"/>
    <s v="3155332613"/>
    <s v="3155332613"/>
    <s v="3155332613"/>
    <s v="CL 15 NRO 11-30,LA PALMITA"/>
    <s v="7.825198"/>
    <s v="-72.475585"/>
    <s v="NORTE DE SANTANDER"/>
    <s v="VILLA DEL ROSARIO"/>
    <s v="VILLA DEL ROSARIO"/>
    <n v="54874"/>
    <s v="2025-09-15"/>
    <n v="1"/>
    <s v="CUCUTA"/>
    <x v="4"/>
    <n v="49671.7"/>
    <n v="49671.7"/>
  </r>
  <r>
    <n v="78271"/>
    <s v="BARRIO COMFANDI MORICHAL CALI"/>
    <n v="1144193300"/>
    <s v="3165370283"/>
    <s v="3043315357"/>
    <s v="3165370283"/>
    <s v="CL 55 42 D 07 ,COMFANDI MORICHAL"/>
    <s v="3.3993318"/>
    <s v="-76.5045649"/>
    <s v="VALLE DEL CAUCA"/>
    <s v="CALI"/>
    <s v="SANTIAGO DE CALI"/>
    <n v="76001"/>
    <s v="2025-09-15"/>
    <n v="1"/>
    <s v="CALI"/>
    <x v="3"/>
    <n v="37313"/>
    <n v="37313"/>
  </r>
  <r>
    <n v="78035"/>
    <s v="BARRIO CASTILLA MEDELLIN 14"/>
    <n v="1017242524"/>
    <s v="3157467724"/>
    <s v="3187293614"/>
    <s v="3157467724"/>
    <s v="CL 95 75 12,CASTILLA"/>
    <s v="6.2922322"/>
    <s v="-75.5794130"/>
    <s v="ANTIOQUIA"/>
    <s v="MEDELLÍN"/>
    <s v="MEDELLÍN"/>
    <n v="5001"/>
    <s v="2025-09-15"/>
    <n v="1"/>
    <s v="MEDELLIN"/>
    <x v="0"/>
    <n v="37313"/>
    <n v="37313"/>
  </r>
  <r>
    <n v="78124"/>
    <s v="BARRIO SAN ANTONIO VILLAVICENCIO 8"/>
    <n v="13541688"/>
    <s v="3138397858"/>
    <s v="3138397858"/>
    <s v="3138397858"/>
    <s v="MZ 20 MZ 1 CS 18 ET 2 LC 1 BRR CIUDADELA SAN ANTONIO,AN ANTONIO"/>
    <s v="4.121794"/>
    <s v="-73.563598"/>
    <s v="META"/>
    <s v="VILLAVICENCIO"/>
    <s v="VILLAVICENCIO"/>
    <n v="50001"/>
    <s v="2025-09-15"/>
    <n v="1"/>
    <s v="VILLAVICENCIO"/>
    <x v="1"/>
    <n v="49671.7"/>
    <n v="49671.7"/>
  </r>
  <r>
    <n v="78332"/>
    <s v="BARRIO BARZAL VILLAVICENCIO 21"/>
    <n v="86069312"/>
    <s v="3123429882"/>
    <s v="3202260810"/>
    <s v="3202260810"/>
    <s v="CL 35 N 38 11 BARZAL,BARZAL"/>
    <s v="4.145910"/>
    <s v="-73.639768"/>
    <s v="META"/>
    <s v="VILLAVICENCIO"/>
    <s v="VILLAVICENCIO"/>
    <n v="50001"/>
    <s v="2025-09-15"/>
    <n v="1"/>
    <s v="VILLAVICENCIO"/>
    <x v="1"/>
    <n v="49671.7"/>
    <n v="49671.7"/>
  </r>
  <r>
    <n v="75991"/>
    <s v="BARRIO ALFONSO LOPEZ BUCARAMANGA 7"/>
    <n v="63483260"/>
    <s v="3118464818"/>
    <s v="3118464818"/>
    <s v="3118464818"/>
    <s v="CR 8 44 81 AP 101 BRR ALFONSO LOPEZ,ALFONSO LOPEZ"/>
    <s v="7.1123990"/>
    <s v="-73.1301410"/>
    <s v="SANTANDER"/>
    <s v="BUCARAMANGA"/>
    <s v="BUCARAMANGA"/>
    <n v="68001"/>
    <s v="2025-09-15"/>
    <n v="1"/>
    <s v="BUCARAMANGA"/>
    <x v="4"/>
    <n v="37313"/>
    <n v="37313"/>
  </r>
  <r>
    <n v="67888"/>
    <s v="BARRIO CENTRO TUNJA 23"/>
    <n v="1002367177"/>
    <s v="3042600005"/>
    <s v="3042600005"/>
    <s v="3042600005"/>
    <s v="CR 9 22 41,CENTRO"/>
    <s v="5.53522808"/>
    <s v="-73.36012422"/>
    <s v="BOYACÁ"/>
    <s v="TUNJA"/>
    <s v="TUNJA"/>
    <n v="15001"/>
    <s v="2025-09-15"/>
    <n v="1"/>
    <s v="TUNJA"/>
    <x v="4"/>
    <n v="49671.7"/>
    <n v="49671.7"/>
  </r>
  <r>
    <n v="76036"/>
    <s v="BARRIO SANTA CRUZ SANTA MARTA 3"/>
    <n v="1082875907"/>
    <s v="3012344405"/>
    <s v="3012344405"/>
    <s v="3012344405"/>
    <s v="CR 26 44 B 13 URB RINCONES DE SANTA CRUZ,SANTA CRUZ"/>
    <s v="11.212027"/>
    <s v="-74.1854368"/>
    <s v="MAGDALENA"/>
    <s v="SANTA MARTA"/>
    <s v="SANTA MARTA"/>
    <n v="47001"/>
    <s v="2025-09-15"/>
    <n v="1"/>
    <s v="SANTA MARTA"/>
    <x v="5"/>
    <n v="49671.7"/>
    <n v="49671.7"/>
  </r>
  <r>
    <n v="63313"/>
    <s v="BARRIO ALQUERIA BOGOTA 8"/>
    <n v="1033804183"/>
    <s v="3142258719"/>
    <s v="3142258719"/>
    <s v="3124325814"/>
    <s v="cr 68b Nº 37a-31sur"/>
    <s v="4.6034548"/>
    <s v="-74.1350812"/>
    <s v="CUNDINAMARCA"/>
    <s v="BOGOTÁ"/>
    <s v="BOGOTÁ"/>
    <n v="11001"/>
    <s v="2025-09-15"/>
    <n v="1"/>
    <s v="BOGOTA"/>
    <x v="2"/>
    <n v="37313"/>
    <n v="37313"/>
  </r>
  <r>
    <n v="72576"/>
    <s v="BARRIO EL PORTAL MONTERIA 1"/>
    <n v="50911033"/>
    <s v="3007766291"/>
    <s v="3007766291"/>
    <s v="3007766291"/>
    <s v="SECTOR 1 MZ 6 16 APTO 102,EL PORTAL"/>
    <s v="8.7456364"/>
    <s v="-75.9074508"/>
    <s v="CÓRDOBA"/>
    <s v="MONTERÍA"/>
    <s v="MONTERÍA"/>
    <n v="23001"/>
    <s v="2025-09-15"/>
    <n v="1"/>
    <s v="MONTERIA"/>
    <x v="5"/>
    <n v="37313"/>
    <n v="37313"/>
  </r>
  <r>
    <n v="73508"/>
    <s v="BARRIO MINUTOS DE DIOS BOGOTA"/>
    <n v="80121292"/>
    <s v="3134942699"/>
    <s v="3134942699"/>
    <s v="3134942699"/>
    <s v="TV 73 A 82 H 38 LOCAL 9,MINUTO DE DIOS"/>
    <s v="4.7044756"/>
    <s v="-74.0898381"/>
    <s v="CUNDINAMARCA"/>
    <s v="BOGOTÁ"/>
    <s v="BOGOTÁ"/>
    <n v="11001"/>
    <s v="2025-09-15"/>
    <n v="1"/>
    <s v="BOGOTA"/>
    <x v="2"/>
    <n v="37313"/>
    <n v="37313"/>
  </r>
  <r>
    <n v="72659"/>
    <s v="VILLA NUEVA BOGOTA 2"/>
    <n v="52124680"/>
    <s v="3123619575"/>
    <s v="3114750250"/>
    <s v="3123619575"/>
    <s v="CR 68I # 39 C - 16 SUR,VILLA NUEVA"/>
    <s v="4.6036826"/>
    <s v="-74.1409728"/>
    <s v="CUNDINAMARCA"/>
    <s v="BOGOTÁ"/>
    <s v="BOGOTÁ"/>
    <n v="11001"/>
    <s v="2025-09-15"/>
    <n v="1"/>
    <s v="BOGOTA"/>
    <x v="2"/>
    <n v="37313"/>
    <n v="37313"/>
  </r>
  <r>
    <n v="76071"/>
    <s v="BARRIO 12 DE OCTUBRE VALLEDUPAR 1"/>
    <n v="49759299"/>
    <s v="3103015556"/>
    <s v="3245459357"/>
    <s v="3012059257"/>
    <s v="CL 34 CR 4-6 LOS MAYALES"/>
    <s v="10.4586282"/>
    <s v="-73.2274639"/>
    <s v="CESAR"/>
    <s v="VALLEDUPAR"/>
    <s v="VALLEDUPAR"/>
    <n v="20001"/>
    <s v="2025-09-15"/>
    <n v="1"/>
    <s v="VALLEDUPAR"/>
    <x v="5"/>
    <n v="49671.7"/>
    <n v="49671.7"/>
  </r>
  <r>
    <n v="63876"/>
    <s v="BARRIO BELLO BELLO 8"/>
    <n v="1036609435"/>
    <s v="3137503705"/>
    <s v="3137503705"/>
    <s v="3135129984"/>
    <s v="DG 65 41 C 26,BELLO"/>
    <s v="6.3462013"/>
    <s v="-75.5495167"/>
    <s v="ANTIOQUIA"/>
    <s v="BELLO"/>
    <s v="BELLO"/>
    <n v="5088"/>
    <s v="2025-09-15"/>
    <n v="1"/>
    <s v="MEDELLIN"/>
    <x v="0"/>
    <n v="37313"/>
    <n v="37313"/>
  </r>
  <r>
    <n v="64891"/>
    <s v="BARRIO LA ESMERALDA TUNJA 2"/>
    <n v="40040954"/>
    <s v="3188584882"/>
    <s v="3188584882"/>
    <s v="3188584882"/>
    <s v="CL 33 1 E 21 CIUDADELA COMFABOY, "/>
    <s v="5.5425317"/>
    <s v="-73.34884405"/>
    <s v="BOYACÁ"/>
    <s v="TUNJA"/>
    <s v="TUNJA"/>
    <n v="15001"/>
    <s v="2025-09-15"/>
    <n v="1"/>
    <s v="TUNJA"/>
    <x v="4"/>
    <n v="49671.7"/>
    <n v="49671.7"/>
  </r>
  <r>
    <n v="73874"/>
    <s v="BARRIO UNIVERSIDAD EAFIT MEDELLIN "/>
    <n v="901568881"/>
    <s v="0"/>
    <s v="3113107266"/>
    <s v="3113107266"/>
    <s v="CARRERA 49 7 SUR 50 BLOQUE 14,BARRIO UNIVERSIDAD EAFIT"/>
    <s v="6.1985770"/>
    <s v="-75.5790070"/>
    <s v="ANTIOQUIA"/>
    <s v="MEDELLÍN"/>
    <s v="MEDELLÍN"/>
    <n v="5001"/>
    <s v="2025-09-15"/>
    <n v="1"/>
    <s v="MEDELLIN"/>
    <x v="0"/>
    <n v="37313"/>
    <n v="37313"/>
  </r>
  <r>
    <n v="78452"/>
    <s v="BARRIO MELENDEZ CALI 4"/>
    <n v="1144095397"/>
    <s v="3177393533"/>
    <s v="3177393533"/>
    <s v="3177393533"/>
    <s v="CR 95 2B1 135,MELENDEZ"/>
    <s v="3.3740907"/>
    <s v="-76.5492055"/>
    <s v="VALLE DEL CAUCA"/>
    <s v="CALI"/>
    <s v="SANTIAGO DE CALI"/>
    <n v="76001"/>
    <s v="2025-09-15"/>
    <n v="1"/>
    <s v="CALI"/>
    <x v="3"/>
    <n v="37313"/>
    <n v="37313"/>
  </r>
  <r>
    <n v="79332"/>
    <s v="BARRIO BUENOS AIRES MEDELLIN 24"/>
    <n v="64726166"/>
    <s v="3116011061"/>
    <s v="3116011061"/>
    <s v="3116011061"/>
    <s v="CL 49C 9A 16,BUENOS AIRES"/>
    <s v="6.2319426"/>
    <s v="-75.5377613"/>
    <s v="ANTIOQUIA"/>
    <s v="MEDELLÍN"/>
    <s v="MEDELLÍN"/>
    <n v="5001"/>
    <s v="2025-09-15"/>
    <n v="1"/>
    <s v="MEDELLIN"/>
    <x v="0"/>
    <n v="37313"/>
    <n v="37313"/>
  </r>
  <r>
    <n v="74216"/>
    <s v="BARRIO HACARITAMA VILLAVICENCIO 4"/>
    <n v="1088732286"/>
    <s v="3222251170"/>
    <s v="3222251170"/>
    <s v="3222251170"/>
    <s v="CL 4  # 16 - 45 HACARITAMA"/>
    <s v="4.12739"/>
    <s v="-73.615456"/>
    <s v="META"/>
    <s v="VILLAVICENCIO"/>
    <s v="VILLAVICENCIO"/>
    <n v="50001"/>
    <s v="2025-09-15"/>
    <n v="1"/>
    <s v="VILLAVICENCIO"/>
    <x v="1"/>
    <n v="49671.7"/>
    <n v="49671.7"/>
  </r>
  <r>
    <n v="74285"/>
    <s v="BARRIO LA ESPERANZA VILLA DEL ROSARIO"/>
    <n v="1092344618"/>
    <s v="3213581753"/>
    <s v="3016520259"/>
    <s v="3213581753"/>
    <s v="CL 17N 11A 03,LA ESPERANZA"/>
    <s v="7.8508880"/>
    <s v="-72.4736902"/>
    <s v="NORTE DE SANTANDER"/>
    <s v="VILLA DEL ROSARIO"/>
    <s v="VILLA DEL ROSARIO"/>
    <n v="54874"/>
    <s v="2025-09-15"/>
    <n v="1"/>
    <s v="CUCUTA"/>
    <x v="4"/>
    <n v="49671.7"/>
    <n v="49671.7"/>
  </r>
  <r>
    <n v="74441"/>
    <s v="BARRIO LA ESPERANZA MEDELLIN"/>
    <n v="901700387"/>
    <s v="302 2295050"/>
    <s v="3022295050"/>
    <s v="3162252724"/>
    <s v="CL 92 74 C 09,LA ESPERANZA"/>
    <s v="6.2887152"/>
    <s v="-75.5802264"/>
    <s v="ANTIOQUIA"/>
    <s v="MEDELLÍN"/>
    <s v="MEDELLÍN"/>
    <n v="5001"/>
    <s v="2025-09-15"/>
    <n v="1"/>
    <s v="MEDELLIN"/>
    <x v="0"/>
    <n v="37313"/>
    <n v="37313"/>
  </r>
  <r>
    <n v="74099"/>
    <s v="BARRIO JARDIN ATOLSURE IBAGUÉ"/>
    <n v="1143850256"/>
    <s v="3002066588"/>
    <s v="3002066588"/>
    <s v="3005138426"/>
    <s v="CR 3 91 46,JARDIN ATOLSURE"/>
    <s v="4.4383125"/>
    <s v="-75.1798959"/>
    <s v="TOLIMA"/>
    <s v="IBAGUÉ"/>
    <s v="IBAGUÉ"/>
    <n v="73001"/>
    <s v="2025-09-15"/>
    <n v="1"/>
    <s v="IBAGUE"/>
    <x v="1"/>
    <n v="49671.7"/>
    <n v="49671.7"/>
  </r>
  <r>
    <n v="74154"/>
    <s v="BARRIO EL AMPARO MONTERIA "/>
    <n v="1096191943"/>
    <s v="3177402364"/>
    <s v="3177402364"/>
    <s v="3177402364"/>
    <s v="CL 22 3 CW 26-03 P1 EL AMPARO"/>
    <s v="8.7543084"/>
    <s v="-75.8941419"/>
    <s v="CÓRDOBA"/>
    <s v="MONTERÍA"/>
    <s v="MONTERÍA"/>
    <n v="23001"/>
    <s v="2025-09-15"/>
    <n v="1"/>
    <s v="MONTERIA"/>
    <x v="5"/>
    <n v="37313"/>
    <n v="37313"/>
  </r>
  <r>
    <n v="74199"/>
    <s v="BARRIO LA COLORADA TUNJA 1"/>
    <n v="1051954623"/>
    <s v="3112736129"/>
    <s v="3112736129"/>
    <s v="3112736129"/>
    <s v="CL 73 6 -66 BRR La Colorada"/>
    <s v="5.57575667"/>
    <s v="-73.34020303"/>
    <s v="BOYACÁ"/>
    <s v="TUNJA"/>
    <s v="TUNJA"/>
    <n v="15001"/>
    <s v="2025-09-15"/>
    <n v="1"/>
    <s v="TUNJA"/>
    <x v="4"/>
    <n v="49671.7"/>
    <n v="49671.7"/>
  </r>
  <r>
    <n v="75244"/>
    <s v="BARRIO ITAGUI ITAGUI 25"/>
    <n v="1036646941"/>
    <s v="3116285210"/>
    <s v="3117280350"/>
    <s v="3176888171"/>
    <s v="CR 51 54 04,ITAGÜÍ"/>
    <s v="6.1741099"/>
    <s v="-75.6067907"/>
    <s v="ANTIOQUIA"/>
    <s v="ITAGÜÍ"/>
    <s v="ITAGÜÍ"/>
    <n v="5360"/>
    <s v="2025-09-15"/>
    <n v="1"/>
    <s v="MEDELLIN"/>
    <x v="0"/>
    <n v="37313"/>
    <n v="37313"/>
  </r>
  <r>
    <n v="79384"/>
    <s v="BARRIO EL CENTRO EL ZULIA 5"/>
    <n v="30051400"/>
    <s v="3118688473"/>
    <s v="3118688473"/>
    <m/>
    <s v="CL 6 NRO 0-12,EL CENTRO"/>
    <s v="7.9323147"/>
    <s v="-72.5995859"/>
    <s v="NORTE DE SANTANDER"/>
    <s v="EL ZULIA"/>
    <s v="EL ZULIA"/>
    <n v="54261"/>
    <s v="2025-09-15"/>
    <n v="1"/>
    <s v="CUCUTA"/>
    <x v="4"/>
    <n v="49671.7"/>
    <n v="49671.7"/>
  </r>
  <r>
    <n v="78627"/>
    <s v="BARRIO COLARADOS LOS PATIOS"/>
    <n v="27749097"/>
    <s v="3219823042"/>
    <s v="3219823042"/>
    <s v="3219823042"/>
    <s v="AV 10 25B 29 ( KDX 90-2),COLORADOS"/>
    <s v="7.8359914"/>
    <s v="-72.5092821"/>
    <s v="NORTE DE SANTANDER"/>
    <s v="LOS PATIOS"/>
    <s v="LOS PATIOS"/>
    <n v="54405"/>
    <s v="2025-09-15"/>
    <n v="1"/>
    <s v="CUCUTA"/>
    <x v="4"/>
    <n v="49671.7"/>
    <n v="49671.7"/>
  </r>
  <r>
    <n v="78793"/>
    <s v="BARRIO BUCARAMANGA BUCARAMANGA  23"/>
    <n v="13748457"/>
    <s v="3245734996"/>
    <s v="3245734996"/>
    <m/>
    <s v="CL 28 6 20,BUCARAMANGA"/>
    <s v="7.1211529"/>
    <s v="-73.1342657"/>
    <s v="SANTANDER"/>
    <s v="BUCARAMANGA"/>
    <s v="BUCARAMANGA"/>
    <n v="68001"/>
    <s v="2025-09-15"/>
    <n v="2"/>
    <s v="BUCARAMANGA"/>
    <x v="4"/>
    <n v="37313"/>
    <n v="74626"/>
  </r>
  <r>
    <n v="78954"/>
    <s v="BARRIO AMBALA IBAGUE 13"/>
    <n v="65810710"/>
    <s v="3144433719"/>
    <s v="3144433719"/>
    <m/>
    <s v="CR 26 67 05 BARRIO AMABALA,AMBALA"/>
    <s v="4.4537513"/>
    <s v="-75.2016094"/>
    <s v="TOLIMA"/>
    <s v="IBAGUÉ"/>
    <s v="IBAGUÉ"/>
    <n v="73001"/>
    <s v="2025-09-15"/>
    <n v="1"/>
    <s v="IBAGUE"/>
    <x v="1"/>
    <n v="49671.7"/>
    <n v="49671.7"/>
  </r>
  <r>
    <n v="79095"/>
    <s v="BARRIO ENTRERRIOS IBAGUE 1"/>
    <n v="1013260139"/>
    <s v="3232210452"/>
    <s v="3232210452"/>
    <m/>
    <s v="MZ 0 A CASA 22 URBANIZACIÓN ENTRERRIOS,ENTRERRIOS"/>
    <s v="4.4453900"/>
    <s v="-75.1909352"/>
    <s v="TOLIMA"/>
    <s v="IBAGUÉ"/>
    <s v="IBAGUÉ"/>
    <n v="73001"/>
    <s v="2025-09-15"/>
    <n v="1"/>
    <s v="IBAGUE"/>
    <x v="1"/>
    <n v="49671.7"/>
    <n v="49671.7"/>
  </r>
  <r>
    <n v="75428"/>
    <s v="BARRIO 12 DE OCTUBRE VALLEDUPAR"/>
    <n v="39461057"/>
    <s v="3106026030"/>
    <s v="3003328546"/>
    <s v="3106026030"/>
    <s v="CL 25 A 13 03 -12 DE OCTUBRE,12 DE OCTUBRE"/>
    <s v="10.46022605"/>
    <s v="-73.24297674"/>
    <s v="CESAR"/>
    <s v="VALLEDUPAR"/>
    <s v="VALLEDUPAR"/>
    <n v="20001"/>
    <s v="2025-09-15"/>
    <n v="1"/>
    <s v="VALLEDUPAR"/>
    <x v="5"/>
    <n v="49671.7"/>
    <n v="49671.7"/>
  </r>
  <r>
    <n v="75685"/>
    <s v="BARRIO LA PAMBA POPAYAN 2"/>
    <n v="1061734133"/>
    <s v="3246257930"/>
    <s v="3166061190"/>
    <s v="3246257930"/>
    <s v="CL 2 2 - 40 BRR LA PAMBA - CALDAS,LA PAMBA"/>
    <s v="2.4429217"/>
    <s v="-76.6019706"/>
    <s v="CAUCA"/>
    <s v="POPAYÁN"/>
    <s v="POPAYÁN"/>
    <n v="19001"/>
    <s v="2025-09-15"/>
    <n v="1"/>
    <s v="CALI"/>
    <x v="3"/>
    <n v="37313"/>
    <n v="37313"/>
  </r>
  <r>
    <n v="74786"/>
    <s v="BARRIO BALCONES DE PROVENZA BUCARAMANGA"/>
    <n v="5745280"/>
    <s v="3204252471"/>
    <s v="3204252471"/>
    <s v="3204252471"/>
    <s v="DG 105 # 104 E - 208 BARRIO BALCONES DE PROVENZA,BALCONES DE PROVENZA"/>
    <s v="7.0803091"/>
    <s v="-73.211216"/>
    <s v="SANTANDER"/>
    <s v="BUCARAMANGA"/>
    <s v="BUCARAMANGA"/>
    <n v="68001"/>
    <s v="2025-09-15"/>
    <n v="1"/>
    <s v="BUCARAMANGA"/>
    <x v="4"/>
    <n v="37313"/>
    <n v="37313"/>
  </r>
  <r>
    <n v="75138"/>
    <s v="BARRIO SAN FERNANDO VIEJO CALI  1"/>
    <n v="1143833011"/>
    <s v="3164213400"/>
    <s v="3146944850"/>
    <s v="3164213400"/>
    <s v="CR 36 4A 55,SAN FERNANDO VIEJO"/>
    <s v="3.4321507"/>
    <s v="-76.5456510"/>
    <s v="VALLE DEL CAUCA"/>
    <s v="CALI"/>
    <s v="SANTIAGO DE CALI"/>
    <n v="76001"/>
    <s v="2025-09-15"/>
    <n v="1"/>
    <s v="CALI"/>
    <x v="3"/>
    <n v="37313"/>
    <n v="37313"/>
  </r>
  <r>
    <n v="79502"/>
    <s v="BARRIO LA CONCEPCION 1 BARRANQUILLA"/>
    <n v="72259523"/>
    <s v="3104980130"/>
    <s v="3104980130"/>
    <m/>
    <s v="CL 75 65 - 11 LC 4,LA CONCEPCIÓN"/>
    <s v="11.0069088"/>
    <s v="-74.7978883"/>
    <s v="ATLÁNTICO"/>
    <s v="BARRANQUILLA"/>
    <s v="BARRANQUILLA"/>
    <n v="8001"/>
    <s v="2025-09-15"/>
    <n v="1"/>
    <s v="BARRANQUILLA"/>
    <x v="5"/>
    <n v="37313"/>
    <n v="37313"/>
  </r>
  <r>
    <n v="79503"/>
    <s v="BARRIO LA PAZ BARRANQUILLA 3"/>
    <n v="1043449709"/>
    <s v="3014154582"/>
    <s v="3014154582"/>
    <m/>
    <s v="CL 109 12 E - 05,LA PAZ"/>
    <s v="10.9665194"/>
    <s v="-74.8374038"/>
    <s v="ATLÁNTICO"/>
    <s v="BARRANQUILLA"/>
    <s v="BARRANQUILLA"/>
    <n v="8001"/>
    <s v="2025-09-15"/>
    <n v="1"/>
    <s v="BARRANQUILLA"/>
    <x v="5"/>
    <n v="37313"/>
    <n v="37313"/>
  </r>
  <r>
    <n v="74153"/>
    <s v="BARRIO LA GRANJA MONTERIA 22"/>
    <n v="1067914441"/>
    <s v="310887862"/>
    <s v="3108871862"/>
    <s v="3108871862"/>
    <s v="DG 19 2 05 LOCAL 1,LA GRANJA"/>
    <s v="8.7410025"/>
    <s v="-75.8971820"/>
    <s v="CÓRDOBA"/>
    <s v="MONTERÍA"/>
    <s v="MONTERÍA"/>
    <n v="23001"/>
    <s v="2025-09-15"/>
    <n v="1"/>
    <s v="MONTERIA"/>
    <x v="5"/>
    <n v="37313"/>
    <n v="37313"/>
  </r>
  <r>
    <n v="79111"/>
    <s v="BARRIO CHAPINERO NEIVA 2"/>
    <n v="55174763"/>
    <s v="3104774616"/>
    <s v="3104774616"/>
    <m/>
    <s v="CR 9 17 82,CHAPINERO"/>
    <s v="2.9362035"/>
    <s v="-75.2849479"/>
    <s v="HUILA"/>
    <s v="NEIVA"/>
    <s v="NEIVA"/>
    <n v="41001"/>
    <s v="2025-09-15"/>
    <n v="1"/>
    <s v="NEIVA"/>
    <x v="1"/>
    <n v="49671.7"/>
    <n v="49671.7"/>
  </r>
  <r>
    <n v="79093"/>
    <s v="BARRIO AMBALA IBAGUE 15"/>
    <n v="28540387"/>
    <s v="3045277293"/>
    <s v="3045277293"/>
    <s v="3045277293"/>
    <s v="CL 66 22 06,AMBALA"/>
    <s v="4.4505630"/>
    <s v="-75.2005022"/>
    <s v="TOLIMA"/>
    <s v="IBAGUÉ"/>
    <s v="IBAGUÉ"/>
    <n v="73001"/>
    <s v="2025-09-15"/>
    <n v="1"/>
    <s v="IBAGUE"/>
    <x v="1"/>
    <n v="49671.7"/>
    <n v="49671.7"/>
  </r>
  <r>
    <n v="75738"/>
    <s v="BARRIO LUZ DEL MUNDO SANTA MARTA 1"/>
    <n v="1082932113"/>
    <s v="3126360905"/>
    <s v="3126360905"/>
    <s v="3126360905"/>
    <s v="MZ 2 CASA 16 SECTOR 1,LUZ DEL MUNDO"/>
    <s v="11.21490221"/>
    <s v="-74.18970807"/>
    <s v="MAGDALENA"/>
    <s v="SANTA MARTA"/>
    <s v="SANTA MARTA"/>
    <n v="47001"/>
    <s v="2025-09-15"/>
    <n v="1"/>
    <s v="SANTA MARTA"/>
    <x v="5"/>
    <n v="49671.7"/>
    <n v="49671.7"/>
  </r>
  <r>
    <n v="74466"/>
    <s v="BARRIO LA PALMA MONTERIA 3"/>
    <n v="1103216749"/>
    <s v="300 4661874"/>
    <s v="3004661874"/>
    <s v="3004661874"/>
    <s v="MZ 1 L T 9,LA PALMA"/>
    <s v="8.7480759"/>
    <s v="-75.9043920"/>
    <s v="CÓRDOBA"/>
    <s v="MONTERÍA"/>
    <s v="MONTERÍA"/>
    <n v="23001"/>
    <s v="2025-09-15"/>
    <n v="1"/>
    <s v="MONTERIA"/>
    <x v="5"/>
    <n v="37313"/>
    <n v="37313"/>
  </r>
  <r>
    <n v="79811"/>
    <s v="BARRIO ALTOS DEL LIMONAR NEIVA"/>
    <n v="1075249560"/>
    <s v="3172436254"/>
    <s v="3172436254"/>
    <m/>
    <s v="CL 21 A SUR36 72,ALTOS DEL LIMONAR"/>
    <s v="2.9075701"/>
    <s v="-75.2637500"/>
    <s v="HUILA"/>
    <s v="NEIVA"/>
    <s v="NEIVA"/>
    <n v="41001"/>
    <s v="2025-09-15"/>
    <n v="1"/>
    <s v="NEIVA"/>
    <x v="1"/>
    <n v="49671.7"/>
    <n v="49671.7"/>
  </r>
  <r>
    <n v="79842"/>
    <s v="BARRIO ALFONSO LOPEZ BUCARAMANGA  8"/>
    <n v="1004819653"/>
    <s v="3213746113"/>
    <s v="3213746113"/>
    <m/>
    <s v="CR 7 # 42 -47,ALFONSO LÓPEZ"/>
    <s v="7.1137819"/>
    <s v="-73.1318640"/>
    <s v="SANTANDER"/>
    <s v="BUCARAMANGA"/>
    <s v="BUCARAMANGA"/>
    <n v="68001"/>
    <s v="2025-09-15"/>
    <n v="1"/>
    <s v="BUCARAMANGA"/>
    <x v="4"/>
    <n v="37313"/>
    <n v="37313"/>
  </r>
  <r>
    <n v="76606"/>
    <s v="BARRIO POPULAR PASTO"/>
    <n v="1085310638"/>
    <s v="3217436605"/>
    <s v="3217436605"/>
    <s v="3114716632"/>
    <s v="CL 7 ESQ CS 249 DIV 1 BR POPULAR"/>
    <s v="1.20067135"/>
    <s v="-77.24804741"/>
    <s v="NARIÑO"/>
    <s v="PASTO"/>
    <s v="SAN JUAN DE PASTO"/>
    <n v="52001"/>
    <s v="2025-09-15"/>
    <n v="1"/>
    <s v="PASTO"/>
    <x v="3"/>
    <n v="49671.7"/>
    <n v="49671.7"/>
  </r>
  <r>
    <n v="79841"/>
    <s v="BARRIO CARRIZAL BARRANQUILLA 12"/>
    <n v="19588626"/>
    <s v="3107172822"/>
    <s v="3107172822"/>
    <m/>
    <s v="CL 51 B 01 - 37,CARRIZAL"/>
    <s v="10.9319322"/>
    <s v="-74.8125034"/>
    <s v="ATLÁNTICO"/>
    <s v="BARRANQUILLA"/>
    <s v="BARRANQUILLA"/>
    <n v="8001"/>
    <s v="2025-09-15"/>
    <n v="1"/>
    <s v="BARRANQUILLA"/>
    <x v="5"/>
    <n v="37313"/>
    <n v="37313"/>
  </r>
  <r>
    <n v="75674"/>
    <s v="BARRIO SANTA ISABLE CALI"/>
    <n v="1130629609"/>
    <s v="3225135974"/>
    <s v="3137320136"/>
    <s v="3225135974"/>
    <s v="CR 38 D 4 69,SANTA ISABEL"/>
    <s v="3.4266192"/>
    <s v="-76.5478171"/>
    <s v="VALLE DEL CAUCA"/>
    <s v="CALI"/>
    <s v="SANTIAGO DE CALI"/>
    <n v="76001"/>
    <s v="2025-09-15"/>
    <n v="1"/>
    <s v="CALI"/>
    <x v="3"/>
    <n v="37313"/>
    <n v="37313"/>
  </r>
  <r>
    <n v="79595"/>
    <s v="BARRIO CIUDAD DORADA ARMENIA 4"/>
    <n v="43079169"/>
    <s v="3108011306"/>
    <s v="3116046658"/>
    <s v="3108011306"/>
    <s v="MZ 11 CA 9 CIUDAD DORADA,CIUDAD DORADA"/>
    <s v="4.5297894"/>
    <s v="-75.7055350"/>
    <s v="QUINDÍO"/>
    <s v="ARMENIA"/>
    <s v="ARMENIA"/>
    <n v="63001"/>
    <s v="2025-09-15"/>
    <n v="1"/>
    <s v="PEREIRA"/>
    <x v="6"/>
    <n v="37313"/>
    <n v="37313"/>
  </r>
  <r>
    <n v="77311"/>
    <s v="BARRIO _x0009_LA CORDIALIDAD LOS PATIOS"/>
    <n v="88160672"/>
    <s v="3223050065"/>
    <s v="3043002209"/>
    <s v="3043002209"/>
    <s v="AV 4 28 28,LA CORDIALIDAD"/>
    <s v="7.836103360173003"/>
    <s v="-72.50400364172941"/>
    <s v="NORTE DE SANTANDER"/>
    <s v="LOS PATIOS"/>
    <s v="LOS PATIOS"/>
    <n v="54405"/>
    <s v="2025-09-15"/>
    <n v="1"/>
    <s v="CUCUTA"/>
    <x v="4"/>
    <n v="49671.7"/>
    <n v="49671.7"/>
  </r>
  <r>
    <n v="77447"/>
    <s v="BARRIO VDA LA CORRALA CALDAS 1"/>
    <n v="1038626734"/>
    <s v="3225978160"/>
    <s v="3246801144"/>
    <s v="3246801144"/>
    <s v="VRD LA CORRALA,VDA LA CORRALA"/>
    <s v="6.0873734"/>
    <s v="-75.6262809"/>
    <s v="ANTIOQUIA"/>
    <s v="CALDAS"/>
    <s v="CALDAS"/>
    <n v="5129"/>
    <s v="2025-09-15"/>
    <n v="1"/>
    <s v="MEDELLIN"/>
    <x v="0"/>
    <n v="37313"/>
    <n v="37313"/>
  </r>
  <r>
    <n v="80001"/>
    <s v="BARRIO LA DOCENA CALDAS"/>
    <n v="901808579"/>
    <s v="3042479999"/>
    <s v="3042479999"/>
    <m/>
    <s v="CR 50 125 SUR 146,LA DOCENA"/>
    <s v="6.0947898"/>
    <s v="-75.6361354"/>
    <s v="ANTIOQUIA"/>
    <s v="CALDAS"/>
    <s v="CALDAS"/>
    <n v="5129"/>
    <s v="2025-09-15"/>
    <n v="1"/>
    <s v="MEDELLIN"/>
    <x v="0"/>
    <n v="37313"/>
    <n v="37313"/>
  </r>
  <r>
    <n v="77913"/>
    <s v="BARRIO GRANCOLOMBIA VILLA DEL ROSARIO 2"/>
    <n v="1090487649"/>
    <s v="3208152996"/>
    <s v="3208152996"/>
    <s v="3208152996"/>
    <s v="CL 23 NRO 10-87 APTO 103,GRANCOLOMBIA"/>
    <s v="7.817613"/>
    <s v="-72.475974"/>
    <s v="NORTE DE SANTANDER"/>
    <s v="VILLA DEL ROSARIO"/>
    <s v="VILLA DEL ROSARIO"/>
    <n v="54874"/>
    <s v="2025-09-15"/>
    <n v="1"/>
    <s v="CUCUTA"/>
    <x v="4"/>
    <n v="49671.7"/>
    <n v="49671.7"/>
  </r>
  <r>
    <n v="77141"/>
    <s v="BARRIO URB CURINCA SANTA MARTA 1"/>
    <n v="1081806359"/>
    <s v="3144533820"/>
    <s v="3145358420"/>
    <s v="3145358420"/>
    <s v="MZ D 3 CA 1 LC 1,URB CURINCA"/>
    <s v="11.2112070"/>
    <s v="-74.1891238"/>
    <s v="MAGDALENA"/>
    <s v="SANTA MARTA"/>
    <s v="SANTA MARTA"/>
    <n v="47001"/>
    <s v="2025-09-15"/>
    <n v="1"/>
    <s v="SANTA MARTA"/>
    <x v="5"/>
    <n v="49671.7"/>
    <n v="49671.7"/>
  </r>
  <r>
    <n v="79799"/>
    <s v="BARRIO _x0009_JOSE JOAQUÍN CAMACHO TUNJA"/>
    <n v="7176990"/>
    <s v="3204388659"/>
    <s v="3204388659"/>
    <m/>
    <s v="AV NORTE 47A 40, LOCAL 053,JOSE JOAQUÍN CAMACHO"/>
    <s v="5.5557509"/>
    <s v="-73.3503545"/>
    <s v="BOYACÁ"/>
    <s v="TUNJA"/>
    <s v="TUNJA"/>
    <n v="15001"/>
    <s v="2025-09-15"/>
    <n v="1"/>
    <s v="TUNJA"/>
    <x v="4"/>
    <n v="49671.7"/>
    <n v="49671.7"/>
  </r>
  <r>
    <n v="77915"/>
    <s v="BARRIO CENTRO VILLAVICENCIO  31"/>
    <n v="52056226"/>
    <s v="3115510494"/>
    <s v="3115510494"/>
    <s v="3115510494"/>
    <s v="CL 40 31 26 BARRIO CENTRO,CENTRO"/>
    <s v="4.153032"/>
    <s v="-73.638037"/>
    <s v="META"/>
    <s v="VILLAVICENCIO"/>
    <s v="VILLAVICENCIO"/>
    <n v="50001"/>
    <s v="2025-09-15"/>
    <n v="1"/>
    <s v="VILLAVICENCIO"/>
    <x v="1"/>
    <n v="49671.7"/>
    <n v="49671.7"/>
  </r>
  <r>
    <n v="21262"/>
    <s v="BARRIO NIQUIA III - BELLO"/>
    <n v="3392516"/>
    <s v="5965670"/>
    <s v="3146432749"/>
    <s v="3146432749"/>
    <s v=" DG 55 42 82"/>
    <s v="6.33889192"/>
    <s v="-75.54897872"/>
    <s v="ANTIOQUIA"/>
    <s v="BELLO"/>
    <s v="BELLO"/>
    <n v="5088"/>
    <s v="2025-09-16"/>
    <n v="1"/>
    <s v="MEDELLIN"/>
    <x v="0"/>
    <n v="37313"/>
    <n v="37313"/>
  </r>
  <r>
    <n v="21261"/>
    <s v="BARRIO NIQUIA IV - BELLO"/>
    <n v="1128388490"/>
    <s v="4824397"/>
    <s v="3104372526"/>
    <s v="3104372526"/>
    <s v=" AV 44 56 39"/>
    <s v="6.3402726"/>
    <s v="-75.55165776"/>
    <s v="ANTIOQUIA"/>
    <s v="BELLO"/>
    <s v="BELLO"/>
    <n v="5088"/>
    <s v="2025-09-16"/>
    <n v="1"/>
    <s v="MEDELLIN"/>
    <x v="0"/>
    <n v="37313"/>
    <n v="37313"/>
  </r>
  <r>
    <n v="21803"/>
    <s v="BARRIO LISBOA III - BOGOTÁ"/>
    <n v="7124777"/>
    <s v="6977625"/>
    <s v="3133932047"/>
    <s v="3133932047"/>
    <s v=" CL 132D  152-29"/>
    <s v="4.7430337"/>
    <s v="-74.1230159"/>
    <s v="CUNDINAMARCA"/>
    <s v="BOGOTÁ"/>
    <s v="BOGOTÁ"/>
    <n v="11001"/>
    <s v="2025-09-16"/>
    <n v="1"/>
    <s v="BOGOTA"/>
    <x v="2"/>
    <n v="37313"/>
    <n v="37313"/>
  </r>
  <r>
    <n v="27259"/>
    <s v="BARRIO ROSITA VILLAVICENCIO"/>
    <n v="19231420"/>
    <s v="6655131"/>
    <s v="3104774541"/>
    <s v="3104774541"/>
    <s v=" CL 9 SUR  23 B Â 15"/>
    <s v="4.1147311"/>
    <s v="-73.6110760"/>
    <s v="META"/>
    <s v="VILLAVICENCIO"/>
    <s v="VILLAVICENCIO"/>
    <n v="50001"/>
    <s v="2025-09-16"/>
    <n v="1"/>
    <s v="VILLAVICENCIO"/>
    <x v="1"/>
    <n v="49671.7"/>
    <n v="49671.7"/>
  </r>
  <r>
    <n v="31014"/>
    <s v="BARRIO VEREDA PRIMAVERA"/>
    <n v="21533713"/>
    <s v="3036026"/>
    <s v="3046390780"/>
    <s v="3146461456"/>
    <s v=" VRD PRIMAVRA"/>
    <s v="6.070355"/>
    <s v="-75.634560"/>
    <s v="ANTIOQUIA"/>
    <s v="CALDAS"/>
    <s v="CALDAS"/>
    <n v="5129"/>
    <s v="2025-09-16"/>
    <n v="1"/>
    <s v="MEDELLIN"/>
    <x v="0"/>
    <n v="37313"/>
    <n v="37313"/>
  </r>
  <r>
    <n v="16079"/>
    <s v="BARRIO SANTA CRUZ VIII MEDELLÍN"/>
    <n v="43255405"/>
    <s v="5212970"/>
    <s v="3215558962"/>
    <s v="3215558962"/>
    <s v=" CR 52  100C-36 SANTA CRUZ"/>
    <s v="6.29458864"/>
    <s v="-75.56031408"/>
    <s v="ANTIOQUIA"/>
    <s v="MEDELLÍN"/>
    <s v="MEDELLÍN"/>
    <n v="5001"/>
    <s v="2025-09-16"/>
    <n v="1"/>
    <s v="MEDELLIN"/>
    <x v="0"/>
    <n v="37313"/>
    <n v="37313"/>
  </r>
  <r>
    <n v="25839"/>
    <s v="BARRIO LA IGUALDAD BOGOTA"/>
    <n v="80216376"/>
    <s v="3105706"/>
    <s v="3003317958"/>
    <s v="3003317958"/>
    <s v=" CL 1 SUR 68 A 58"/>
    <s v="4.6209328"/>
    <s v="-74.1269099"/>
    <s v="CUNDINAMARCA"/>
    <s v="BOGOTÁ"/>
    <s v="BOGOTÁ"/>
    <n v="11001"/>
    <s v="2025-09-16"/>
    <n v="1"/>
    <s v="BOGOTA"/>
    <x v="2"/>
    <n v="37313"/>
    <n v="37313"/>
  </r>
  <r>
    <n v="31130"/>
    <s v="BARRIO CASTILLA 12"/>
    <n v="43547149"/>
    <s v="5832809"/>
    <s v="3117485711"/>
    <s v="3117485711"/>
    <s v=" CR 75 94 141"/>
    <s v="6.29192537"/>
    <s v="-75.57935098"/>
    <s v="ANTIOQUIA"/>
    <s v="MEDELLÍN"/>
    <s v="MEDELLÍN"/>
    <n v="5001"/>
    <s v="2025-09-16"/>
    <n v="1"/>
    <s v="MEDELLIN"/>
    <x v="0"/>
    <n v="37313"/>
    <n v="37313"/>
  </r>
  <r>
    <n v="16104"/>
    <s v="BARRIO PLAYA RICA ITAGUI"/>
    <n v="1045426020"/>
    <s v="6022200"/>
    <s v="3206054875"/>
    <s v="3206054875"/>
    <s v=" CL 46  52A-14 PLAYA RICA"/>
    <s v="6.1729988"/>
    <s v="-75.6131966"/>
    <s v="ANTIOQUIA"/>
    <s v="ITAGÜÍ"/>
    <s v="ITAGÜÍ"/>
    <n v="5360"/>
    <s v="2025-09-16"/>
    <n v="2"/>
    <s v="MEDELLIN"/>
    <x v="0"/>
    <n v="37313"/>
    <n v="74626"/>
  </r>
  <r>
    <n v="35450"/>
    <s v="BARRIO TABORA BOGOTA 1"/>
    <n v="80728315"/>
    <s v="5203449"/>
    <s v="3196573850"/>
    <s v="3193202420"/>
    <s v=" CL 74 77 B 08"/>
    <s v="4.693282"/>
    <s v="-74.0987919"/>
    <s v="CUNDINAMARCA"/>
    <s v="BOGOTÁ"/>
    <s v="BOGOTÁ"/>
    <n v="11001"/>
    <s v="2025-09-16"/>
    <n v="1"/>
    <s v="BOGOTA"/>
    <x v="2"/>
    <n v="37313"/>
    <n v="37313"/>
  </r>
  <r>
    <n v="14854"/>
    <s v="BARRIO SAN PEDRO II CARTAGENA"/>
    <n v="45457439"/>
    <s v="6632295"/>
    <s v="3002069185"/>
    <s v="3002069185"/>
    <s v=" MAZANA 37 LT 6 LC-4 SAN PEDRO CARTAGENA"/>
    <s v="10.3928193"/>
    <s v="-75.4836769"/>
    <s v="BOLÍVAR"/>
    <s v="CARTAGENA DE INDIAS"/>
    <s v="CARTAGENA DE INDIAS"/>
    <n v="13001"/>
    <s v="2025-09-16"/>
    <n v="1"/>
    <s v="CARTAGENA"/>
    <x v="5"/>
    <n v="49671.7"/>
    <n v="49671.7"/>
  </r>
  <r>
    <n v="13351"/>
    <s v="BARRIO SAN FRANCISCO ITAGUI"/>
    <n v="1040731340"/>
    <s v="2798720"/>
    <s v="3122444449"/>
    <s v="3122444449"/>
    <s v=" CL 27  68-24 SAN FRANCISCO ITAGUI"/>
    <s v="6.1712417"/>
    <s v="-75.6410197"/>
    <s v="ANTIOQUIA"/>
    <s v="ITAGÜÍ"/>
    <s v="ITAGÜÍ"/>
    <n v="5360"/>
    <s v="2025-09-16"/>
    <n v="2"/>
    <s v="MEDELLIN"/>
    <x v="0"/>
    <n v="37313"/>
    <n v="74626"/>
  </r>
  <r>
    <n v="28755"/>
    <s v="BARRIO BOSQUES DE PINARES 2 ARMENIA"/>
    <n v="94386069"/>
    <s v="7478282"/>
    <s v="3117471492"/>
    <s v="3117471492"/>
    <s v=" CA 17 MZ12 LC 1"/>
    <s v="4.512373"/>
    <s v="-75.694119"/>
    <s v="QUINDÍO"/>
    <s v="ARMENIA"/>
    <s v="ARMENIA"/>
    <n v="63001"/>
    <s v="2025-09-16"/>
    <n v="1"/>
    <s v="PEREIRA"/>
    <x v="6"/>
    <n v="37313"/>
    <n v="37313"/>
  </r>
  <r>
    <n v="31580"/>
    <s v="BARRIO CONUCOS BUCARAMANGA"/>
    <n v="900610760"/>
    <s v="6570444"/>
    <s v="3152071459"/>
    <s v="3152071459"/>
    <s v=" CL 58 29 31 LC 5"/>
    <s v="7.10857078"/>
    <s v="-73.11238085"/>
    <s v="SANTANDER"/>
    <s v="BUCARAMANGA"/>
    <s v="BUCARAMANGA"/>
    <n v="68001"/>
    <s v="2025-09-16"/>
    <n v="1"/>
    <s v="BUCARAMANGA"/>
    <x v="4"/>
    <n v="37313"/>
    <n v="37313"/>
  </r>
  <r>
    <n v="36670"/>
    <s v="BARRIO EDMUNDO LOPEZ MONTERIA 1"/>
    <n v="70925821"/>
    <s v="7864391"/>
    <s v="3015318807"/>
    <s v="3104445314"/>
    <s v=" DG 14 16 22  EDMUNDO LOPEZ"/>
    <s v="8.7363950"/>
    <s v="-75.8798172"/>
    <s v="CÓRDOBA"/>
    <s v="MONTERÍA"/>
    <s v="MONTERÍA"/>
    <n v="23001"/>
    <s v="2025-09-16"/>
    <n v="1"/>
    <s v="MONTERIA"/>
    <x v="5"/>
    <n v="37313"/>
    <n v="37313"/>
  </r>
  <r>
    <n v="26570"/>
    <s v="BARRIO FANNY GONZALEZ MANIZALES"/>
    <n v="30237384"/>
    <s v="8765395"/>
    <s v="3103791532"/>
    <s v="3103791532"/>
    <s v="CL 46 11 B02 MANIZALES MANIZALES CALDAS"/>
    <s v="5.0728451"/>
    <s v="-75.5000730"/>
    <s v="CALDAS"/>
    <s v="MANIZALES"/>
    <s v="MANIZALES"/>
    <n v="17001"/>
    <s v="2025-09-16"/>
    <n v="2"/>
    <s v="MANIZALES"/>
    <x v="6"/>
    <n v="49671.7"/>
    <n v="99343.4"/>
  </r>
  <r>
    <n v="34822"/>
    <s v="BARRIO LOS LACHES BOGOTA"/>
    <n v="52900520"/>
    <s v="8115648"/>
    <s v="3133025270"/>
    <s v="3133025270"/>
    <s v=" CR 9 E 3 C 20 IN 1"/>
    <s v="4.5838331"/>
    <s v="-74.0678496"/>
    <s v="CUNDINAMARCA"/>
    <s v="BOGOTÁ"/>
    <s v="BOGOTÁ"/>
    <n v="11001"/>
    <s v="2025-09-16"/>
    <n v="1"/>
    <s v="BOGOTA"/>
    <x v="2"/>
    <n v="37313"/>
    <n v="37313"/>
  </r>
  <r>
    <n v="24749"/>
    <s v="BARRIO LA QUINTA - _x0009_CARTAGENA DE INDIAS"/>
    <n v="900670336"/>
    <s v="6694058"/>
    <s v="3164540914"/>
    <s v="3164540914"/>
    <s v=" CL 32  24-121 P1 AP 17"/>
    <s v="10.4147759"/>
    <s v="-75.5253043"/>
    <s v="BOLÍVAR"/>
    <s v="CARTAGENA DE INDIAS"/>
    <s v="CARTAGENA DE INDIAS"/>
    <n v="13001"/>
    <s v="2025-09-16"/>
    <n v="1"/>
    <s v="CARTAGENA"/>
    <x v="5"/>
    <n v="49671.7"/>
    <n v="49671.7"/>
  </r>
  <r>
    <n v="24363"/>
    <s v="BARRIO VILLA MÓNICA - SANTA MARTA"/>
    <n v="91226951"/>
    <s v="5785453"/>
    <s v="3002352633"/>
    <s v="3002352633"/>
    <s v=" CL 29H3  21F 31 LC 7 SANTA MARTA SANTA MARTA MAGDALENA"/>
    <s v="11.2262388"/>
    <s v="-74.1891919"/>
    <s v="MAGDALENA"/>
    <s v="SANTA MARTA"/>
    <s v="SANTA MARTA"/>
    <n v="47001"/>
    <s v="2025-09-16"/>
    <n v="1"/>
    <s v="SANTA MARTA"/>
    <x v="5"/>
    <n v="49671.7"/>
    <n v="49671.7"/>
  </r>
  <r>
    <n v="37720"/>
    <s v="BARRIO PRADERA BARRANQUILLA 2"/>
    <n v="72291805"/>
    <s v="3179638"/>
    <s v="3017888672"/>
    <s v="3017888672"/>
    <s v="Cr38 110 39 Lo1 La Pradera"/>
    <s v="10.9825723"/>
    <s v="-74.8365016"/>
    <s v="ATLÁNTICO"/>
    <s v="BARRANQUILLA"/>
    <s v="BARRANQUILLA"/>
    <n v="8001"/>
    <s v="2025-09-16"/>
    <n v="1"/>
    <s v="BARRANQUILLA"/>
    <x v="5"/>
    <n v="37313"/>
    <n v="37313"/>
  </r>
  <r>
    <n v="43437"/>
    <s v="BARRIO MINUTO DE DIOS BOGOTA 3"/>
    <n v="14324364"/>
    <s v="4941597"/>
    <s v="3204755689"/>
    <s v="3104757345"/>
    <s v="CR 73 A # 77 A 98,MINUTO DE DIOS"/>
    <s v="4.6961623"/>
    <s v="-74.0912093"/>
    <s v="CUNDINAMARCA"/>
    <s v="BOGOTÁ"/>
    <s v="BOGOTÁ"/>
    <n v="11001"/>
    <s v="2025-09-16"/>
    <n v="1"/>
    <s v="BOGOTA"/>
    <x v="2"/>
    <n v="37313"/>
    <n v="37313"/>
  </r>
  <r>
    <n v="46239"/>
    <s v="BARRIO LA CORDIALIDAD LOS PATIOS"/>
    <n v="60441734"/>
    <m/>
    <s v="3502598366"/>
    <s v="3502598366"/>
    <s v="AV 4 26-66,LA CORDIALIDAD"/>
    <s v="7.8343802"/>
    <s v="-72.5045478"/>
    <s v="NORTE DE SANTANDER"/>
    <s v="LOS PATIOS"/>
    <s v="LOS PATIOS"/>
    <n v="54405"/>
    <s v="2025-09-16"/>
    <n v="1"/>
    <s v="CUCUTA"/>
    <x v="4"/>
    <n v="49671.7"/>
    <n v="49671.7"/>
  </r>
  <r>
    <n v="34941"/>
    <s v="BARRIO LAS QUINTAS TUNJA"/>
    <n v="1049619380"/>
    <m/>
    <s v="3102497872"/>
    <s v="3102497872"/>
    <s v=" CL 49 1 31 LC 101"/>
    <s v="5.554693"/>
    <s v="-73.346152"/>
    <s v="BOYACÁ"/>
    <s v="TUNJA"/>
    <s v="TUNJA"/>
    <n v="15001"/>
    <s v="2025-09-16"/>
    <n v="1"/>
    <s v="TUNJA"/>
    <x v="4"/>
    <n v="49671.7"/>
    <n v="49671.7"/>
  </r>
  <r>
    <n v="40882"/>
    <s v="BARRIO LAS MARGARITAS SINCELEJO 1"/>
    <n v="6812707"/>
    <s v="2787179"/>
    <s v="3116511433"/>
    <s v="3116511433"/>
    <s v="CL 23 A 43 - 71 APTO 1,LAS MARGARITAS"/>
    <s v="9.3116723"/>
    <s v="-75.3798805"/>
    <s v="SUCRE"/>
    <s v="SINCELEJO"/>
    <s v="SINCELEJO"/>
    <n v="70001"/>
    <s v="2025-09-16"/>
    <n v="1"/>
    <s v="SINCELEJO"/>
    <x v="5"/>
    <n v="49671.7"/>
    <n v="49671.7"/>
  </r>
  <r>
    <n v="49242"/>
    <s v="BARRIO VILLA CLAUDIA BOGOTA"/>
    <n v="79371209"/>
    <s v="3107727274"/>
    <s v="3107727274"/>
    <s v="3107727274"/>
    <s v="CR 68 H # 17 - 05 SUR, VILLA CLAUDIA"/>
    <s v="4.614593"/>
    <s v="-74.128014"/>
    <s v="CUNDINAMARCA"/>
    <s v="BOGOTÁ"/>
    <s v="BOGOTÁ"/>
    <n v="11001"/>
    <s v="2025-09-16"/>
    <n v="1"/>
    <s v="BOGOTA"/>
    <x v="2"/>
    <n v="37313"/>
    <n v="37313"/>
  </r>
  <r>
    <n v="37723"/>
    <s v="BARRIO CENTRO TUNJA 5"/>
    <n v="33368926"/>
    <m/>
    <s v="3133166630"/>
    <s v="3133166630"/>
    <s v="CL 17  9 92"/>
    <s v="5.5299644444"/>
    <s v="-73.36253000"/>
    <s v="BOYACÁ"/>
    <s v="TUNJA"/>
    <s v="TUNJA"/>
    <n v="15001"/>
    <s v="2025-09-16"/>
    <n v="1"/>
    <s v="TUNJA"/>
    <x v="4"/>
    <n v="49671.7"/>
    <n v="49671.7"/>
  </r>
  <r>
    <n v="42658"/>
    <s v="BARRIO VALLE DEL LILI CALI 2"/>
    <n v="91289466"/>
    <s v="3085777"/>
    <s v="3206327397"/>
    <s v="3206327397"/>
    <s v="CR 92 45 13,VALLE DEL LILI"/>
    <s v="3.37679888"/>
    <s v="-76.5188558"/>
    <s v="VALLE DEL CAUCA"/>
    <s v="CALI"/>
    <s v="SANTIAGO DE CALI"/>
    <n v="76001"/>
    <s v="2025-09-16"/>
    <n v="1"/>
    <s v="CALI"/>
    <x v="3"/>
    <n v="37313"/>
    <n v="37313"/>
  </r>
  <r>
    <n v="43061"/>
    <s v="BARRIO VERGEL NEIVA 1"/>
    <n v="1075282945"/>
    <m/>
    <s v="3208580688"/>
    <s v="3183364326"/>
    <s v="calle 17 numero 40-12 barrio vergel"/>
    <s v="2.937363"/>
    <s v="-75.260116"/>
    <s v="HUILA"/>
    <s v="NEIVA"/>
    <s v="NEIVA"/>
    <n v="41001"/>
    <s v="2025-09-16"/>
    <n v="1"/>
    <s v="NEIVA"/>
    <x v="1"/>
    <n v="49671.7"/>
    <n v="49671.7"/>
  </r>
  <r>
    <n v="46663"/>
    <s v="BARRIO LA SABANA LOS PATIOS"/>
    <n v="901352346"/>
    <s v="5795088"/>
    <s v="3123864889"/>
    <s v="3123864889"/>
    <s v="AV 4 29-85,LA SABANA"/>
    <s v="7.8377458"/>
    <s v="-72.5036729"/>
    <s v="NORTE DE SANTANDER"/>
    <s v="LOS PATIOS"/>
    <s v="LOS PATIOS"/>
    <n v="54405"/>
    <s v="2025-09-16"/>
    <n v="1"/>
    <s v="CUCUTA"/>
    <x v="4"/>
    <n v="49671.7"/>
    <n v="49671.7"/>
  </r>
  <r>
    <n v="38038"/>
    <s v="BARRIO PICACHO MEDELLIN 1"/>
    <n v="98710597"/>
    <s v="2671839"/>
    <s v="3235680924"/>
    <s v="3235680924"/>
    <s v=" CR 84 A 104 A 11 PICACHO"/>
    <s v="6.30652"/>
    <s v="-75.58266"/>
    <s v="ANTIOQUIA"/>
    <s v="MEDELLÍN"/>
    <s v="MEDELLÍN"/>
    <n v="5001"/>
    <s v="2025-09-16"/>
    <n v="1"/>
    <s v="MEDELLIN"/>
    <x v="0"/>
    <n v="37313"/>
    <n v="37313"/>
  </r>
  <r>
    <n v="40590"/>
    <s v="BARRIO SANTANDER MEDELLIN"/>
    <n v="24872698"/>
    <s v="5877095"/>
    <s v="3054155725"/>
    <s v="3054155725"/>
    <s v="CR 78 C 107 B 10,SANTANDER"/>
    <s v="6.3079861"/>
    <s v="-75.5753222"/>
    <s v="ANTIOQUIA"/>
    <s v="MEDELLÍN"/>
    <s v="MEDELLÍN"/>
    <n v="5001"/>
    <s v="2025-09-16"/>
    <n v="1"/>
    <s v="MEDELLIN"/>
    <x v="0"/>
    <n v="37313"/>
    <n v="37313"/>
  </r>
  <r>
    <n v="45610"/>
    <s v="BARRIO SAMARIA 1 PEREIRA 1"/>
    <n v="1088282911"/>
    <m/>
    <s v="3116409875"/>
    <s v="3116409875"/>
    <s v="MZ 37 CA 30 BRR SAMARIA 1"/>
    <s v="4.7963244"/>
    <s v="-75.7092811"/>
    <s v="RISARALDA"/>
    <s v="PEREIRA"/>
    <s v="PEREIRA"/>
    <n v="66001"/>
    <s v="2025-09-16"/>
    <n v="1"/>
    <s v="PEREIRA"/>
    <x v="6"/>
    <n v="37313"/>
    <n v="37313"/>
  </r>
  <r>
    <n v="48782"/>
    <s v="BARRIO CENTRO COMERCIAL LOS COMUNEROS NEIVA"/>
    <n v="36314608"/>
    <s v="8721735"/>
    <s v="3176824668"/>
    <s v="3176824668"/>
    <s v="CENTRO COMERCIAL LOS COMUNEROS LOCAL 3095"/>
    <s v="2.9260534"/>
    <s v="-75.2920035"/>
    <s v="HUILA"/>
    <s v="NEIVA"/>
    <s v="NEIVA"/>
    <n v="41001"/>
    <s v="2025-09-16"/>
    <n v="1"/>
    <s v="NEIVA"/>
    <x v="1"/>
    <n v="49671.7"/>
    <n v="49671.7"/>
  </r>
  <r>
    <n v="37787"/>
    <s v="BARRIO LAS NUVES SOLEDAD 2000 SOLEDAD"/>
    <n v="72095116"/>
    <s v="3790050"/>
    <s v="3002683093"/>
    <s v="3002683093"/>
    <s v=" CR 19 47 2 LAS NUVES SOLEDAD 2000"/>
    <s v="10.92676861"/>
    <s v="-74.787283"/>
    <s v="ATLÁNTICO"/>
    <s v="SOLEDAD"/>
    <s v="SOLEDAD"/>
    <n v="8758"/>
    <s v="2025-09-16"/>
    <n v="1"/>
    <s v="BARRANQUILLA"/>
    <x v="5"/>
    <n v="37313"/>
    <n v="37313"/>
  </r>
  <r>
    <n v="46961"/>
    <s v="BARRIO EL CANEY CALI 1"/>
    <n v="1107047253"/>
    <s v="0"/>
    <s v="3107298962"/>
    <s v="3107298962"/>
    <s v="CL 48 85 D 48-56 LC 6 EL CANEY"/>
    <s v="3.3801516"/>
    <s v="-76.516138"/>
    <s v="VALLE DEL CAUCA"/>
    <s v="CALI"/>
    <s v="SANTIAGO DE CALI"/>
    <n v="76001"/>
    <s v="2025-09-16"/>
    <n v="1"/>
    <s v="CALI"/>
    <x v="3"/>
    <n v="37313"/>
    <n v="37313"/>
  </r>
  <r>
    <n v="49202"/>
    <s v="BARRIO JUAN XXIII MONTERIA 2"/>
    <n v="78714174"/>
    <s v="0"/>
    <s v="3014335021"/>
    <s v="3014335021"/>
    <s v="CL 36 3W 99,JUAN XXIII"/>
    <s v="8.766212"/>
    <s v="-75.88877"/>
    <s v="CÓRDOBA"/>
    <s v="MONTERÍA"/>
    <s v="MONTERÍA"/>
    <n v="23001"/>
    <s v="2025-09-16"/>
    <n v="1"/>
    <s v="MONTERIA"/>
    <x v="5"/>
    <n v="37313"/>
    <n v="37313"/>
  </r>
  <r>
    <n v="45898"/>
    <s v="BARRIO PERALONSO MANIZALES 1"/>
    <n v="30297917"/>
    <s v="8764991"/>
    <s v="3207660905"/>
    <s v="3207660905"/>
    <s v="CR 11 C 46 30,PERALONSO"/>
    <s v="5.0727960"/>
    <s v="-75.4995773"/>
    <s v="CALDAS"/>
    <s v="MANIZALES"/>
    <s v="MANIZALES"/>
    <n v="17001"/>
    <s v="2025-09-16"/>
    <n v="1"/>
    <s v="MANIZALES"/>
    <x v="6"/>
    <n v="49671.7"/>
    <n v="49671.7"/>
  </r>
  <r>
    <n v="45650"/>
    <s v="BARRIO SAN CAYETANO MANIZALES 1"/>
    <n v="1002547758"/>
    <m/>
    <s v="3136711209"/>
    <s v="3122701582"/>
    <s v="CL 47 L 13 C 17,SAN CAYETANO"/>
    <s v="5.0736291"/>
    <s v="-75.4938596"/>
    <s v="CALDAS"/>
    <s v="MANIZALES"/>
    <s v="MANIZALES"/>
    <n v="17001"/>
    <s v="2025-09-16"/>
    <n v="2"/>
    <s v="MANIZALES"/>
    <x v="6"/>
    <n v="49671.7"/>
    <n v="99343.4"/>
  </r>
  <r>
    <n v="50107"/>
    <s v="BARRIO POPULAR MEDELLIN 1"/>
    <n v="1035420972"/>
    <s v="5284903"/>
    <s v="3116054694"/>
    <s v="3116054694"/>
    <s v="CR 42 B 120 56,POPULAR"/>
    <s v="6.3021887"/>
    <s v="-75.5435489"/>
    <s v="ANTIOQUIA"/>
    <s v="MEDELLÍN"/>
    <s v="MEDELLÍN"/>
    <n v="5001"/>
    <s v="2025-09-16"/>
    <n v="2"/>
    <s v="MEDELLIN"/>
    <x v="0"/>
    <n v="37313"/>
    <n v="74626"/>
  </r>
  <r>
    <n v="49761"/>
    <s v="BARRIO VEREDA PEDREGAL ITAGUI"/>
    <n v="43827598"/>
    <s v="3766666"/>
    <s v="3013097801"/>
    <s v="3013097801"/>
    <s v="CL 74 67 B 16 INT 101,VRD PEDREGAL"/>
    <s v="6.1887218"/>
    <s v="-75.6177555"/>
    <s v="ANTIOQUIA"/>
    <s v="ITAGÜÍ"/>
    <s v="ITAGÜÍ"/>
    <n v="5360"/>
    <s v="2025-09-16"/>
    <n v="1"/>
    <s v="MEDELLIN"/>
    <x v="0"/>
    <n v="37313"/>
    <n v="37313"/>
  </r>
  <r>
    <n v="50487"/>
    <s v="BARRIO BRISAS NEIVA 2"/>
    <n v="26441354"/>
    <s v="0"/>
    <s v="3209967775"/>
    <s v="3209967775"/>
    <s v="CL 8 34 69,BRISAS"/>
    <s v="2.930398"/>
    <s v="-75.263344"/>
    <s v="HUILA"/>
    <s v="NEIVA"/>
    <s v="NEIVA"/>
    <n v="41001"/>
    <s v="2025-09-16"/>
    <n v="1"/>
    <s v="NEIVA"/>
    <x v="1"/>
    <n v="49671.7"/>
    <n v="49671.7"/>
  </r>
  <r>
    <n v="50598"/>
    <s v="BARRIO BOSQUE NORTE PARTE BAJA BUCARAMANGA"/>
    <n v="1098683588"/>
    <s v="6406064"/>
    <s v="3207898029"/>
    <s v="3207898029"/>
    <s v="CR 16 B 2 A 06,BOSQUE NORTE PARTE BAJA"/>
    <s v="7.144083"/>
    <s v="-73.132873"/>
    <s v="SANTANDER"/>
    <s v="BUCARAMANGA"/>
    <s v="BUCARAMANGA"/>
    <n v="68001"/>
    <s v="2025-09-16"/>
    <n v="1"/>
    <s v="BUCARAMANGA"/>
    <x v="4"/>
    <n v="37313"/>
    <n v="37313"/>
  </r>
  <r>
    <n v="50714"/>
    <s v="BARRIO CHINO CARTAGENA DE INDIAS 1"/>
    <n v="1235041793"/>
    <s v="0"/>
    <s v="3023978450"/>
    <s v="3023978450"/>
    <s v="CL 32 23 60 P 1 LC 01,CHINO"/>
    <s v="10.4150603"/>
    <s v="-75.5268074"/>
    <s v="BOLÍVAR"/>
    <s v="CARTAGENA DE INDIAS"/>
    <s v="CARTAGENA DE INDIAS"/>
    <n v="13001"/>
    <s v="2025-09-16"/>
    <n v="2"/>
    <s v="CARTAGENA"/>
    <x v="5"/>
    <n v="49671.7"/>
    <n v="99343.4"/>
  </r>
  <r>
    <n v="50840"/>
    <s v="BARRIO BOSQUES DE PINARES ARMENIA"/>
    <n v="9771573"/>
    <s v="0"/>
    <s v="3148658029"/>
    <s v="3148658029"/>
    <s v="MZ 12 CA 9, BRR BOSQUES DE PINARES"/>
    <s v="4.5121250"/>
    <s v="-75.6959782"/>
    <s v="QUINDÍO"/>
    <s v="ARMENIA"/>
    <s v="ARMENIA"/>
    <n v="63001"/>
    <s v="2025-09-16"/>
    <n v="1"/>
    <s v="PEREIRA"/>
    <x v="6"/>
    <n v="37313"/>
    <n v="37313"/>
  </r>
  <r>
    <n v="51442"/>
    <s v="BARRIO CENTRO IBAGUE 25"/>
    <n v="28556901"/>
    <s v="2610923"/>
    <s v="3152993131"/>
    <s v="3152993131"/>
    <s v="CR 3 # 16 - 51 LOCAL 2007 CENTRO COMERCIAL SANANDREXITOS,CENTRO"/>
    <s v="4.4414453"/>
    <s v="-75.2368752"/>
    <s v="TOLIMA"/>
    <s v="IBAGUÉ"/>
    <s v="IBAGUÉ"/>
    <n v="73001"/>
    <s v="2025-09-16"/>
    <n v="2"/>
    <s v="IBAGUE"/>
    <x v="1"/>
    <n v="49671.7"/>
    <n v="99343.4"/>
  </r>
  <r>
    <n v="52799"/>
    <s v="BARRIO BOSQUES DE PINARES 1"/>
    <n v="5884207"/>
    <s v="0"/>
    <s v="3105155905"/>
    <s v="3105155905"/>
    <s v="BRR. BOSQUE DE PINARES MZ. 9 CA. 167,BOSQUES DE PINARES"/>
    <s v="4.51183777"/>
    <s v="-75.6944647222"/>
    <s v="QUINDÍO"/>
    <s v="ARMENIA"/>
    <s v="ARMENIA"/>
    <n v="63001"/>
    <s v="2025-09-16"/>
    <n v="1"/>
    <s v="PEREIRA"/>
    <x v="6"/>
    <n v="37313"/>
    <n v="37313"/>
  </r>
  <r>
    <n v="52409"/>
    <s v="BARRIO EMPORIO VILLAVICENCIO 1"/>
    <n v="1192909937"/>
    <s v="3105597886"/>
    <s v="3105597886"/>
    <s v="3105597886"/>
    <s v="CL 39 D 28 27 EMPORIO,EMPORIO"/>
    <s v="4.15472861"/>
    <s v="-73.63481472"/>
    <s v="META"/>
    <s v="VILLAVICENCIO"/>
    <s v="VILLAVICENCIO"/>
    <n v="50001"/>
    <s v="2025-09-16"/>
    <n v="1"/>
    <s v="VILLAVICENCIO"/>
    <x v="1"/>
    <n v="49671.7"/>
    <n v="49671.7"/>
  </r>
  <r>
    <n v="52970"/>
    <s v="BARRIO EL CENTRO FLORENCIA"/>
    <n v="16379884"/>
    <s v="0"/>
    <s v="3165275534"/>
    <s v="3165275534"/>
    <s v="CL 3 NRO. 2-41"/>
    <s v="1.6823840"/>
    <s v="-77.0727752"/>
    <s v="CAUCA"/>
    <s v="FLORENCIA"/>
    <s v="FLORENCIA"/>
    <n v="19290"/>
    <s v="2025-09-16"/>
    <n v="1"/>
    <s v="CALI"/>
    <x v="3"/>
    <n v="37313"/>
    <n v="37313"/>
  </r>
  <r>
    <n v="55164"/>
    <s v="BARRIO LAS BRISAS BOGOTA"/>
    <n v="1018468117"/>
    <s v="0"/>
    <s v="3102877319"/>
    <s v="3102877319"/>
    <s v="CARRERA 4 # 0 - 38 SUR INT 2"/>
    <s v="4.5795395"/>
    <s v="-74.0769228"/>
    <s v="CUNDINAMARCA"/>
    <s v="BOGOTÁ"/>
    <s v="BOGOTÁ"/>
    <n v="11001"/>
    <s v="2025-09-16"/>
    <n v="1"/>
    <s v="BOGOTA"/>
    <x v="2"/>
    <n v="37313"/>
    <n v="37313"/>
  </r>
  <r>
    <n v="52933"/>
    <s v="BARRIO CENTRO VILLAVICENCIO 12"/>
    <n v="1121918059"/>
    <s v="3115366148"/>
    <s v="3115366148"/>
    <s v="3115366148"/>
    <s v="CL 38 33 64 CENTRO"/>
    <s v="4.1507205"/>
    <s v="-73.6390007"/>
    <s v="META"/>
    <s v="VILLAVICENCIO"/>
    <s v="VILLAVICENCIO"/>
    <n v="50001"/>
    <s v="2025-09-16"/>
    <n v="1"/>
    <s v="VILLAVICENCIO"/>
    <x v="1"/>
    <n v="49671.7"/>
    <n v="49671.7"/>
  </r>
  <r>
    <n v="58950"/>
    <s v="BARRIO LOS LAGOS CALI 1"/>
    <n v="1118236856"/>
    <s v="4230933"/>
    <s v="3003643733"/>
    <s v="3003643733"/>
    <s v="CL 73 26 L 16,LOS LAGOS"/>
    <s v="3.4271904"/>
    <s v="-76.4845066"/>
    <s v="VALLE DEL CAUCA"/>
    <s v="CALI"/>
    <s v="SANTIAGO DE CALI"/>
    <n v="76001"/>
    <s v="2025-09-16"/>
    <n v="2"/>
    <s v="CALI"/>
    <x v="3"/>
    <n v="37313"/>
    <n v="74626"/>
  </r>
  <r>
    <n v="60577"/>
    <s v="BARRIO REMANSOS DE ROSABLANCA VILLAVICENCIO"/>
    <n v="40188177"/>
    <s v="3125629154"/>
    <s v="3043661040"/>
    <s v="3043661040"/>
    <s v="Calle  4 A sur 25-04, Barrio Remansos de Rosa Blanca"/>
    <s v="4.1164869"/>
    <s v="-73.6182923"/>
    <s v="META"/>
    <s v="VILLAVICENCIO"/>
    <s v="VILLAVICENCIO"/>
    <n v="50001"/>
    <s v="2025-09-16"/>
    <n v="1"/>
    <s v="VILLAVICENCIO"/>
    <x v="1"/>
    <n v="49671.7"/>
    <n v="49671.7"/>
  </r>
  <r>
    <n v="57886"/>
    <s v="BARRIO LOS LACHES BOGOTA 1"/>
    <n v="79831830"/>
    <s v="8108773"/>
    <s v="3046131544"/>
    <s v="3023790271"/>
    <s v="DG 4 8 22 ESTE"/>
    <s v="4.5852458"/>
    <s v="-74.0675985"/>
    <s v="CUNDINAMARCA"/>
    <s v="BOGOTÁ"/>
    <s v="BOGOTÁ"/>
    <n v="11001"/>
    <s v="2025-09-16"/>
    <n v="1"/>
    <s v="BOGOTA"/>
    <x v="2"/>
    <n v="37313"/>
    <n v="37313"/>
  </r>
  <r>
    <n v="58874"/>
    <s v="BARRIO VILLA LUZ MONTERIA"/>
    <n v="1064980797"/>
    <s v="3135177114"/>
    <s v="3135177114"/>
    <s v="3008163368"/>
    <s v="CR 1 W 43A 16,VILLA LUZ"/>
    <s v="8.771447"/>
    <s v="-75.883086"/>
    <s v="CÓRDOBA"/>
    <s v="MONTERÍA"/>
    <s v="MONTERÍA"/>
    <n v="23001"/>
    <s v="2025-09-16"/>
    <n v="1"/>
    <s v="MONTERIA"/>
    <x v="5"/>
    <n v="37313"/>
    <n v="37313"/>
  </r>
  <r>
    <n v="56836"/>
    <s v="BARRIO VERSALLES FLORENCIA"/>
    <n v="1075243981"/>
    <s v="3124154485"/>
    <s v="3124154485"/>
    <s v="3124154485"/>
    <s v="CR  14 A  4 38"/>
    <s v="1.606767"/>
    <s v="-75.605311"/>
    <s v="CAQUETÁ"/>
    <s v="FLORENCIA"/>
    <s v="FLORENCIA"/>
    <n v="18001"/>
    <s v="2025-09-16"/>
    <n v="2"/>
    <s v="NEIVA"/>
    <x v="1"/>
    <n v="49671.7"/>
    <n v="99343.4"/>
  </r>
  <r>
    <n v="58346"/>
    <s v="BARRIO LA CORDIALIDAD LOS PATIOS 2"/>
    <n v="1090523906"/>
    <s v="0"/>
    <s v="3217309252"/>
    <s v="3217309252"/>
    <s v="AV 1E 31A-86-1,LA CORDIALIDAD"/>
    <s v="7.8379522"/>
    <s v="-72.4985211"/>
    <s v="NORTE DE SANTANDER"/>
    <s v="LOS PATIOS"/>
    <s v="LOS PATIOS"/>
    <n v="54405"/>
    <s v="2025-09-16"/>
    <n v="1"/>
    <s v="CUCUTA"/>
    <x v="4"/>
    <n v="49671.7"/>
    <n v="49671.7"/>
  </r>
  <r>
    <n v="59168"/>
    <s v="BARRIO CABECERA BUCARAMANGA 15"/>
    <n v="63306230"/>
    <s v="3185809408"/>
    <s v="3185809408"/>
    <s v="3185809408"/>
    <s v="CL 34 35 28"/>
    <s v="7.1258409"/>
    <s v="-73.11071"/>
    <s v="SANTANDER"/>
    <s v="BUCARAMANGA"/>
    <s v="BUCARAMANGA"/>
    <n v="68001"/>
    <s v="2025-09-16"/>
    <n v="1"/>
    <s v="BUCARAMANGA"/>
    <x v="4"/>
    <n v="37313"/>
    <n v="37313"/>
  </r>
  <r>
    <n v="58853"/>
    <s v="BARRIO CAMILO TORRES DUITAMA 3"/>
    <n v="1052403851"/>
    <s v="3232071887"/>
    <s v="3232071887"/>
    <s v="3232071887"/>
    <s v="CL 22 NO.37-06,CAMILO TORRES"/>
    <s v="5.8152607"/>
    <s v="-73.0189939"/>
    <s v="BOYACÁ"/>
    <s v="DUITAMA"/>
    <s v="DUITAMA"/>
    <n v="15238"/>
    <s v="2025-09-16"/>
    <n v="1"/>
    <s v="TUNJA"/>
    <x v="4"/>
    <n v="49671.7"/>
    <n v="49671.7"/>
  </r>
  <r>
    <n v="60955"/>
    <s v="BARRIO LOMITAS VILLA DEL ROSARIO 3"/>
    <n v="901301862"/>
    <s v="3115392454"/>
    <s v="3226803802"/>
    <s v="3136238499"/>
    <s v="ANILLO VIAL KDX -B18-55,LOMITAS"/>
    <s v="7.855975"/>
    <s v="-72.48317"/>
    <s v="NORTE DE SANTANDER"/>
    <s v="VILLA DEL ROSARIO"/>
    <s v="VILLA DEL ROSARIO"/>
    <n v="54874"/>
    <s v="2025-09-16"/>
    <n v="1"/>
    <s v="CUCUTA"/>
    <x v="4"/>
    <n v="49671.7"/>
    <n v="49671.7"/>
  </r>
  <r>
    <n v="61519"/>
    <s v="BARRIO BUCARAMANGA BUCARAMANGA 8"/>
    <n v="1140909174"/>
    <s v="3202037111"/>
    <s v="3043548253"/>
    <s v="3043548253"/>
    <s v="CL 21 22 67 LOCAL 3,BUCARAMANGA"/>
    <s v="7.1282258"/>
    <s v="-73.1228271"/>
    <s v="SANTANDER"/>
    <s v="BUCARAMANGA"/>
    <s v="BUCARAMANGA"/>
    <n v="68001"/>
    <s v="2025-09-16"/>
    <n v="1"/>
    <s v="BUCARAMANGA"/>
    <x v="4"/>
    <n v="37313"/>
    <n v="37313"/>
  </r>
  <r>
    <n v="60320"/>
    <s v="BARRIO EL HOGAR VALLEDUPAR"/>
    <n v="1066350265"/>
    <s v="3223995935"/>
    <s v="3045380699"/>
    <s v="3223995935"/>
    <s v="CL 18 A 2 36 05,EL HOGAR"/>
    <s v="10.45015128"/>
    <s v="-73.27465226"/>
    <s v="CESAR"/>
    <s v="VALLEDUPAR"/>
    <s v="VALLEDUPAR"/>
    <n v="20001"/>
    <s v="2025-09-16"/>
    <n v="1"/>
    <s v="VALLEDUPAR"/>
    <x v="5"/>
    <n v="49671.7"/>
    <n v="49671.7"/>
  </r>
  <r>
    <n v="61399"/>
    <s v="BARRIO BOYACA LAS BRISAS MEDELLIN 4"/>
    <n v="64743035"/>
    <s v="0"/>
    <s v="3116136607"/>
    <s v="3116136607"/>
    <s v="CL 111 B 64 D 60"/>
    <s v="6.3066072"/>
    <s v="-75.5635514"/>
    <s v="ANTIOQUIA"/>
    <s v="MEDELLÍN"/>
    <s v="MEDELLÍN"/>
    <n v="5001"/>
    <s v="2025-09-16"/>
    <n v="1"/>
    <s v="MEDELLIN"/>
    <x v="0"/>
    <n v="37313"/>
    <n v="37313"/>
  </r>
  <r>
    <n v="61522"/>
    <s v="BARRIO AVENIDA LAS PEÑITAS SINCELEJO"/>
    <n v="1193444835"/>
    <s v="3116844890"/>
    <s v="3015601476"/>
    <s v="3015601476"/>
    <s v="CL 25 26 53 LOCAL 05"/>
    <s v="9.3027267"/>
    <s v="-75.3849987"/>
    <s v="SUCRE"/>
    <s v="SINCELEJO"/>
    <s v="SINCELEJO"/>
    <n v="70001"/>
    <s v="2025-09-16"/>
    <n v="2"/>
    <s v="SINCELEJO"/>
    <x v="5"/>
    <n v="49671.7"/>
    <n v="99343.4"/>
  </r>
  <r>
    <n v="55792"/>
    <s v="BARRIO BILBAO BOGOTA 2"/>
    <n v="52397828"/>
    <s v="6019412"/>
    <s v="3208528781"/>
    <s v="3004990759"/>
    <s v="CR 145 134 A 03"/>
    <s v="4.7455724"/>
    <s v="-74.1171725"/>
    <s v="CUNDINAMARCA"/>
    <s v="BOGOTÁ"/>
    <s v="BOGOTÁ"/>
    <n v="11001"/>
    <s v="2025-09-16"/>
    <n v="1"/>
    <s v="BOGOTA"/>
    <x v="2"/>
    <n v="37313"/>
    <n v="37313"/>
  </r>
  <r>
    <n v="60361"/>
    <s v="BARRIO CONCORDIA BUCARAMANGA 1"/>
    <n v="63512827"/>
    <s v="3187345613"/>
    <s v="3187345613"/>
    <s v="3187345613"/>
    <s v="CL 42 27 A 11"/>
    <s v="7.1194144"/>
    <s v="-73.1146905"/>
    <s v="SANTANDER"/>
    <s v="BUCARAMANGA"/>
    <s v="BUCARAMANGA"/>
    <n v="68001"/>
    <s v="2025-09-16"/>
    <n v="1"/>
    <s v="BUCARAMANGA"/>
    <x v="4"/>
    <n v="37313"/>
    <n v="37313"/>
  </r>
  <r>
    <n v="60590"/>
    <s v="BARRIO PIZARREAL LOS PATIOS  3"/>
    <n v="13199764"/>
    <s v="0"/>
    <s v="3229475947"/>
    <s v="3245594142"/>
    <s v="AV 9 8-13,PIZARREAL"/>
    <s v="7.8080390"/>
    <s v="-72.5168440"/>
    <s v="NORTE DE SANTANDER"/>
    <s v="LOS PATIOS"/>
    <s v="LOS PATIOS"/>
    <n v="54405"/>
    <s v="2025-09-16"/>
    <n v="1"/>
    <s v="CUCUTA"/>
    <x v="4"/>
    <n v="49671.7"/>
    <n v="49671.7"/>
  </r>
  <r>
    <n v="59385"/>
    <s v="BARRIO CABECERA BUCARAMANGA 16"/>
    <n v="63504113"/>
    <s v="3157911792"/>
    <s v="3157911792"/>
    <s v="3157911792"/>
    <s v="CR 33 47 34 LOCAL 150 CENTRO COMERCIAL EMPRESARIAL ALTAMONTE,CABECERA"/>
    <s v="7.117135"/>
    <s v="-73.1937066"/>
    <s v="SANTANDER"/>
    <s v="BUCARAMANGA"/>
    <s v="BUCARAMANGA"/>
    <n v="68001"/>
    <s v="2025-09-16"/>
    <n v="1"/>
    <s v="BUCARAMANGA"/>
    <x v="4"/>
    <n v="37313"/>
    <n v="37313"/>
  </r>
  <r>
    <n v="60312"/>
    <s v="BARRIO CANDIDO QUINTERO DUITAMA 1"/>
    <n v="46670824"/>
    <s v="3202728983"/>
    <s v="3143336187"/>
    <s v="3143336187"/>
    <s v="CL 3 NO.18-70 BR CANDIDO QUINTERO"/>
    <s v="5.8206348"/>
    <s v="-73.0406128"/>
    <s v="BOYACÁ"/>
    <s v="DUITAMA"/>
    <s v="DUITAMA"/>
    <n v="15238"/>
    <s v="2025-09-16"/>
    <n v="1"/>
    <s v="TUNJA"/>
    <x v="4"/>
    <n v="49671.7"/>
    <n v="49671.7"/>
  </r>
  <r>
    <n v="62408"/>
    <s v="BARRIO CABECERA BUCARAMANGA 18"/>
    <n v="804010123"/>
    <s v="3162359034"/>
    <s v="3162359034"/>
    <s v="3162359034"/>
    <s v="CR 35 A 49 55 CC 4 ETAPA LOCAL 107"/>
    <s v="7.1149743"/>
    <s v="-73.1911998"/>
    <s v="SANTANDER"/>
    <s v="BUCARAMANGA"/>
    <s v="BUCARAMANGA"/>
    <n v="68001"/>
    <s v="2025-09-16"/>
    <n v="1"/>
    <s v="BUCARAMANGA"/>
    <x v="4"/>
    <n v="37313"/>
    <n v="37313"/>
  </r>
  <r>
    <n v="65516"/>
    <s v="BARRIO PORTAL DE LOS ALCAZARES VILLA DEL ROSARIO"/>
    <n v="1090529968"/>
    <s v="3022645851"/>
    <s v="3002933118"/>
    <s v="3043663071"/>
    <s v="CL 24 3 - 39,PORTAL DE LOS ALCÁZARES"/>
    <s v="7.8666212"/>
    <s v="-72.4802982"/>
    <s v="NORTE DE SANTANDER"/>
    <s v="VILLA DEL ROSARIO"/>
    <s v="VILLA DEL ROSARIO"/>
    <n v="54874"/>
    <s v="2025-09-16"/>
    <n v="1"/>
    <s v="CUCUTA"/>
    <x v="4"/>
    <n v="49671.7"/>
    <n v="49671.7"/>
  </r>
  <r>
    <n v="61819"/>
    <s v="BARRIO VICENTE DE JULIO FLORENCIA"/>
    <n v="1053840606"/>
    <s v="3105751483"/>
    <s v="3105751483"/>
    <s v="3105751483"/>
    <s v="CR 5 D 2 52 BR VICENTE DE JULIO"/>
    <s v="1.612518"/>
    <s v="-75.597280"/>
    <s v="CAQUETÁ"/>
    <s v="FLORENCIA"/>
    <s v="FLORENCIA"/>
    <n v="18001"/>
    <s v="2025-09-16"/>
    <n v="1"/>
    <s v="NEIVA"/>
    <x v="1"/>
    <n v="49671.7"/>
    <n v="49671.7"/>
  </r>
  <r>
    <n v="62142"/>
    <s v="BARRIO ITAGUI ITAGUI 18"/>
    <n v="1131064008"/>
    <s v="3187372480"/>
    <s v="3173574783"/>
    <s v="3187372480"/>
    <s v="CL 46 41 88,ITAGÜÍ"/>
    <s v="6.1649487"/>
    <s v="-75.6090618"/>
    <s v="ANTIOQUIA"/>
    <s v="ITAGÜÍ"/>
    <s v="ITAGÜÍ"/>
    <n v="5360"/>
    <s v="2025-09-16"/>
    <n v="1"/>
    <s v="MEDELLIN"/>
    <x v="0"/>
    <n v="37313"/>
    <n v="37313"/>
  </r>
  <r>
    <n v="41552"/>
    <s v="BARRIO EL PARAISO MONTERIA"/>
    <n v="64477811"/>
    <s v="3235011516"/>
    <s v="3106518481"/>
    <s v="3235011516"/>
    <s v="MZ 5 LOTE 16 BRR lAS ACACIAS"/>
    <s v="8.7261834"/>
    <s v="-75.8718614"/>
    <s v="CÓRDOBA"/>
    <s v="MONTERÍA"/>
    <s v="MONTERÍA"/>
    <n v="23001"/>
    <s v="2025-09-16"/>
    <n v="1"/>
    <s v="MONTERIA"/>
    <x v="5"/>
    <n v="37313"/>
    <n v="37313"/>
  </r>
  <r>
    <n v="62341"/>
    <s v="BARRIO TIERRA LINDA LOS PATIOS 1"/>
    <n v="1093747021"/>
    <s v="0"/>
    <s v="3175128851"/>
    <s v="3175128851"/>
    <s v="AV 7 B 16-03 QUINTA ETAPA BRR TIERRA LINDA"/>
    <s v="7.8142089"/>
    <s v="-72.5144058"/>
    <s v="NORTE DE SANTANDER"/>
    <s v="LOS PATIOS"/>
    <s v="LOS PATIOS"/>
    <n v="54405"/>
    <s v="2025-09-16"/>
    <n v="1"/>
    <s v="CUCUTA"/>
    <x v="4"/>
    <n v="49671.7"/>
    <n v="49671.7"/>
  </r>
  <r>
    <n v="38930"/>
    <s v="BARRIO CENTRO NEIVA 17"/>
    <n v="7718772"/>
    <s v="8712249"/>
    <s v="3112702613"/>
    <s v="3112702613"/>
    <s v=" CR 4 10 43  CENTRO"/>
    <s v="2.929168"/>
    <s v="-75.290737"/>
    <s v="HUILA"/>
    <s v="NEIVA"/>
    <s v="NEIVA"/>
    <n v="41001"/>
    <s v="2025-09-16"/>
    <n v="1"/>
    <s v="NEIVA"/>
    <x v="1"/>
    <n v="49671.7"/>
    <n v="49671.7"/>
  </r>
  <r>
    <n v="40085"/>
    <s v="BARRIO FUERA DEL MUNICIPIO DE LOS PATIOS LOS PATIOS"/>
    <n v="60335947"/>
    <m/>
    <s v="3153717416"/>
    <s v="3208849596"/>
    <s v="VIA CUCUTA PAMPLONA KM 20,FUERA DEL MUNICIPIO DE LOS PATIOS"/>
    <s v="7.7240132"/>
    <s v="-72.5680342"/>
    <s v="NORTE DE SANTANDER"/>
    <s v="LOS PATIOS"/>
    <s v="LOS PATIOS"/>
    <n v="54405"/>
    <s v="2025-09-16"/>
    <n v="1"/>
    <s v="CUCUTA"/>
    <x v="4"/>
    <n v="49671.7"/>
    <n v="49671.7"/>
  </r>
  <r>
    <n v="61460"/>
    <s v="BARRIO FLORENCIA SINCELEJO 2"/>
    <n v="43802657"/>
    <s v="3216758244"/>
    <s v="3216758244"/>
    <s v="3216758244"/>
    <s v="CL 23 B 36 A 28 BR FLORENCIA"/>
    <s v="9.3090392"/>
    <s v="-75.3831781"/>
    <s v="SUCRE"/>
    <s v="SINCELEJO"/>
    <s v="SINCELEJO"/>
    <n v="70001"/>
    <s v="2025-09-16"/>
    <n v="1"/>
    <s v="SINCELEJO"/>
    <x v="5"/>
    <n v="49671.7"/>
    <n v="49671.7"/>
  </r>
  <r>
    <n v="59868"/>
    <s v="BARRIO CABECERA BUCARAMANGA 17"/>
    <n v="1095815252"/>
    <s v="3168221303"/>
    <s v="3168221303"/>
    <s v="3168221303"/>
    <s v="CR 34 48 105,CABECERA"/>
    <s v="7.1156809"/>
    <s v="-73.1102672"/>
    <s v="SANTANDER"/>
    <s v="BUCARAMANGA"/>
    <s v="BUCARAMANGA"/>
    <n v="68001"/>
    <s v="2025-09-16"/>
    <n v="1"/>
    <s v="BUCARAMANGA"/>
    <x v="4"/>
    <n v="37313"/>
    <n v="37313"/>
  </r>
  <r>
    <n v="65595"/>
    <s v="BARRIO LA PRADERA BARRANQUILLA 2"/>
    <n v="72021534"/>
    <s v="3017160984"/>
    <s v="3017160984"/>
    <s v="3014797360"/>
    <s v="CR 31 117 A 61"/>
    <s v="10.9779026"/>
    <s v="-74.8416751"/>
    <s v="ATLÁNTICO"/>
    <s v="BARRANQUILLA"/>
    <s v="BARRANQUILLA"/>
    <n v="8001"/>
    <s v="2025-09-16"/>
    <n v="1"/>
    <s v="BARRANQUILLA"/>
    <x v="5"/>
    <n v="37313"/>
    <n v="37313"/>
  </r>
  <r>
    <n v="66272"/>
    <s v="BARRIO LA PLAYITA MEDELLIN"/>
    <n v="43573120"/>
    <s v="0"/>
    <s v="3128224276"/>
    <s v="3128224276"/>
    <s v="CL 113 CC 63 30,LA PLAYITA"/>
    <s v="6.308459"/>
    <s v="-75.558665"/>
    <s v="ANTIOQUIA"/>
    <s v="MEDELLÍN"/>
    <s v="MEDELLÍN"/>
    <n v="5001"/>
    <s v="2025-09-16"/>
    <n v="1"/>
    <s v="MEDELLIN"/>
    <x v="0"/>
    <n v="37313"/>
    <n v="37313"/>
  </r>
  <r>
    <n v="66481"/>
    <s v="BARRIO ARIGUANY 2 VILLAVICENCIO"/>
    <n v="1006877107"/>
    <s v="3016234205"/>
    <s v="3016234205"/>
    <s v="3212975754"/>
    <s v="CARRERA 19 NUM 07 - 04 ARIGUANY 2 "/>
    <s v="4.130460"/>
    <s v="-73.619126"/>
    <s v="META"/>
    <s v="VILLAVICENCIO"/>
    <s v="VILLAVICENCIO"/>
    <n v="50001"/>
    <s v="2025-09-16"/>
    <n v="1"/>
    <s v="VILLAVICENCIO"/>
    <x v="1"/>
    <n v="49671.7"/>
    <n v="49671.7"/>
  </r>
  <r>
    <n v="42596"/>
    <s v="BARRIO OLIVARES ITAGUI"/>
    <n v="43381052"/>
    <s v="4956293"/>
    <s v="3218866294"/>
    <s v="3218866294"/>
    <s v="VRD LOS OLIVARES,OLIVARES"/>
    <s v="6.1759208"/>
    <s v="-75.6211242"/>
    <s v="ANTIOQUIA"/>
    <s v="ITAGÜÍ"/>
    <s v="ITAGÜÍ"/>
    <n v="5360"/>
    <s v="2025-09-16"/>
    <n v="1"/>
    <s v="MEDELLIN"/>
    <x v="0"/>
    <n v="37313"/>
    <n v="37313"/>
  </r>
  <r>
    <n v="49890"/>
    <s v="BARRIO 20 DE JULIO VILLA DEL ROSARIO"/>
    <n v="37507626"/>
    <s v="0"/>
    <s v="3115596327"/>
    <s v="3115596327"/>
    <s v="CR 7 NRO 8N - 30 BR 20 DE JULIO,20 DE JULIO"/>
    <s v="7.8018018"/>
    <s v="-72.4726396"/>
    <s v="NORTE DE SANTANDER"/>
    <s v="VILLA DEL ROSARIO"/>
    <s v="VILLA DEL ROSARIO"/>
    <n v="54874"/>
    <s v="2025-09-16"/>
    <n v="1"/>
    <s v="CUCUTA"/>
    <x v="4"/>
    <n v="49671.7"/>
    <n v="49671.7"/>
  </r>
  <r>
    <n v="60132"/>
    <s v="BARRIO LOS NARANJOS II CALI 1"/>
    <n v="29360182"/>
    <s v="6636143"/>
    <s v="3117201792"/>
    <s v="3137520967"/>
    <s v="CL 80 A 26 G2 64 BRR LOS NARANJOS II"/>
    <s v="3.431460191793"/>
    <s v="-76.4780633574"/>
    <s v="VALLE DEL CAUCA"/>
    <s v="CALI"/>
    <s v="SANTIAGO DE CALI"/>
    <n v="76001"/>
    <s v="2025-09-16"/>
    <n v="1"/>
    <s v="CALI"/>
    <x v="3"/>
    <n v="37313"/>
    <n v="37313"/>
  </r>
  <r>
    <n v="65542"/>
    <s v="BARRIO PRADOS DEL NORTE FLORENCIA"/>
    <n v="1117553764"/>
    <s v="3224526161"/>
    <s v="3224526161"/>
    <s v="3224526161"/>
    <s v="DG 20 SUR11 09,PRADOS DEL NORTE"/>
    <s v="1.6025352"/>
    <s v="-75.5777188"/>
    <s v="CAQUETÁ"/>
    <s v="FLORENCIA"/>
    <s v="FLORENCIA"/>
    <n v="18001"/>
    <s v="2025-09-16"/>
    <n v="1"/>
    <s v="NEIVA"/>
    <x v="1"/>
    <n v="49671.7"/>
    <n v="49671.7"/>
  </r>
  <r>
    <n v="66390"/>
    <s v="BARRIO CARGUA DUITAMA"/>
    <n v="46450039"/>
    <s v="3014219984"/>
    <s v="3014219984"/>
    <s v="3112263759"/>
    <s v="CR 12 NO.2-45,CARGUA"/>
    <s v="5.824446"/>
    <s v="-73.043956"/>
    <s v="BOYACÁ"/>
    <s v="DUITAMA"/>
    <s v="DUITAMA"/>
    <n v="15238"/>
    <s v="2025-09-16"/>
    <n v="1"/>
    <s v="TUNJA"/>
    <x v="4"/>
    <n v="49671.7"/>
    <n v="49671.7"/>
  </r>
  <r>
    <n v="65862"/>
    <s v="BARRIO SOLEDAD 2000 SOLEDAD 12"/>
    <n v="1001878120"/>
    <s v="3016038102"/>
    <s v="3016789809"/>
    <s v="3016038102"/>
    <s v="CL 41 # 13-69 LC 1 "/>
    <s v="10.9095518"/>
    <s v="-74.7799683"/>
    <s v="ATLÁNTICO"/>
    <s v="SOLEDAD"/>
    <s v="SOLEDAD"/>
    <n v="8758"/>
    <s v="2025-09-16"/>
    <n v="1"/>
    <s v="BARRANQUILLA"/>
    <x v="5"/>
    <n v="37313"/>
    <n v="37313"/>
  </r>
  <r>
    <n v="65802"/>
    <s v="BARRIO BUCARAMANGA BUCARAMANGA 13"/>
    <n v="1098770875"/>
    <s v="3102172789"/>
    <s v="3102172789"/>
    <s v="3102172789"/>
    <s v="CR 6 27 02,BUCARAMANGA"/>
    <s v="7.218248"/>
    <s v="-73.1347883"/>
    <s v="SANTANDER"/>
    <s v="BUCARAMANGA"/>
    <s v="BUCARAMANGA"/>
    <n v="68001"/>
    <s v="2025-09-16"/>
    <n v="1"/>
    <s v="BUCARAMANGA"/>
    <x v="4"/>
    <n v="37313"/>
    <n v="37313"/>
  </r>
  <r>
    <n v="66450"/>
    <s v="BARRIO REPUBLICA DE ISRAEL CALI 1"/>
    <n v="1006034371"/>
    <s v="0"/>
    <s v="3188160027"/>
    <s v="3188160027"/>
    <s v="CL 40 42 D 22,REPUBLICA DE ISRAEL"/>
    <s v="3.40955166"/>
    <s v="-76.513795"/>
    <s v="VALLE DEL CAUCA"/>
    <s v="CALI"/>
    <s v="SANTIAGO DE CALI"/>
    <n v="76001"/>
    <s v="2025-09-16"/>
    <n v="1"/>
    <s v="CALI"/>
    <x v="3"/>
    <n v="37313"/>
    <n v="37313"/>
  </r>
  <r>
    <n v="66675"/>
    <s v="BARRIO SANTA MARIA DEL  LAGO BOGOTA"/>
    <n v="24809364"/>
    <s v="3116859885"/>
    <s v="3133555052"/>
    <s v="3116859885"/>
    <s v="CR 76 73 40,SANTA MARÍA DEL LAGO"/>
    <s v="4.691720000"/>
    <s v="-74.0978013"/>
    <s v="CUNDINAMARCA"/>
    <s v="BOGOTÁ"/>
    <s v="BOGOTÁ"/>
    <n v="11001"/>
    <s v="2025-09-16"/>
    <n v="1"/>
    <s v="BOGOTA"/>
    <x v="2"/>
    <n v="37313"/>
    <n v="37313"/>
  </r>
  <r>
    <n v="62683"/>
    <s v="BARRIO GARUPAL IV ETAPA VALLEDUPAR"/>
    <n v="1062404347"/>
    <s v="3233266462"/>
    <s v="3233266462"/>
    <s v="3004760353"/>
    <s v="MZ 89 CASA 20,GARUPAL IV ETAPA"/>
    <s v="10.4719595"/>
    <s v="-73.2725290"/>
    <s v="CESAR"/>
    <s v="VALLEDUPAR"/>
    <s v="VALLEDUPAR"/>
    <n v="20001"/>
    <s v="2025-09-16"/>
    <n v="2"/>
    <s v="VALLEDUPAR"/>
    <x v="5"/>
    <n v="49671.7"/>
    <n v="99343.4"/>
  </r>
  <r>
    <n v="62756"/>
    <s v="BARRIO BARZAL ALTO VILLAVICENCIO 1"/>
    <n v="1121873782"/>
    <s v="3219107009"/>
    <s v="3219107009"/>
    <s v="3133536403"/>
    <s v="CR 41 NRO. 34 - 56 BARZAL ALTO,BARZAL ALTO"/>
    <s v="4.145022"/>
    <s v="-73.64186"/>
    <s v="META"/>
    <s v="VILLAVICENCIO"/>
    <s v="VILLAVICENCIO"/>
    <n v="50001"/>
    <s v="2025-09-16"/>
    <n v="1"/>
    <s v="VILLAVICENCIO"/>
    <x v="1"/>
    <n v="49671.7"/>
    <n v="49671.7"/>
  </r>
  <r>
    <n v="69853"/>
    <s v="BARRIO LAS NIEVES TUNJA  2"/>
    <n v="7172935"/>
    <s v="3213721176"/>
    <s v="3213721176"/>
    <s v="3213721176"/>
    <s v="CR 9 24 58,LAS NIEVES"/>
    <s v="5.5369504"/>
    <s v="-73.3596427"/>
    <s v="BOYACÁ"/>
    <s v="TUNJA"/>
    <s v="TUNJA"/>
    <n v="15001"/>
    <s v="2025-09-16"/>
    <n v="1"/>
    <s v="TUNJA"/>
    <x v="4"/>
    <n v="49671.7"/>
    <n v="49671.7"/>
  </r>
  <r>
    <n v="71136"/>
    <s v="BARRIO LA CORDIALIDAD  LOS PATIOS"/>
    <n v="1090398838"/>
    <s v="3103175160"/>
    <s v="3118853510"/>
    <s v="3103175160"/>
    <s v="AV 4 28-60,BRR LA CORDIALIDAD"/>
    <s v="7.8378378"/>
    <s v="-72.4970877"/>
    <s v="NORTE DE SANTANDER"/>
    <s v="LOS PATIOS"/>
    <s v="LOS PATIOS"/>
    <n v="54405"/>
    <s v="2025-09-16"/>
    <n v="1"/>
    <s v="CUCUTA"/>
    <x v="4"/>
    <n v="49671.7"/>
    <n v="49671.7"/>
  </r>
  <r>
    <n v="69744"/>
    <s v="BARRIO BALCAZAR CALI"/>
    <n v="31430170"/>
    <s v="3127643635"/>
    <s v="3127643635"/>
    <s v="3127643635"/>
    <s v="DG 70 # 26 L - 02,BALCAZAR"/>
    <s v="3.4340953"/>
    <s v="-76.4948105"/>
    <s v="VALLE DEL CAUCA"/>
    <s v="CALI"/>
    <s v="SANTIAGO DE CALI"/>
    <n v="76001"/>
    <s v="2025-09-16"/>
    <n v="1"/>
    <s v="CALI"/>
    <x v="3"/>
    <n v="37313"/>
    <n v="37313"/>
  </r>
  <r>
    <n v="69888"/>
    <s v="BARRIO CENTRO TUNJA 25"/>
    <n v="1002328604"/>
    <s v="3138742114"/>
    <s v="3138742114"/>
    <s v="3138742114"/>
    <s v="CL 18 11 72,CENTRO"/>
    <s v="5.5315878"/>
    <s v="-73.3641256"/>
    <s v="BOYACÁ"/>
    <s v="TUNJA"/>
    <s v="TUNJA"/>
    <n v="15001"/>
    <s v="2025-09-16"/>
    <n v="1"/>
    <s v="TUNJA"/>
    <x v="4"/>
    <n v="49671.7"/>
    <n v="49671.7"/>
  </r>
  <r>
    <n v="66151"/>
    <s v="BARRIO SAN JUDAS VILLA DEL ROSARIO"/>
    <n v="1004914613"/>
    <s v="3138470144"/>
    <s v="3227636698"/>
    <s v="3227636698"/>
    <s v="CR 11 NRO 19 - 31,SAN JUDAS"/>
    <s v="7.82122899"/>
    <s v="-72.47575325"/>
    <s v="NORTE DE SANTANDER"/>
    <s v="VILLA DEL ROSARIO"/>
    <s v="VILLA DEL ROSARIO"/>
    <n v="54874"/>
    <s v="2025-09-16"/>
    <n v="1"/>
    <s v="CUCUTA"/>
    <x v="4"/>
    <n v="49671.7"/>
    <n v="49671.7"/>
  </r>
  <r>
    <n v="66864"/>
    <s v="BARRIO BELLO BELLO 9"/>
    <n v="1020445722"/>
    <s v="5964175"/>
    <s v="3113395308"/>
    <s v="3113395308"/>
    <s v="AV 44 56 53,BELLO"/>
    <s v="6.3404552"/>
    <s v="-75.5515877"/>
    <s v="ANTIOQUIA"/>
    <s v="BELLO"/>
    <s v="BELLO"/>
    <n v="5088"/>
    <s v="2025-09-16"/>
    <n v="1"/>
    <s v="MEDELLIN"/>
    <x v="0"/>
    <n v="37313"/>
    <n v="37313"/>
  </r>
  <r>
    <n v="70977"/>
    <s v="BARRIO 12 DE OCTUBRE MEDELLIN  7"/>
    <n v="71783641"/>
    <s v="4775406"/>
    <s v="3011296890"/>
    <s v="3147250638"/>
    <s v="CR 80 96 00,12 DE OCTUBRE"/>
    <s v="6.2943597"/>
    <s v="-75.5813544"/>
    <s v="ANTIOQUIA"/>
    <s v="MEDELLÍN"/>
    <s v="MEDELLÍN"/>
    <n v="5001"/>
    <s v="2025-09-16"/>
    <n v="1"/>
    <s v="MEDELLIN"/>
    <x v="0"/>
    <n v="37313"/>
    <n v="37313"/>
  </r>
  <r>
    <n v="71169"/>
    <s v="SANTA ROSITA 5"/>
    <n v="901594950"/>
    <s v="3214529159"/>
    <s v="3183803228"/>
    <s v="3214529159"/>
    <s v="CL 75 92 28 LC 2,SANTA ROSITA"/>
    <s v="4.7025064"/>
    <s v="-74.1086314"/>
    <s v="CUNDINAMARCA"/>
    <s v="BOGOTÁ"/>
    <s v="BOGOTÁ"/>
    <n v="11001"/>
    <s v="2025-09-16"/>
    <n v="1"/>
    <s v="BOGOTA"/>
    <x v="2"/>
    <n v="37313"/>
    <n v="37313"/>
  </r>
  <r>
    <n v="71653"/>
    <s v="BARRIO LAS CRUCES BOGOTA"/>
    <n v="1007560200"/>
    <s v="3164083910"/>
    <s v="3164083910"/>
    <s v="3164083910"/>
    <s v="CARRERA 7 # 1 D 10,LAS CRUCES"/>
    <s v="4.5880591"/>
    <s v="-74.0811313"/>
    <s v="CUNDINAMARCA"/>
    <s v="BOGOTÁ"/>
    <s v="BOGOTÁ"/>
    <n v="11001"/>
    <s v="2025-09-16"/>
    <n v="1"/>
    <s v="BOGOTA"/>
    <x v="2"/>
    <n v="37313"/>
    <n v="37313"/>
  </r>
  <r>
    <n v="70657"/>
    <s v="BARRIO VRD EL MORAL  EL ZULIA "/>
    <n v="60445780"/>
    <s v="3107979848"/>
    <s v="3107979848"/>
    <s v="3107979848"/>
    <s v="VRD EL MORAL KDX 51 1 BR FUERA DEL MUNICIPIO DE EL ZULIA,VRD EL MORAL"/>
    <s v="8.13571794"/>
    <s v="-72.57219261"/>
    <s v="NORTE DE SANTANDER"/>
    <s v="EL ZULIA"/>
    <s v="EL ZULIA"/>
    <n v="54261"/>
    <s v="2025-09-16"/>
    <n v="1"/>
    <s v="CUCUTA"/>
    <x v="4"/>
    <n v="49671.7"/>
    <n v="49671.7"/>
  </r>
  <r>
    <n v="64314"/>
    <s v="BARRIO LA COROCORA YOPAL"/>
    <n v="1118558192"/>
    <s v="0"/>
    <s v="3144568818"/>
    <s v="3144568818"/>
    <s v="CL 15 TRANSVERSAL 18 - 33,LA COROCORA"/>
    <s v="5.3420101"/>
    <s v="-72.4004153"/>
    <s v="CASANARE"/>
    <s v="YOPAL"/>
    <s v="YOPAL"/>
    <n v="85001"/>
    <s v="2025-09-16"/>
    <n v="1"/>
    <s v="YOPAL"/>
    <x v="1"/>
    <n v="49671.7"/>
    <n v="49671.7"/>
  </r>
  <r>
    <n v="67751"/>
    <s v="BARRIO LAS MALVINAS SANTA MARTA"/>
    <n v="84454578"/>
    <s v="0"/>
    <s v="3015783134"/>
    <s v="3125485545"/>
    <s v="calle 24 # 24A-29"/>
    <s v="11.2314006"/>
    <s v="-74.1884678"/>
    <s v="MAGDALENA"/>
    <s v="SANTA MARTA"/>
    <s v="SANTA MARTA"/>
    <n v="47001"/>
    <s v="2025-09-16"/>
    <n v="1"/>
    <s v="SANTA MARTA"/>
    <x v="5"/>
    <n v="49671.7"/>
    <n v="49671.7"/>
  </r>
  <r>
    <n v="75986"/>
    <s v="BARRIO BERLIN BOGOTA  4"/>
    <n v="80181104"/>
    <s v="3123185319"/>
    <s v="3123185319"/>
    <s v="3113255760"/>
    <s v="CL 139 148 09 P 1,BERLIN"/>
    <s v="4.7474233"/>
    <s v="-74.1195270"/>
    <s v="CUNDINAMARCA"/>
    <s v="BOGOTÁ"/>
    <s v="BOGOTÁ"/>
    <n v="11001"/>
    <s v="2025-09-16"/>
    <n v="1"/>
    <s v="BOGOTA"/>
    <x v="2"/>
    <n v="37313"/>
    <n v="37313"/>
  </r>
  <r>
    <n v="78326"/>
    <s v="BARRIO EL BOSQUE SINCELEJO  1"/>
    <n v="42271311"/>
    <s v="3146381293"/>
    <s v="3022436800"/>
    <s v="3022436800"/>
    <s v="CL 18 30 32,EL BOSQUE"/>
    <s v="9.3081234"/>
    <s v="-75.3873562"/>
    <s v="SUCRE"/>
    <s v="SINCELEJO"/>
    <s v="SINCELEJO"/>
    <n v="70001"/>
    <s v="2025-09-16"/>
    <n v="1"/>
    <s v="SINCELEJO"/>
    <x v="5"/>
    <n v="49671.7"/>
    <n v="49671.7"/>
  </r>
  <r>
    <n v="78395"/>
    <s v="BARRIO CENTRO TUNJA 30"/>
    <n v="40015105"/>
    <s v="3132972687"/>
    <s v="3132972687"/>
    <s v="3132972687"/>
    <s v="CR 10 18 61,CENTRO"/>
    <s v="5.531"/>
    <s v="-73.362"/>
    <s v="BOYACÁ"/>
    <s v="TUNJA"/>
    <s v="TUNJA"/>
    <n v="15001"/>
    <s v="2025-09-16"/>
    <n v="1"/>
    <s v="TUNJA"/>
    <x v="4"/>
    <n v="49671.7"/>
    <n v="49671.7"/>
  </r>
  <r>
    <n v="76211"/>
    <s v="BARRIO LA VILLITA TUNJA"/>
    <n v="1049616769"/>
    <s v="3153386650"/>
    <s v="3153386650"/>
    <s v="3153386650"/>
    <s v="CL 67 1 79 LOCAL 103,LA VILLITA"/>
    <s v="5.5659743"/>
    <s v="-73.33521057"/>
    <s v="BOYACÁ"/>
    <s v="TUNJA"/>
    <s v="TUNJA"/>
    <n v="15001"/>
    <s v="2025-09-16"/>
    <n v="1"/>
    <s v="TUNJA"/>
    <x v="4"/>
    <n v="49671.7"/>
    <n v="49671.7"/>
  </r>
  <r>
    <n v="70664"/>
    <s v="BARRIO MONTE VIEDEO I VILLA DEL ROSARIO "/>
    <n v="1092356860"/>
    <s v="314 3923929"/>
    <s v="3143923929"/>
    <s v="3143923929"/>
    <s v="CR 12 NRO. 22 AN - 69,MONTE VÍDEO I"/>
    <s v="7.85567938"/>
    <s v="-72.47772462"/>
    <s v="NORTE DE SANTANDER"/>
    <s v="VILLA DEL ROSARIO"/>
    <s v="VILLA DEL ROSARIO"/>
    <n v="54874"/>
    <s v="2025-09-16"/>
    <n v="1"/>
    <s v="CUCUTA"/>
    <x v="4"/>
    <n v="49671.7"/>
    <n v="49671.7"/>
  </r>
  <r>
    <n v="65549"/>
    <s v="BARRIO LA ANTONIA VILLAVICENCIO"/>
    <n v="86053241"/>
    <s v="3144566900"/>
    <s v="3144566900"/>
    <s v="3177107544"/>
    <s v="MZ 1 CASA 1 LA ANTONIA,LA ANTONIA"/>
    <s v="4.1168080"/>
    <s v="-73.5615444"/>
    <s v="META"/>
    <s v="VILLAVICENCIO"/>
    <s v="VILLAVICENCIO"/>
    <n v="50001"/>
    <s v="2025-09-16"/>
    <n v="1"/>
    <s v="VILLAVICENCIO"/>
    <x v="1"/>
    <n v="49671.7"/>
    <n v="49671.7"/>
  </r>
  <r>
    <n v="64907"/>
    <s v="BARRIO SAMARIA 2 PEREIRA 2"/>
    <n v="1088250262"/>
    <s v="0"/>
    <s v="3234915101"/>
    <s v="3234915101"/>
    <s v="MZ 45 CA 17 BRR SAMARIA 2"/>
    <s v="4.7923977"/>
    <s v="-75.7064354"/>
    <s v="RISARALDA"/>
    <s v="PEREIRA"/>
    <s v="PEREIRA"/>
    <n v="66001"/>
    <s v="2025-09-16"/>
    <n v="1"/>
    <s v="PEREIRA"/>
    <x v="6"/>
    <n v="37313"/>
    <n v="37313"/>
  </r>
  <r>
    <n v="65212"/>
    <s v="BARRIO LA GRANJA TUNJA 1"/>
    <n v="40044116"/>
    <s v="3133982784"/>
    <s v="3133982784"/>
    <s v="3133982784"/>
    <s v="CR 10 54 BIS 18,LA GRANJA"/>
    <s v="5.56346104"/>
    <s v="-73.35072393"/>
    <s v="BOYACÁ"/>
    <s v="TUNJA"/>
    <s v="TUNJA"/>
    <n v="15001"/>
    <s v="2025-09-16"/>
    <n v="1"/>
    <s v="TUNJA"/>
    <x v="4"/>
    <n v="49671.7"/>
    <n v="49671.7"/>
  </r>
  <r>
    <n v="70549"/>
    <s v="BARRIO ESMERALDA VILLAVICENCIO 2"/>
    <n v="1121880891"/>
    <s v="3504697248"/>
    <s v="3223204370"/>
    <s v="3102785619"/>
    <s v="CR 41 48 36 BRR LA ESMERALDA,ESMERALDA"/>
    <s v="4.161858"/>
    <s v="-73.649608"/>
    <s v="META"/>
    <s v="VILLAVICENCIO"/>
    <s v="VILLAVICENCIO"/>
    <n v="50001"/>
    <s v="2025-09-16"/>
    <n v="1"/>
    <s v="VILLAVICENCIO"/>
    <x v="1"/>
    <n v="49671.7"/>
    <n v="49671.7"/>
  </r>
  <r>
    <n v="78431"/>
    <s v="BARRIO LAS VIÑAS MONTERIA"/>
    <n v="92512726"/>
    <s v="3117211356"/>
    <s v="3117211356"/>
    <s v="3117211356"/>
    <s v="CR 6 W CL 25 A 109 LC 1,LAS VIÑAS"/>
    <s v="8.757898"/>
    <s v="-75.892835"/>
    <s v="CÓRDOBA"/>
    <s v="MONTERÍA"/>
    <s v="MONTERÍA"/>
    <n v="23001"/>
    <s v="2025-09-16"/>
    <n v="1"/>
    <s v="MONTERIA"/>
    <x v="5"/>
    <n v="37313"/>
    <n v="37313"/>
  </r>
  <r>
    <n v="71836"/>
    <s v="RISARALDA PEREIRA"/>
    <n v="10017800"/>
    <s v="3174176367"/>
    <s v="3174176367"/>
    <s v="3174176367"/>
    <s v="MZ 7 CA 4 - SAMARIA 1"/>
    <s v="4.7986319"/>
    <s v="-75.7133008"/>
    <s v="RISARALDA"/>
    <s v="PEREIRA"/>
    <s v="PEREIRA"/>
    <n v="66001"/>
    <s v="2025-09-16"/>
    <n v="1"/>
    <s v="PEREIRA"/>
    <x v="6"/>
    <n v="37313"/>
    <n v="37313"/>
  </r>
  <r>
    <n v="72256"/>
    <s v="BARRIO PERANLOSO MANIZALES"/>
    <n v="1053830113"/>
    <s v="3136862045"/>
    <s v="3136862045"/>
    <s v="3136862045"/>
    <s v="CL 46 11 B 21- PERALONSO,PERANLOSO"/>
    <s v="5.0727939"/>
    <s v="-75.4999208"/>
    <s v="CALDAS"/>
    <s v="MANIZALES"/>
    <s v="MANIZALES"/>
    <n v="17001"/>
    <s v="2025-09-16"/>
    <n v="1"/>
    <s v="MANIZALES"/>
    <x v="6"/>
    <n v="49671.7"/>
    <n v="49671.7"/>
  </r>
  <r>
    <n v="72531"/>
    <s v="BOGOTA LAS CRUCES 1"/>
    <n v="65714204"/>
    <s v="3125278474"/>
    <s v="3135678918"/>
    <s v="3125278474"/>
    <s v="CL 1 NO 8 - 02,LAS CRUCES"/>
    <s v="4.5875153"/>
    <s v="-74.0829600"/>
    <s v="CUNDINAMARCA"/>
    <s v="BOGOTÁ"/>
    <s v="BOGOTÁ"/>
    <n v="11001"/>
    <s v="2025-09-16"/>
    <n v="1"/>
    <s v="BOGOTA"/>
    <x v="2"/>
    <n v="37313"/>
    <n v="37313"/>
  </r>
  <r>
    <n v="78088"/>
    <s v="BARRIO CANTACLARO MONTERIA 10"/>
    <n v="1067873716"/>
    <s v="3186022810"/>
    <s v="3186022810"/>
    <s v="3186022810"/>
    <s v="CR 30 B 23 1,CANTACLARO"/>
    <s v="8.738165"/>
    <s v="-75.868452"/>
    <s v="CÓRDOBA"/>
    <s v="MONTERÍA"/>
    <s v="MONTERÍA"/>
    <n v="23001"/>
    <s v="2025-09-16"/>
    <n v="1"/>
    <s v="MONTERIA"/>
    <x v="5"/>
    <n v="37313"/>
    <n v="37313"/>
  </r>
  <r>
    <n v="78286"/>
    <s v="BARRIO ROBLEDO MIRAMAR MEDELLIN  3 "/>
    <n v="46377785"/>
    <s v="3134675352"/>
    <s v="3014545071"/>
    <s v="3134675352"/>
    <s v="CR 84 91B 05 LC2,ROBLEDO MIRAMAR"/>
    <s v="6.2896505"/>
    <s v="-75.5854299"/>
    <s v="ANTIOQUIA"/>
    <s v="MEDELLÍN"/>
    <s v="MEDELLÍN"/>
    <n v="5001"/>
    <s v="2025-09-16"/>
    <n v="1"/>
    <s v="MEDELLIN"/>
    <x v="0"/>
    <n v="37313"/>
    <n v="37313"/>
  </r>
  <r>
    <n v="78405"/>
    <s v="BARRIO LA ESPERANZA YOPAL  5"/>
    <n v="40189433"/>
    <s v="3112102767"/>
    <s v="3112102767"/>
    <s v="3112102767"/>
    <s v="CR 17 22 11,LA ESPERANZA"/>
    <s v="5.3358738"/>
    <s v="-72.3971739"/>
    <s v="CASANARE"/>
    <s v="YOPAL"/>
    <s v="YOPAL"/>
    <n v="85001"/>
    <s v="2025-09-16"/>
    <n v="1"/>
    <s v="YOPAL"/>
    <x v="1"/>
    <n v="49671.7"/>
    <n v="49671.7"/>
  </r>
  <r>
    <n v="78443"/>
    <s v="BARRIO CICERON MAESTRE VALLEDUPAR  1"/>
    <n v="40916492"/>
    <s v="3219008047"/>
    <s v="3043958341"/>
    <s v="3219008047"/>
    <s v="CL 17A 33 58 - CICERON MAESTRE,CICERON MAESTRE"/>
    <s v="10.454399"/>
    <s v="-73.272015"/>
    <s v="CESAR"/>
    <s v="VALLEDUPAR"/>
    <s v="VALLEDUPAR"/>
    <n v="20001"/>
    <s v="2025-09-16"/>
    <n v="1"/>
    <s v="VALLEDUPAR"/>
    <x v="5"/>
    <n v="49671.7"/>
    <n v="49671.7"/>
  </r>
  <r>
    <n v="67352"/>
    <s v="BARRIO SAN ISIDRO MEDELLIN"/>
    <n v="1042768254"/>
    <s v="6042590046"/>
    <s v="3183294281"/>
    <s v="3183294281"/>
    <s v="CR 53 94 A 01,SAN ISIDRO"/>
    <s v="6.2868642"/>
    <s v="-75.5633072"/>
    <s v="ANTIOQUIA"/>
    <s v="MEDELLÍN"/>
    <s v="MEDELLÍN"/>
    <n v="5001"/>
    <s v="2025-09-16"/>
    <n v="1"/>
    <s v="MEDELLIN"/>
    <x v="0"/>
    <n v="37313"/>
    <n v="37313"/>
  </r>
  <r>
    <n v="73008"/>
    <s v="BARRIO SAMARIA PEREIRA"/>
    <n v="42126260"/>
    <s v="3226391884"/>
    <s v="5732263918"/>
    <s v="3226391884"/>
    <s v="MZ 24 CA 21 BRR SAMARIA 1"/>
    <s v="4.7972757"/>
    <s v="-75.7111135"/>
    <s v="RISARALDA"/>
    <s v="PEREIRA"/>
    <s v="PEREIRA"/>
    <n v="66001"/>
    <s v="2025-09-16"/>
    <n v="1"/>
    <s v="PEREIRA"/>
    <x v="6"/>
    <n v="37313"/>
    <n v="37313"/>
  </r>
  <r>
    <n v="73501"/>
    <s v="BARRIO PICACHO MEDELLIN 3"/>
    <n v="43646539"/>
    <s v="3235344712"/>
    <s v="3003636996"/>
    <s v="3127164095"/>
    <s v="CR 85 103 B 28,PICACHO"/>
    <s v="6.3067029"/>
    <s v="-75.5841315"/>
    <s v="ANTIOQUIA"/>
    <s v="MEDELLÍN"/>
    <s v="MEDELLÍN"/>
    <n v="5001"/>
    <s v="2025-09-16"/>
    <n v="1"/>
    <s v="MEDELLIN"/>
    <x v="0"/>
    <n v="37313"/>
    <n v="37313"/>
  </r>
  <r>
    <n v="76301"/>
    <s v="BARRIO NARANJOS II CALI"/>
    <n v="1060871240"/>
    <s v="3005429747"/>
    <s v="3053297693"/>
    <s v="3053297693"/>
    <s v="CR 26 F 79 11 NARANJOS II"/>
    <s v="3.4333297"/>
    <s v="-76.4781445"/>
    <s v="VALLE DEL CAUCA"/>
    <s v="CALI"/>
    <s v="SANTIAGO DE CALI"/>
    <n v="76001"/>
    <s v="2025-09-16"/>
    <n v="1"/>
    <s v="CALI"/>
    <x v="3"/>
    <n v="37313"/>
    <n v="37313"/>
  </r>
  <r>
    <n v="76274"/>
    <s v="BARRIO PRIMERO DE MAYO NEIVA 2"/>
    <n v="1031141391"/>
    <s v="3123666950"/>
    <s v="3102705510"/>
    <s v="3102705510"/>
    <s v="CL 12 17 31,PRIMERO DE MAYO"/>
    <s v="2.933760"/>
    <s v="-75.278624"/>
    <s v="HUILA"/>
    <s v="NEIVA"/>
    <s v="NEIVA"/>
    <n v="41001"/>
    <s v="2025-09-16"/>
    <n v="1"/>
    <s v="NEIVA"/>
    <x v="1"/>
    <n v="49671.7"/>
    <n v="49671.7"/>
  </r>
  <r>
    <n v="76523"/>
    <s v="BARRIO PRIMERO DE MAYO YOPAL"/>
    <n v="74858804"/>
    <s v="3133430143"/>
    <s v="3133430143"/>
    <s v="3133430143"/>
    <s v="CL 20 13 85,PRIMERO DE MAYO"/>
    <s v="5.3365498"/>
    <s v="-72.4007712"/>
    <s v="CASANARE"/>
    <s v="YOPAL"/>
    <s v="YOPAL"/>
    <n v="85001"/>
    <s v="2025-09-16"/>
    <n v="1"/>
    <s v="YOPAL"/>
    <x v="1"/>
    <n v="49671.7"/>
    <n v="49671.7"/>
  </r>
  <r>
    <n v="63559"/>
    <s v="BARRIO DOÑA LUZ VILLAVICENCIO 1"/>
    <n v="1121893882"/>
    <s v="3103055549"/>
    <s v="3124431167"/>
    <s v="3124431167"/>
    <s v="CL 11 SUR NRO. 21 - 74 BRR DOÑA LUZ,DOÑA LUZ"/>
    <s v="4.115130"/>
    <s v="-73.606992"/>
    <s v="META"/>
    <s v="VILLAVICENCIO"/>
    <s v="VILLAVICENCIO"/>
    <n v="50001"/>
    <s v="2025-09-16"/>
    <n v="1"/>
    <s v="VILLAVICENCIO"/>
    <x v="1"/>
    <n v="49671.7"/>
    <n v="49671.7"/>
  </r>
  <r>
    <n v="76020"/>
    <s v="BARRIO PRIMERO DE MAYO NEIVA 1"/>
    <n v="36302842"/>
    <s v="3138559971"/>
    <s v="3184672782"/>
    <s v="3153388993"/>
    <s v="CL 14 20 A 51,PRIMERO DE MAYO"/>
    <s v="2.935352"/>
    <s v="-75.276703"/>
    <s v="HUILA"/>
    <s v="NEIVA"/>
    <s v="NEIVA"/>
    <n v="41001"/>
    <s v="2025-09-16"/>
    <n v="1"/>
    <s v="NEIVA"/>
    <x v="1"/>
    <n v="49671.7"/>
    <n v="49671.7"/>
  </r>
  <r>
    <n v="76207"/>
    <s v="BARRIO PRIMERO DE MAYO SANTA MARTA"/>
    <n v="63326370"/>
    <s v="3215390560"/>
    <s v="3208996399"/>
    <s v="3208996399"/>
    <s v="CR 21 31 24,PRIMERO DE MAYO"/>
    <s v="11.22284439"/>
    <s v="-74.20119563"/>
    <s v="MAGDALENA"/>
    <s v="SANTA MARTA"/>
    <s v="SANTA MARTA"/>
    <n v="47001"/>
    <s v="2025-09-16"/>
    <n v="1"/>
    <s v="SANTA MARTA"/>
    <x v="5"/>
    <n v="49671.7"/>
    <n v="49671.7"/>
  </r>
  <r>
    <n v="76295"/>
    <s v="BARRIO LA ESPERANZA YOPAL  4"/>
    <n v="1118552975"/>
    <s v="3102792999"/>
    <s v="3102792999"/>
    <s v="3102792999"/>
    <s v="CR 16 23 20,LA ESPERANZA"/>
    <s v="5.3344937"/>
    <s v="-72.3976423"/>
    <s v="CASANARE"/>
    <s v="YOPAL"/>
    <s v="YOPAL"/>
    <n v="85001"/>
    <s v="2025-09-16"/>
    <n v="1"/>
    <s v="YOPAL"/>
    <x v="1"/>
    <n v="49671.7"/>
    <n v="49671.7"/>
  </r>
  <r>
    <n v="64742"/>
    <s v="BARRIO SOLEDAD 2000 SOLEDAD 9"/>
    <n v="1235245094"/>
    <s v="3222124785"/>
    <s v="3222124785"/>
    <s v="3222124785"/>
    <s v="CL 48 B 2 E 4"/>
    <s v="10.906150"/>
    <s v="-74.812082"/>
    <s v="ATLÁNTICO"/>
    <s v="SOLEDAD"/>
    <s v="SOLEDAD"/>
    <n v="8758"/>
    <s v="2025-09-16"/>
    <n v="1"/>
    <s v="BARRANQUILLA"/>
    <x v="5"/>
    <n v="37313"/>
    <n v="37313"/>
  </r>
  <r>
    <n v="65423"/>
    <s v="BARRIO SANTANDER MEDELLIN 4"/>
    <n v="1235239987"/>
    <s v="0"/>
    <s v="3004933105"/>
    <s v="3004933105"/>
    <s v="CR 76 D CALLE 113 A 7,SANTANDER"/>
    <s v="6.3103512"/>
    <s v="-75.5729120"/>
    <s v="ANTIOQUIA"/>
    <s v="MEDELLÍN"/>
    <s v="MEDELLÍN"/>
    <n v="5001"/>
    <s v="2025-09-16"/>
    <n v="1"/>
    <s v="MEDELLIN"/>
    <x v="0"/>
    <n v="37313"/>
    <n v="37313"/>
  </r>
  <r>
    <n v="78602"/>
    <s v="BARRIO POBLADO 1  CALI"/>
    <n v="38460861"/>
    <s v="3215773591"/>
    <s v="3215773591"/>
    <s v="3215773591"/>
    <s v="CR 28D 72P 46,POBLADO 1"/>
    <s v="3.4231869"/>
    <s v="-76.4927677"/>
    <s v="VALLE DEL CAUCA"/>
    <s v="CALI"/>
    <s v="SANTIAGO DE CALI"/>
    <n v="76001"/>
    <s v="2025-09-16"/>
    <n v="1"/>
    <s v="CALI"/>
    <x v="3"/>
    <n v="37313"/>
    <n v="37313"/>
  </r>
  <r>
    <n v="79161"/>
    <s v="BARR FLORENCIA MEDELLIN"/>
    <n v="1037602263"/>
    <s v="3013595923"/>
    <s v="3013595923"/>
    <s v="3013595923"/>
    <s v="CL 113 68 A 95,BRR FLORENCIA"/>
    <s v="6.3088482"/>
    <s v="-75.5675238"/>
    <s v="ANTIOQUIA"/>
    <s v="MEDELLÍN"/>
    <s v="MEDELLÍN"/>
    <n v="5001"/>
    <s v="2025-09-16"/>
    <n v="1"/>
    <s v="MEDELLIN"/>
    <x v="0"/>
    <n v="37313"/>
    <n v="37313"/>
  </r>
  <r>
    <n v="74244"/>
    <s v="BARRIO QUIRIGUA BOGOTA 10"/>
    <n v="50849387"/>
    <s v="312 5155240"/>
    <s v="3125155240"/>
    <s v="3125155240"/>
    <s v="CR 92 # 85 A - 39,QUIRIGUA"/>
    <s v="4.7105304"/>
    <s v="-74.1012639"/>
    <s v="CUNDINAMARCA"/>
    <s v="BOGOTÁ"/>
    <s v="BOGOTÁ"/>
    <n v="11001"/>
    <s v="2025-09-16"/>
    <n v="1"/>
    <s v="BOGOTA"/>
    <x v="2"/>
    <n v="37313"/>
    <n v="37313"/>
  </r>
  <r>
    <n v="74379"/>
    <s v="BARRIO PIZARREAL LOS PATIOS 4"/>
    <n v="901317614"/>
    <s v="3108862124"/>
    <s v="3124499819"/>
    <s v="3142359662"/>
    <s v="AV 10 NRO. 14 - 62,PIZARREAL"/>
    <s v="7.8126675"/>
    <s v="-72.5171424"/>
    <s v="NORTE DE SANTANDER"/>
    <s v="LOS PATIOS"/>
    <s v="LOS PATIOS"/>
    <n v="54405"/>
    <s v="2025-09-16"/>
    <n v="1"/>
    <s v="CUCUTA"/>
    <x v="4"/>
    <n v="49671.7"/>
    <n v="49671.7"/>
  </r>
  <r>
    <n v="74429"/>
    <s v="BARRIO MIRAMAR IBAGUE 1"/>
    <n v="93395327"/>
    <s v="3212138279"/>
    <s v="3212138279"/>
    <s v="3212138279"/>
    <s v="CR 27 SUR 21-70 LC 2 ALTOS DE MIRAMAR"/>
    <s v="4.4189623"/>
    <s v="-75.2547441"/>
    <s v="TOLIMA"/>
    <s v="IBAGUÉ"/>
    <s v="IBAGUÉ"/>
    <n v="73001"/>
    <s v="2025-09-16"/>
    <n v="1"/>
    <s v="IBAGUE"/>
    <x v="1"/>
    <n v="49671.7"/>
    <n v="49671.7"/>
  </r>
  <r>
    <n v="76665"/>
    <s v="BARRIO MARIO CORREA RENGIFO CALI  1"/>
    <n v="1144027483"/>
    <s v="3113322199"/>
    <s v="3163299176"/>
    <s v="3147411629"/>
    <s v="CL 2 A OESTE 75 18,MARIO CORREA RENGIFO"/>
    <s v="3.3879647"/>
    <s v="-76.5588589"/>
    <s v="VALLE DEL CAUCA"/>
    <s v="CALI"/>
    <s v="SANTIAGO DE CALI"/>
    <n v="76001"/>
    <s v="2025-09-16"/>
    <n v="1"/>
    <s v="CALI"/>
    <x v="3"/>
    <n v="37313"/>
    <n v="37313"/>
  </r>
  <r>
    <n v="76869"/>
    <s v="BARRIO 12 DE OCTUBRE MEDELLIN 9"/>
    <n v="98586797"/>
    <s v="3002607632"/>
    <s v="3504651520"/>
    <s v="3012204855"/>
    <s v="CR 82E 101B 07,12 DE OCTUBRE"/>
    <s v="6.3017085"/>
    <s v="-75.5801095"/>
    <s v="ANTIOQUIA"/>
    <s v="MEDELLÍN"/>
    <s v="MEDELLÍN"/>
    <n v="5001"/>
    <s v="2025-09-16"/>
    <n v="1"/>
    <s v="MEDELLIN"/>
    <x v="0"/>
    <n v="37313"/>
    <n v="37313"/>
  </r>
  <r>
    <n v="77198"/>
    <s v="BARRIO NUEVA FLORENCIA FLORENCIA 1"/>
    <n v="1117513741"/>
    <s v="3112004360"/>
    <s v="3112004360"/>
    <s v="3112004360"/>
    <s v="TV 15 #15B-15 BRR NUEVA FLORENCIA"/>
    <s v="1.602666"/>
    <s v="-75.600830"/>
    <s v="CAQUETÁ"/>
    <s v="FLORENCIA"/>
    <s v="FLORENCIA"/>
    <n v="18001"/>
    <s v="2025-09-16"/>
    <n v="1"/>
    <s v="NEIVA"/>
    <x v="1"/>
    <n v="49671.7"/>
    <n v="49671.7"/>
  </r>
  <r>
    <n v="74523"/>
    <s v="BARRIO EVARISTO SOURDIS  BARRANQUILLA"/>
    <n v="88183946"/>
    <s v="3007276703"/>
    <s v="323589344"/>
    <s v="3005927939"/>
    <s v="CR 09 G 87-106,EVARISTO SOURDIS"/>
    <s v="10.9582398"/>
    <s v="-74.8257592"/>
    <s v="ATLÁNTICO"/>
    <s v="BARRANQUILLA"/>
    <s v="BARRANQUILLA"/>
    <n v="8001"/>
    <s v="2025-09-16"/>
    <n v="1"/>
    <s v="BARRANQUILLA"/>
    <x v="5"/>
    <n v="37313"/>
    <n v="37313"/>
  </r>
  <r>
    <n v="79361"/>
    <s v="BARRIO VILLA DEL LAGO CALI 2"/>
    <n v="66956280"/>
    <s v="3102755154"/>
    <s v="3103755154"/>
    <s v="3103755154"/>
    <s v="CL 72D 25G 17,VILLA DEL LAGO"/>
    <s v="3.4376862"/>
    <s v="-76.4910625"/>
    <s v="VALLE DEL CAUCA"/>
    <s v="CALI"/>
    <s v="SANTIAGO DE CALI"/>
    <n v="76001"/>
    <s v="2025-09-16"/>
    <n v="1"/>
    <s v="CALI"/>
    <x v="3"/>
    <n v="37313"/>
    <n v="37313"/>
  </r>
  <r>
    <n v="76765"/>
    <s v="BARRIO ITAGUI CATATRAVA ITAGUI"/>
    <n v="1036654675"/>
    <s v="3205521487"/>
    <s v="3004114236"/>
    <s v="3205521487"/>
    <s v="CR 68 55 71,ITAGÜI CALATRAVA"/>
    <s v="6.1815458"/>
    <s v="-75.6124446"/>
    <s v="ANTIOQUIA"/>
    <s v="ITAGÜÍ"/>
    <s v="ITAGÜÍ"/>
    <n v="5360"/>
    <s v="2025-09-16"/>
    <n v="1"/>
    <s v="MEDELLIN"/>
    <x v="0"/>
    <n v="37313"/>
    <n v="37313"/>
  </r>
  <r>
    <n v="74596"/>
    <s v="BARRIO BOSQUES DE PALERMO ARMENIA"/>
    <n v="1019126994"/>
    <s v="3003294751"/>
    <s v="3003294751"/>
    <s v="3003294751"/>
    <s v="CL 22 NORTE19 170 LC 1,BOSQUES DE PALERMO"/>
    <s v="4.5594068"/>
    <s v="-75.6605483"/>
    <s v="QUINDÍO"/>
    <s v="ARMENIA"/>
    <s v="ARMENIA"/>
    <n v="63001"/>
    <s v="2025-09-16"/>
    <n v="1"/>
    <s v="PEREIRA"/>
    <x v="6"/>
    <n v="37313"/>
    <n v="37313"/>
  </r>
  <r>
    <n v="74717"/>
    <s v="BARRIO LA GLORIA ITAGUI  3"/>
    <n v="71757753"/>
    <s v="3017164445"/>
    <s v="3173415143"/>
    <s v="3173415143"/>
    <s v="CL 45 48 60 ,LA GLORIA"/>
    <s v="6.1693223"/>
    <s v="-75.6127739"/>
    <s v="ANTIOQUIA"/>
    <s v="ITAGÜÍ"/>
    <s v="ITAGÜÍ"/>
    <n v="5360"/>
    <s v="2025-09-16"/>
    <n v="1"/>
    <s v="MEDELLIN"/>
    <x v="0"/>
    <n v="37313"/>
    <n v="37313"/>
  </r>
  <r>
    <n v="78919"/>
    <s v="BARRIO SAN ANTONIO VILLAVICENCIO 10"/>
    <n v="1121940895"/>
    <s v="3132282012"/>
    <s v="3115668858"/>
    <s v="3115668858"/>
    <s v="CL 13 A 41 - 02 E BRR SAN ANTONIO,SAN ANTONIO"/>
    <s v="4.1196407"/>
    <s v="-73.5642444"/>
    <s v="META"/>
    <s v="VILLAVICENCIO"/>
    <s v="VILLAVICENCIO"/>
    <n v="50001"/>
    <s v="2025-09-16"/>
    <n v="1"/>
    <s v="VILLAVICENCIO"/>
    <x v="1"/>
    <n v="49671.7"/>
    <n v="49671.7"/>
  </r>
  <r>
    <n v="78542"/>
    <s v="BARRIO URB VEREDA TROPICAL MONTERIA"/>
    <n v="1067868477"/>
    <s v="3145821659"/>
    <s v="3145821659"/>
    <s v="3145821659"/>
    <s v="AER 1 SEC 6 MZ 24 - 28,URB VEREDA TROPICAL"/>
    <s v="8.7263770"/>
    <s v="-75.8763239"/>
    <s v="CÓRDOBA"/>
    <s v="MONTERÍA"/>
    <s v="MONTERÍA"/>
    <n v="23001"/>
    <s v="2025-09-16"/>
    <n v="1"/>
    <s v="MONTERIA"/>
    <x v="5"/>
    <n v="37313"/>
    <n v="37313"/>
  </r>
  <r>
    <n v="78889"/>
    <s v="BARRIO VILLA MARVELLA SANTA MARTA"/>
    <n v="1082878528"/>
    <s v="3004742723"/>
    <s v="3004742723"/>
    <s v=" 3004742723  "/>
    <s v="MZ O CS 370,VILLA MARVELLA"/>
    <s v="11.2251686"/>
    <s v="-74.1903832"/>
    <s v="MAGDALENA"/>
    <s v="SANTA MARTA"/>
    <s v="SANTA MARTA"/>
    <n v="47001"/>
    <s v="2025-09-16"/>
    <n v="1"/>
    <s v="SANTA MARTA"/>
    <x v="5"/>
    <n v="49671.7"/>
    <n v="49671.7"/>
  </r>
  <r>
    <n v="75665"/>
    <s v="BARRIO SAN ISIDRO ITAGUI"/>
    <n v="21677036"/>
    <s v="3177443503"/>
    <s v="3177443503"/>
    <s v="3177443503"/>
    <s v="CL 40 NRO. 53 - 13,SAN ISIDRO"/>
    <s v="6.1713894"/>
    <s v="-75.6170946"/>
    <s v="ANTIOQUIA"/>
    <s v="ITAGÜÍ"/>
    <s v="ITAGÜÍ"/>
    <n v="5360"/>
    <s v="2025-09-16"/>
    <n v="1"/>
    <s v="MEDELLIN"/>
    <x v="0"/>
    <n v="37313"/>
    <n v="37313"/>
  </r>
  <r>
    <n v="75730"/>
    <s v="BARRIO CLAVERIANO BUCARAMANGA 1"/>
    <n v="37552026"/>
    <s v="3152918146"/>
    <s v="3152918146"/>
    <s v="3152918146"/>
    <s v="CR 20 F 25 N 04 MANZANA 14 CLAVERIANO,CLAVERIANO"/>
    <s v="7.11591728"/>
    <s v="-73.13354758"/>
    <s v="SANTANDER"/>
    <s v="BUCARAMANGA"/>
    <s v="BUCARAMANGA"/>
    <n v="68001"/>
    <s v="2025-09-16"/>
    <n v="1"/>
    <s v="BUCARAMANGA"/>
    <x v="4"/>
    <n v="37313"/>
    <n v="37313"/>
  </r>
  <r>
    <n v="75903"/>
    <s v="BARRIO PUERTA DE LOS ALPES CARTAGENA DE INDIAS 2"/>
    <n v="1047468965"/>
    <s v="3007203565"/>
    <s v="3015885583"/>
    <s v="3007203565"/>
    <s v="PUERTA DE LOS ALPES MZ A LT 7  ET 1 BRR  LOS ALPES"/>
    <s v="10.3996549"/>
    <s v="-75.4806408"/>
    <s v="BOLÍVAR"/>
    <s v="CARTAGENA DE INDIAS"/>
    <s v="CARTAGENA DE INDIAS"/>
    <n v="13001"/>
    <s v="2025-09-16"/>
    <n v="1"/>
    <s v="CARTAGENA"/>
    <x v="5"/>
    <n v="49671.7"/>
    <n v="49671.7"/>
  </r>
  <r>
    <n v="77329"/>
    <s v="BARRIO _x0009_CICERON MAESTRE VALLEDUPAR"/>
    <n v="49777802"/>
    <s v="3152359145"/>
    <s v="3152359145"/>
    <s v="3152359145"/>
    <s v="CL 16C # 34 A -16 BELLA VISTA"/>
    <s v="10.456835"/>
    <s v="-73.274049"/>
    <s v="CESAR"/>
    <s v="VALLEDUPAR"/>
    <s v="VALLEDUPAR"/>
    <n v="20001"/>
    <s v="2025-09-16"/>
    <n v="1"/>
    <s v="VALLEDUPAR"/>
    <x v="5"/>
    <n v="49671.7"/>
    <n v="49671.7"/>
  </r>
  <r>
    <n v="77314"/>
    <s v="BARRIO TIERRA LINDA LOS PATIOS  4"/>
    <n v="1098734421"/>
    <s v="3223017417"/>
    <s v="3223017417"/>
    <s v="3133440293"/>
    <s v="CL 15 7B 32,TIERRA LINDA"/>
    <s v="7.813406742986154"/>
    <s v="-72.51480124850283"/>
    <s v="NORTE DE SANTANDER"/>
    <s v="LOS PATIOS"/>
    <s v="LOS PATIOS"/>
    <n v="54405"/>
    <s v="2025-09-16"/>
    <n v="1"/>
    <s v="CUCUTA"/>
    <x v="4"/>
    <n v="49671.7"/>
    <n v="49671.7"/>
  </r>
  <r>
    <n v="77428"/>
    <s v="BARRIO TRINIDAD MEDELLIN  7"/>
    <n v="901881848"/>
    <s v="3008865782"/>
    <s v="3117181991"/>
    <s v="3008865782"/>
    <s v="CL 25 59 54,TRINIDAD"/>
    <s v="6.2267235"/>
    <s v="-75.5832243"/>
    <s v="ANTIOQUIA"/>
    <s v="MEDELLÍN"/>
    <s v="MEDELLÍN"/>
    <n v="5001"/>
    <s v="2025-09-16"/>
    <n v="2"/>
    <s v="MEDELLIN"/>
    <x v="0"/>
    <n v="37313"/>
    <n v="74626"/>
  </r>
  <r>
    <n v="79178"/>
    <s v="BARRIO EL CANEY CALI 3"/>
    <n v="1006172536"/>
    <s v="3164585501"/>
    <s v="3164585501"/>
    <s v="3164585501"/>
    <s v="CL 42 81B 29 LC 101,EL CANEY"/>
    <s v="3.3862119"/>
    <s v="-76.5199039"/>
    <s v="VALLE DEL CAUCA"/>
    <s v="CALI"/>
    <s v="SANTIAGO DE CALI"/>
    <n v="76001"/>
    <s v="2025-09-16"/>
    <n v="1"/>
    <s v="CALI"/>
    <x v="3"/>
    <n v="37313"/>
    <n v="37313"/>
  </r>
  <r>
    <n v="74965"/>
    <s v="BARRIO BOQUERON IBAGUE 5"/>
    <n v="28787617"/>
    <s v="3143813662"/>
    <s v="3143813662"/>
    <s v="3143813662"/>
    <s v="CL 21 SUR 39 200 BOQUERÓN PARTE ALTA,BOQUERÓN"/>
    <s v="4.4104944"/>
    <s v="-75.2653672"/>
    <s v="TOLIMA"/>
    <s v="IBAGUÉ"/>
    <s v="IBAGUÉ"/>
    <n v="73001"/>
    <s v="2025-09-16"/>
    <n v="1"/>
    <s v="IBAGUE"/>
    <x v="1"/>
    <n v="49671.7"/>
    <n v="49671.7"/>
  </r>
  <r>
    <n v="74497"/>
    <s v="BARRIO BICENTENARIO YOPAL"/>
    <n v="80187675"/>
    <s v="3112663897"/>
    <s v="3202827787"/>
    <s v="3112663897"/>
    <s v="CR 20 12 76 BARRIO BELLO HORIZONTE"/>
    <s v="5.3444616"/>
    <s v="-72.3987225"/>
    <s v="CASANARE"/>
    <s v="YOPAL"/>
    <s v="YOPAL"/>
    <n v="85001"/>
    <s v="2025-09-16"/>
    <n v="1"/>
    <s v="YOPAL"/>
    <x v="1"/>
    <n v="49671.7"/>
    <n v="49671.7"/>
  </r>
  <r>
    <n v="74630"/>
    <s v="BARRIO NIQUIA BELLO 20"/>
    <n v="79538883"/>
    <s v="3168088328"/>
    <s v="3168088328"/>
    <s v="3168088328"/>
    <s v="DG 55 43A - 89,NIQUIA"/>
    <s v="6.3390748"/>
    <s v="-75.5514550"/>
    <s v="ANTIOQUIA"/>
    <s v="BELLO"/>
    <s v="BELLO"/>
    <n v="5088"/>
    <s v="2025-09-16"/>
    <n v="1"/>
    <s v="MEDELLIN"/>
    <x v="0"/>
    <n v="37313"/>
    <n v="37313"/>
  </r>
  <r>
    <n v="74740"/>
    <s v="BARRIO PEDREGAL FLORENCIA 1"/>
    <n v="1061088473"/>
    <s v="3114377058"/>
    <s v="3114377058"/>
    <s v="3114377058"/>
    <s v="CL 3 4 - 34/38,PEDREGAL"/>
    <s v="1.6824424"/>
    <s v="-77.0737886"/>
    <s v="CAUCA"/>
    <s v="FLORENCIA"/>
    <s v="FLORENCIA"/>
    <n v="19290"/>
    <s v="2025-09-16"/>
    <n v="1"/>
    <s v="CALI"/>
    <x v="3"/>
    <n v="37313"/>
    <n v="37313"/>
  </r>
  <r>
    <n v="79434"/>
    <s v="BARRIO SANTANDER MEDELLIN MEDELLIN"/>
    <n v="1018226050"/>
    <s v="3023691724"/>
    <s v="3023691724"/>
    <s v="3023691724"/>
    <s v="CL 108A 77 58,SANTANDER MEDELLIN"/>
    <s v="6.3071785"/>
    <s v="-75.5736195"/>
    <s v="ANTIOQUIA"/>
    <s v="MEDELLÍN"/>
    <s v="MEDELLÍN"/>
    <n v="5001"/>
    <s v="2025-09-16"/>
    <n v="1"/>
    <s v="MEDELLIN"/>
    <x v="0"/>
    <n v="37313"/>
    <n v="37313"/>
  </r>
  <r>
    <n v="79513"/>
    <s v="BARRIO CORREGIMIENTO LA Y EL ZULIA"/>
    <n v="1093754156"/>
    <s v="3233085925"/>
    <s v="3233085925"/>
    <m/>
    <s v="KDX 36 A-2,CORREGIMIENTO LA Y"/>
    <s v="8.1396075"/>
    <s v="-72.5702539"/>
    <s v="NORTE DE SANTANDER"/>
    <s v="EL ZULIA"/>
    <s v="EL ZULIA"/>
    <n v="54261"/>
    <s v="2025-09-16"/>
    <n v="1"/>
    <s v="CUCUTA"/>
    <x v="4"/>
    <n v="49671.7"/>
    <n v="49671.7"/>
  </r>
  <r>
    <n v="75423"/>
    <s v="BARRIO OLIMPICO VILLAVICENCIO 3"/>
    <n v="40440213"/>
    <s v="3132732891"/>
    <s v="3132732891"/>
    <s v="3132732891"/>
    <s v="CR 16 N 24 A 12 LC 101 BRR OLÍMPICO,OLÍMPICO"/>
    <s v="4.139954"/>
    <s v="-73.617277"/>
    <s v="META"/>
    <s v="VILLAVICENCIO"/>
    <s v="VILLAVICENCIO"/>
    <n v="50001"/>
    <s v="2025-09-16"/>
    <n v="1"/>
    <s v="VILLAVICENCIO"/>
    <x v="1"/>
    <n v="49671.7"/>
    <n v="49671.7"/>
  </r>
  <r>
    <n v="74356"/>
    <s v="BARRIO SANTA CRUZ MEDELLIN 16"/>
    <n v="1039970097"/>
    <s v="3127464364"/>
    <s v="3127464364"/>
    <s v="3127464364"/>
    <s v="CR 49 101 51,SANTA CRUZ"/>
    <s v="6.2929258"/>
    <s v="-75.5555849"/>
    <s v="ANTIOQUIA"/>
    <s v="MEDELLÍN"/>
    <s v="MEDELLÍN"/>
    <n v="5001"/>
    <s v="2025-09-16"/>
    <n v="1"/>
    <s v="MEDELLIN"/>
    <x v="0"/>
    <n v="37313"/>
    <n v="37313"/>
  </r>
  <r>
    <n v="75047"/>
    <s v="BARRIO CENTRO TUNJA 27"/>
    <n v="1118545225"/>
    <s v="3142563970"/>
    <s v="3142563970"/>
    <s v="3142563970"/>
    <s v="CL 20 12 83,CENTRO"/>
    <s v="5.53367393"/>
    <s v="-73.36480541"/>
    <s v="BOYACÁ"/>
    <s v="TUNJA"/>
    <s v="TUNJA"/>
    <n v="15001"/>
    <s v="2025-09-16"/>
    <n v="1"/>
    <s v="TUNJA"/>
    <x v="4"/>
    <n v="49671.7"/>
    <n v="49671.7"/>
  </r>
  <r>
    <n v="75569"/>
    <s v="BARRIO LOSS MARTIRES NEIVA"/>
    <n v="36067136"/>
    <s v="3107879364"/>
    <s v="3207637322"/>
    <s v="3207637322"/>
    <s v="CL 11 1 G 32,LOS MÁRTIRES"/>
    <s v="2.928461"/>
    <s v="-75.293968"/>
    <s v="HUILA"/>
    <s v="NEIVA"/>
    <s v="NEIVA"/>
    <n v="41001"/>
    <s v="2025-09-16"/>
    <n v="1"/>
    <s v="NEIVA"/>
    <x v="1"/>
    <n v="49671.7"/>
    <n v="49671.7"/>
  </r>
  <r>
    <n v="79810"/>
    <s v="BARRIO PICACHO MEDELLIN  6"/>
    <n v="71337078"/>
    <s v="3005965104"/>
    <s v="3005965104"/>
    <s v="3005965104"/>
    <s v="CR 84B 94B 77,PICACHO"/>
    <s v="6.2959410"/>
    <s v="-75.5862686"/>
    <s v="ANTIOQUIA"/>
    <s v="MEDELLÍN"/>
    <s v="MEDELLÍN"/>
    <n v="5001"/>
    <s v="2025-09-16"/>
    <n v="1"/>
    <s v="MEDELLIN"/>
    <x v="0"/>
    <n v="37313"/>
    <n v="37313"/>
  </r>
  <r>
    <n v="76964"/>
    <s v="BARRIO URB LOS ARAUJOS MONTERIA"/>
    <n v="1067841580"/>
    <s v="3008158328"/>
    <s v="3008158328"/>
    <s v="3008158328"/>
    <s v="AER 1 SEC 1 MZ 20 16,URB LOS ARAUJOS"/>
    <s v="8.727864"/>
    <s v="-75.886443"/>
    <s v="CÓRDOBA"/>
    <s v="MONTERÍA"/>
    <s v="MONTERÍA"/>
    <n v="23001"/>
    <s v="2025-09-16"/>
    <n v="1"/>
    <s v="MONTERIA"/>
    <x v="5"/>
    <n v="37313"/>
    <n v="37313"/>
  </r>
  <r>
    <n v="75469"/>
    <s v="BARRIO COLSEGUROS NORTE BUCARAMANGA"/>
    <n v="53068360"/>
    <s v="3177164132"/>
    <s v="3177164132"/>
    <s v="3177164132"/>
    <s v="BL 26 APT 103 BARRIO COLSEGUROS NORTE,COLSEGUROS NORTE"/>
    <s v="7.1471495"/>
    <s v="-73.1336294"/>
    <s v="SANTANDER"/>
    <s v="BUCARAMANGA"/>
    <s v="BUCARAMANGA"/>
    <n v="68001"/>
    <s v="2025-09-16"/>
    <n v="1"/>
    <s v="BUCARAMANGA"/>
    <x v="4"/>
    <n v="37313"/>
    <n v="37313"/>
  </r>
  <r>
    <n v="75573"/>
    <s v="BARRIO BOSQUES DE PINARES ARMENIA 1"/>
    <n v="1122129345"/>
    <s v="0"/>
    <s v="3242515351"/>
    <s v="3028689622"/>
    <s v="BOSQUES DE PINARES MZ 10 CA 37 LC 1,BOSQUES DE PINARES"/>
    <s v="4.5124778"/>
    <s v="-75.6955685"/>
    <s v="QUINDÍO"/>
    <s v="ARMENIA"/>
    <s v="ARMENIA"/>
    <n v="63001"/>
    <s v="2025-09-16"/>
    <n v="1"/>
    <s v="PEREIRA"/>
    <x v="6"/>
    <n v="37313"/>
    <n v="37313"/>
  </r>
  <r>
    <n v="75753"/>
    <s v="BARRIO  JUAN  XXIII MONTERIA"/>
    <n v="10930801"/>
    <s v="3002074939"/>
    <s v="3002074939"/>
    <s v="3002074939"/>
    <s v="CR 1 W 37 39,JUAN XXIII"/>
    <s v="8.7652285"/>
    <s v="-75.8852344"/>
    <s v="CÓRDOBA"/>
    <s v="MONTERÍA"/>
    <s v="MONTERÍA"/>
    <n v="23001"/>
    <s v="2025-09-16"/>
    <n v="1"/>
    <s v="MONTERIA"/>
    <x v="5"/>
    <n v="37313"/>
    <n v="37313"/>
  </r>
  <r>
    <n v="77103"/>
    <s v="BARRIO MERCADO DE BAZURDO CARTAGENA DE INDIAS"/>
    <n v="45690706"/>
    <s v="3006673873"/>
    <s v="3008040299"/>
    <s v="3008040299"/>
    <s v="EN SEC EL BOCA 46310,MERCADO DE BAZURTO"/>
    <s v="10.4126724"/>
    <s v="-75.5246369"/>
    <s v="BOLÍVAR"/>
    <s v="CARTAGENA DE INDIAS"/>
    <s v="CARTAGENA DE INDIAS"/>
    <n v="13001"/>
    <s v="2025-09-16"/>
    <n v="1"/>
    <s v="CARTAGENA"/>
    <x v="5"/>
    <n v="49671.7"/>
    <n v="49671.7"/>
  </r>
  <r>
    <n v="77221"/>
    <s v="BARRIO CALIMIO DECEPAZ CALI  2"/>
    <n v="901721156"/>
    <s v="3117465428"/>
    <s v="3025378717"/>
    <s v="3025378717"/>
    <s v="CR 26 M 122 07,CALIMIO DECEPAZ"/>
    <s v="3.4153725"/>
    <s v="-76.4687562"/>
    <s v="VALLE DEL CAUCA"/>
    <s v="CALI"/>
    <s v="SANTIAGO DE CALI"/>
    <n v="76001"/>
    <s v="2025-09-16"/>
    <n v="3"/>
    <s v="CALI"/>
    <x v="3"/>
    <n v="37313"/>
    <n v="111939"/>
  </r>
  <r>
    <n v="77678"/>
    <s v="BARRIO PIZARREAL LOS PATIOS 6"/>
    <n v="1093292499"/>
    <s v="3223816907"/>
    <s v="3223816907"/>
    <s v="3223816907"/>
    <s v="KDX 7 NRO. 1 A,PIZARREAL"/>
    <s v="7.8121662327319745"/>
    <s v="-72.51664645666173"/>
    <s v="NORTE DE SANTANDER"/>
    <s v="LOS PATIOS"/>
    <s v="LOS PATIOS"/>
    <n v="54405"/>
    <s v="2025-09-16"/>
    <n v="1"/>
    <s v="CUCUTA"/>
    <x v="4"/>
    <n v="49671.7"/>
    <n v="49671.7"/>
  </r>
  <r>
    <n v="79800"/>
    <s v="BARRIO CENTRO TUNJA 32"/>
    <n v="33376615"/>
    <s v="3102432982"/>
    <s v="3102432982"/>
    <s v="3102432982"/>
    <s v="CR 12 19 31,CENTRO"/>
    <s v="5.5330580"/>
    <s v="-73.3641009"/>
    <s v="BOYACÁ"/>
    <s v="TUNJA"/>
    <s v="TUNJA"/>
    <n v="15001"/>
    <s v="2025-09-16"/>
    <n v="1"/>
    <s v="TUNJA"/>
    <x v="4"/>
    <n v="49671.7"/>
    <n v="49671.7"/>
  </r>
  <r>
    <n v="77960"/>
    <s v="BARRIO CAMILO TORRES DUITAMA 9"/>
    <n v="1055273681"/>
    <s v="3144078103"/>
    <s v="3144078103"/>
    <s v="3142812074"/>
    <s v="CR 37 NO.20A-81,CAMILO TORRES"/>
    <s v="5.8150170"/>
    <s v="-73.0195809"/>
    <s v="BOYACÁ"/>
    <s v="DUITAMA"/>
    <s v="DUITAMA"/>
    <n v="15238"/>
    <s v="2025-09-16"/>
    <n v="1"/>
    <s v="TUNJA"/>
    <x v="4"/>
    <n v="49671.7"/>
    <n v="49671.7"/>
  </r>
  <r>
    <n v="28024"/>
    <s v="BARRIO RODADERO 2 SANTA MARTA"/>
    <n v="70382590"/>
    <s v="4207529"/>
    <s v="3013497038"/>
    <s v="3013497038"/>
    <s v=" CR 2 7 15"/>
    <s v="11.20522211"/>
    <s v="-74.2268052"/>
    <s v="MAGDALENA"/>
    <s v="SANTA MARTA"/>
    <s v="SANTA MARTA"/>
    <n v="47001"/>
    <s v="2025-09-17"/>
    <n v="1"/>
    <s v="SANTA MARTA"/>
    <x v="5"/>
    <n v="49671.7"/>
    <n v="49671.7"/>
  </r>
  <r>
    <n v="12753"/>
    <s v="BARRIO PINARES – ARMENIA"/>
    <n v="4565331"/>
    <s v="7475322"/>
    <s v="3113404904"/>
    <s v="3113404904"/>
    <s v=" MZ 1 CS 20 PINARES ARMENIA QUINDIO"/>
    <s v="4.51228703"/>
    <s v="-75.69067207"/>
    <s v="QUINDÍO"/>
    <s v="ARMENIA"/>
    <s v="ARMENIA"/>
    <n v="63001"/>
    <s v="2025-09-17"/>
    <n v="1"/>
    <s v="PEREIRA"/>
    <x v="6"/>
    <n v="37313"/>
    <n v="37313"/>
  </r>
  <r>
    <n v="21504"/>
    <s v="BARRIO NORMANDÍA III - BOGOTA"/>
    <n v="79684697"/>
    <s v="4302981"/>
    <s v="3183930249"/>
    <s v="3183930249"/>
    <s v=" CL 64 F 74 A 48"/>
    <s v="4.68063628"/>
    <s v="-74.10454134"/>
    <s v="CUNDINAMARCA"/>
    <s v="BOGOTÁ"/>
    <s v="BOGOTÁ"/>
    <n v="11001"/>
    <s v="2025-09-17"/>
    <n v="1"/>
    <s v="BOGOTA"/>
    <x v="2"/>
    <n v="37313"/>
    <n v="37313"/>
  </r>
  <r>
    <n v="27037"/>
    <s v="BARRIO ESTERO VILLAVICENCIO"/>
    <n v="40217703"/>
    <s v="6708384"/>
    <s v="3214786193"/>
    <s v="3214786193"/>
    <s v=" CL 8  14 45 VILLAVICENCIO VILLAVICENCIO MET"/>
    <s v="4.131382"/>
    <s v="-73.616245"/>
    <s v="META"/>
    <s v="VILLAVICENCIO"/>
    <s v="VILLAVICENCIO"/>
    <n v="50001"/>
    <s v="2025-09-17"/>
    <n v="1"/>
    <s v="VILLAVICENCIO"/>
    <x v="1"/>
    <n v="49671.7"/>
    <n v="49671.7"/>
  </r>
  <r>
    <n v="29132"/>
    <s v="BARRIO NIQUIA CAMACOL 5 BELLO"/>
    <n v="71005305"/>
    <s v="4814014"/>
    <s v="3206660413"/>
    <s v="3206660413"/>
    <s v=" DG 67 46 A 17"/>
    <s v="6.3477493"/>
    <s v="-75.5534457"/>
    <s v="ANTIOQUIA"/>
    <s v="BELLO"/>
    <s v="BELLO"/>
    <n v="5088"/>
    <s v="2025-09-17"/>
    <n v="1"/>
    <s v="MEDELLIN"/>
    <x v="0"/>
    <n v="37313"/>
    <n v="37313"/>
  </r>
  <r>
    <n v="31155"/>
    <s v="BARRIO LA LUZ"/>
    <n v="1045684117"/>
    <s v="3467133"/>
    <s v="3173076250"/>
    <s v="3173076250"/>
    <s v="CR 20 N  8  14 AP  1"/>
    <s v="10.95831"/>
    <s v="-74.76988"/>
    <s v="ATLÁNTICO"/>
    <s v="BARRANQUILLA"/>
    <s v="BARRANQUILLA"/>
    <n v="8001"/>
    <s v="2025-09-17"/>
    <n v="2"/>
    <s v="BARRANQUILLA"/>
    <x v="5"/>
    <n v="37313"/>
    <n v="74626"/>
  </r>
  <r>
    <n v="23855"/>
    <s v="BARRIO LA AURORA IV - BUCARAMANGA"/>
    <n v="37724229"/>
    <s v="6324520"/>
    <s v="3124920903"/>
    <s v="3124920903"/>
    <s v=" CL 34 27 46 ED MURA"/>
    <s v="7.12315672"/>
    <s v="-73.11656125"/>
    <s v="SANTANDER"/>
    <s v="BUCARAMANGA"/>
    <s v="BUCARAMANGA"/>
    <n v="68001"/>
    <s v="2025-09-17"/>
    <n v="1"/>
    <s v="BUCARAMANGA"/>
    <x v="4"/>
    <n v="37313"/>
    <n v="37313"/>
  </r>
  <r>
    <n v="19752"/>
    <s v="BARRIO URB. CONTADORA 3 CARTAGENA"/>
    <n v="73549941"/>
    <s v="3098941"/>
    <s v="3015420929"/>
    <s v="3148076620"/>
    <s v=" CL 32 69 41 CA 11"/>
    <s v="10.379832"/>
    <s v="-75.485330"/>
    <s v="BOLÍVAR"/>
    <s v="CARTAGENA DE INDIAS"/>
    <s v="CARTAGENA DE INDIAS"/>
    <n v="13001"/>
    <s v="2025-09-17"/>
    <n v="1"/>
    <s v="CARTAGENA"/>
    <x v="5"/>
    <n v="49671.7"/>
    <n v="49671.7"/>
  </r>
  <r>
    <n v="28199"/>
    <s v="BARRIO SAMANARES DE GUADALUPE CALI"/>
    <n v="1143828198"/>
    <s v="3957975"/>
    <s v="3054703340"/>
    <s v="3054703340"/>
    <s v="carrera 52 A # 16 - 77"/>
    <s v="3.4047159"/>
    <s v="-76.5265591"/>
    <s v="VALLE DEL CAUCA"/>
    <s v="CALI"/>
    <s v="SANTIAGO DE CALI"/>
    <n v="76001"/>
    <s v="2025-09-17"/>
    <n v="1"/>
    <s v="CALI"/>
    <x v="3"/>
    <n v="37313"/>
    <n v="37313"/>
  </r>
  <r>
    <n v="30434"/>
    <s v="BARRIO LA CANDELARIA BOGOTA"/>
    <n v="19350837"/>
    <s v="7498307"/>
    <s v="3123896359"/>
    <s v="3123896359"/>
    <s v="CR 6 7- 50"/>
    <s v="4.5949603"/>
    <s v="-74.0761092"/>
    <s v="CUNDINAMARCA"/>
    <s v="BOGOTÁ"/>
    <s v="BOGOTÁ"/>
    <n v="11001"/>
    <s v="2025-09-17"/>
    <n v="1"/>
    <s v="BOGOTA"/>
    <x v="2"/>
    <n v="37313"/>
    <n v="37313"/>
  </r>
  <r>
    <n v="11471"/>
    <s v="BARRIO PANAMERICANO II"/>
    <n v="4486102"/>
    <s v="3342484"/>
    <s v="3113074402"/>
    <s v="3113074402"/>
    <s v=" CL 13  47-26"/>
    <s v="3.41182092"/>
    <s v="-76.53349942"/>
    <s v="VALLE DEL CAUCA"/>
    <s v="CALI"/>
    <s v="SANTIAGO DE CALI"/>
    <n v="76001"/>
    <s v="2025-09-17"/>
    <n v="2"/>
    <s v="CALI"/>
    <x v="3"/>
    <n v="37313"/>
    <n v="74626"/>
  </r>
  <r>
    <n v="21706"/>
    <s v="BARRIO CIUDAD JARDÍN - TUNJA"/>
    <n v="79913549"/>
    <s v="7430664"/>
    <s v="3123765037"/>
    <s v="3123777826"/>
    <s v=" CR 2 B ESTE SUR 10 02 MZ 2 CA 1"/>
    <s v="5.5021395"/>
    <s v="-73.3640435"/>
    <s v="BOYACÁ"/>
    <s v="TUNJA"/>
    <s v="TUNJA"/>
    <n v="15001"/>
    <s v="2025-09-17"/>
    <n v="1"/>
    <s v="TUNJA"/>
    <x v="4"/>
    <n v="49671.7"/>
    <n v="49671.7"/>
  </r>
  <r>
    <n v="30299"/>
    <s v="BARRIO LAS VEGAS VI"/>
    <n v="11808110"/>
    <s v="4829049"/>
    <s v="3043607155"/>
    <s v="3043607155"/>
    <s v=" AV 36 44 63"/>
    <s v="6.3316650"/>
    <s v="-75.5407017"/>
    <s v="ANTIOQUIA"/>
    <s v="BELLO"/>
    <s v="BELLO"/>
    <n v="5088"/>
    <s v="2025-09-17"/>
    <n v="1"/>
    <s v="MEDELLIN"/>
    <x v="0"/>
    <n v="37313"/>
    <n v="37313"/>
  </r>
  <r>
    <n v="34215"/>
    <s v="BARRIO EL ACUARIO CUBA PEREIRA"/>
    <n v="79869293"/>
    <s v="3455443"/>
    <s v="3153027574"/>
    <s v="3153027574"/>
    <s v=" CA 56  EL ACUAEIO CUBA"/>
    <s v="4.800268"/>
    <s v="-75.735319"/>
    <s v="RISARALDA"/>
    <s v="PEREIRA"/>
    <s v="PEREIRA"/>
    <n v="66001"/>
    <s v="2025-09-17"/>
    <n v="1"/>
    <s v="PEREIRA"/>
    <x v="6"/>
    <n v="37313"/>
    <n v="37313"/>
  </r>
  <r>
    <n v="18448"/>
    <s v="BARRIO ONCE DE NOVIEMBRE LOS PATIOS"/>
    <n v="37222514"/>
    <s v="5802457"/>
    <s v="3105600084"/>
    <s v="3105600084"/>
    <s v=" AV 10  13-76 LC-1 ONCE DE NOVIEMBRE E"/>
    <s v="7.825310071636461"/>
    <s v="-72.51259879947496"/>
    <s v="NORTE DE SANTANDER"/>
    <s v="LOS PATIOS"/>
    <s v="LOS PATIOS"/>
    <n v="54405"/>
    <s v="2025-09-17"/>
    <n v="1"/>
    <s v="CUCUTA"/>
    <x v="4"/>
    <n v="49671.7"/>
    <n v="49671.7"/>
  </r>
  <r>
    <n v="30300"/>
    <s v="BARRIO LAS VEGAS  V"/>
    <n v="98645894"/>
    <s v="4829049"/>
    <s v="3123258572"/>
    <s v="3123258572"/>
    <s v=" DG 45 36 C 14"/>
    <s v="6.3320912"/>
    <s v="-75.5416042"/>
    <s v="ANTIOQUIA"/>
    <s v="BELLO"/>
    <s v="BELLO"/>
    <n v="5088"/>
    <s v="2025-09-17"/>
    <n v="1"/>
    <s v="MEDELLIN"/>
    <x v="0"/>
    <n v="37313"/>
    <n v="37313"/>
  </r>
  <r>
    <n v="13152"/>
    <s v="BARRIO SAN FRANCISCO"/>
    <n v="70829144"/>
    <s v="3020162"/>
    <s v="3205237143"/>
    <s v="3205237143"/>
    <s v=" CR 68  27-07 SAN FRANCISCO ITAGUI"/>
    <s v="6.1709779"/>
    <s v="-75.6407789"/>
    <s v="ANTIOQUIA"/>
    <s v="ITAGÜÍ"/>
    <s v="ITAGÜÍ"/>
    <n v="5360"/>
    <s v="2025-09-17"/>
    <n v="1"/>
    <s v="MEDELLIN"/>
    <x v="0"/>
    <n v="37313"/>
    <n v="37313"/>
  </r>
  <r>
    <n v="14762"/>
    <s v="BARRIO SIMON BOLIVAR ITAGUI"/>
    <n v="1037573901"/>
    <s v="3715629"/>
    <s v="3206525218"/>
    <s v="3206525218"/>
    <s v=" CL 66  45A-43 SIMON BOLIVAR"/>
    <s v="6.1789148"/>
    <s v="-75.5976189"/>
    <s v="ANTIOQUIA"/>
    <s v="ITAGÜÍ"/>
    <s v="ITAGÜÍ"/>
    <n v="5360"/>
    <s v="2025-09-17"/>
    <n v="1"/>
    <s v="MEDELLIN"/>
    <x v="0"/>
    <n v="37313"/>
    <n v="37313"/>
  </r>
  <r>
    <n v="27756"/>
    <s v="BARRIO LAS NIEVES 2 BARRANQUILLA"/>
    <n v="900903071"/>
    <s v="3747744"/>
    <s v="3126175573"/>
    <s v="3126175573"/>
    <s v=" CR 10 27 D 64"/>
    <s v="10.9482258"/>
    <s v="-74.7842109"/>
    <s v="ATLÁNTICO"/>
    <s v="BARRANQUILLA"/>
    <s v="BARRANQUILLA"/>
    <n v="8001"/>
    <s v="2025-09-17"/>
    <n v="1"/>
    <s v="BARRANQUILLA"/>
    <x v="5"/>
    <n v="37313"/>
    <n v="37313"/>
  </r>
  <r>
    <n v="34517"/>
    <s v="BARRIO ROBLEDO MEDELLIN 3"/>
    <n v="15515570"/>
    <s v="5870942"/>
    <s v="3137079915"/>
    <s v="3192325970"/>
    <s v=" CR 79 CL 91 B 29"/>
    <s v="6.2895889"/>
    <s v="-75.5835915"/>
    <s v="ANTIOQUIA"/>
    <s v="MEDELLÍN"/>
    <s v="MEDELLÍN"/>
    <n v="5001"/>
    <s v="2025-09-17"/>
    <n v="1"/>
    <s v="MEDELLIN"/>
    <x v="0"/>
    <n v="37313"/>
    <n v="37313"/>
  </r>
  <r>
    <n v="15009"/>
    <s v="BARRIO LA GRANJA III VALLEDUPAR"/>
    <n v="77173865"/>
    <s v="5805791"/>
    <s v="3135566105"/>
    <s v="3135566105"/>
    <s v=" CR 10  19C-70 LA GRANJA VALLEDUPAR"/>
    <s v="10.46866179"/>
    <s v="-73.24410498"/>
    <s v="CESAR"/>
    <s v="VALLEDUPAR"/>
    <s v="VALLEDUPAR"/>
    <n v="20001"/>
    <s v="2025-09-17"/>
    <n v="1"/>
    <s v="VALLEDUPAR"/>
    <x v="5"/>
    <n v="49671.7"/>
    <n v="49671.7"/>
  </r>
  <r>
    <n v="16421"/>
    <s v="BARRIO AVENIDA LUIS CARLOS GALAN SINCELEJO"/>
    <n v="6819378"/>
    <s v="2822531"/>
    <s v="3016566312"/>
    <s v="3016566312"/>
    <s v=" CL 28  21-05 AV LUIS CARLOS GALAN"/>
    <s v="9.2983724"/>
    <s v="-75.3924049"/>
    <s v="SUCRE"/>
    <s v="SINCELEJO"/>
    <s v="SINCELEJO"/>
    <n v="70001"/>
    <s v="2025-09-17"/>
    <n v="1"/>
    <s v="SINCELEJO"/>
    <x v="5"/>
    <n v="49671.7"/>
    <n v="49671.7"/>
  </r>
  <r>
    <n v="26438"/>
    <s v="BARRIO TERRANOVA ITAGUI"/>
    <n v="8032477"/>
    <s v="5994794"/>
    <s v="3108925851"/>
    <s v="3108925851"/>
    <s v=" CL 63  58 B 14 ITAGUI ITAGUI ANTIOQUIA"/>
    <s v="6.1812106"/>
    <s v="-75.6060878"/>
    <s v="ANTIOQUIA"/>
    <s v="ITAGÜÍ"/>
    <s v="ITAGÜÍ"/>
    <n v="5360"/>
    <s v="2025-09-17"/>
    <n v="2"/>
    <s v="MEDELLIN"/>
    <x v="0"/>
    <n v="37313"/>
    <n v="74626"/>
  </r>
  <r>
    <n v="35770"/>
    <s v="BARRIO AEROCIVIL YOPAL"/>
    <n v="46369450"/>
    <s v="6330248"/>
    <s v="3108910262"/>
    <s v="3102166002"/>
    <s v=" CR 21 38 68"/>
    <s v="5.339451"/>
    <s v="-72.38367"/>
    <s v="CASANARE"/>
    <s v="YOPAL"/>
    <s v="YOPAL"/>
    <n v="85001"/>
    <s v="2025-09-17"/>
    <n v="1"/>
    <s v="YOPAL"/>
    <x v="1"/>
    <n v="49671.7"/>
    <n v="49671.7"/>
  </r>
  <r>
    <n v="22946"/>
    <s v="BARRIO CANDILES - BUCARAMANGA"/>
    <n v="37943868"/>
    <s v="6966336"/>
    <s v="3174428096"/>
    <s v="3174428096"/>
    <s v=" CL 51 A 13 159"/>
    <s v="7.1086680"/>
    <s v="-73.1254760"/>
    <s v="SANTANDER"/>
    <s v="BUCARAMANGA"/>
    <s v="BUCARAMANGA"/>
    <n v="68001"/>
    <s v="2025-09-17"/>
    <n v="1"/>
    <s v="BUCARAMANGA"/>
    <x v="4"/>
    <n v="37313"/>
    <n v="37313"/>
  </r>
  <r>
    <n v="23119"/>
    <s v="BARRIO EL DORADO - CALI"/>
    <n v="29361511"/>
    <s v="3707898"/>
    <s v="3147458663"/>
    <s v="3147458663"/>
    <s v=" CL 13 A 38 04"/>
    <s v="3.41978901"/>
    <s v="-76.52972785"/>
    <s v="VALLE DEL CAUCA"/>
    <s v="CALI"/>
    <s v="SANTIAGO DE CALI"/>
    <n v="76001"/>
    <s v="2025-09-17"/>
    <n v="1"/>
    <s v="CALI"/>
    <x v="3"/>
    <n v="37313"/>
    <n v="37313"/>
  </r>
  <r>
    <n v="27663"/>
    <s v="BARRIO ROBLEDO 2  MEDELLIN"/>
    <n v="43284482"/>
    <s v="5798182"/>
    <s v="3135984205"/>
    <s v="3004488153"/>
    <s v=" CL 96 84 05"/>
    <s v="6.2963097"/>
    <s v="-75.5849993"/>
    <s v="ANTIOQUIA"/>
    <s v="MEDELLÍN"/>
    <s v="MEDELLÍN"/>
    <n v="5001"/>
    <s v="2025-09-17"/>
    <n v="1"/>
    <s v="MEDELLIN"/>
    <x v="0"/>
    <n v="37313"/>
    <n v="37313"/>
  </r>
  <r>
    <n v="27464"/>
    <s v="BARRIO NUEVA MARSELLA VII - BOGOTÁ"/>
    <n v="93390159"/>
    <s v="2610059"/>
    <s v="3142084924"/>
    <s v="3142084924"/>
    <s v=" CR 69 F 5 07"/>
    <s v="4.6270359"/>
    <s v="-74.1306783"/>
    <s v="CUNDINAMARCA"/>
    <s v="BOGOTÁ"/>
    <s v="BOGOTÁ"/>
    <n v="11001"/>
    <s v="2025-09-17"/>
    <n v="1"/>
    <s v="BOGOTA"/>
    <x v="2"/>
    <n v="37313"/>
    <n v="37313"/>
  </r>
  <r>
    <n v="34638"/>
    <s v="BARRIO CENTRO BUCARAMANGA 3"/>
    <n v="63505215"/>
    <s v="6569622"/>
    <s v="3463310821"/>
    <s v="3164736364"/>
    <s v=" CL 35 21 70 ED APOLO  CENTRO"/>
    <s v="7.120488"/>
    <s v="-73.1211055"/>
    <s v="SANTANDER"/>
    <s v="BUCARAMANGA"/>
    <s v="BUCARAMANGA"/>
    <n v="68001"/>
    <s v="2025-09-17"/>
    <n v="1"/>
    <s v="BUCARAMANGA"/>
    <x v="4"/>
    <n v="37313"/>
    <n v="37313"/>
  </r>
  <r>
    <n v="42293"/>
    <s v="BARRIO BARZAL BAJO VILLAVICENCIO"/>
    <n v="86081661"/>
    <s v="3214281044"/>
    <s v="3214281044"/>
    <s v="3214280144"/>
    <s v="CL 37 40  87 BRR BAZAR ALTO"/>
    <s v="4.146002"/>
    <s v="-73.641687"/>
    <s v="META"/>
    <s v="VILLAVICENCIO"/>
    <s v="VILLAVICENCIO"/>
    <n v="50001"/>
    <s v="2025-09-17"/>
    <n v="1"/>
    <s v="VILLAVICENCIO"/>
    <x v="1"/>
    <n v="49671.7"/>
    <n v="49671.7"/>
  </r>
  <r>
    <n v="38332"/>
    <s v="BARRIO CENTRO VILLA DEL ROSARIO 2"/>
    <n v="1092358585"/>
    <s v="5705797"/>
    <s v="3003566748"/>
    <s v="3008226016"/>
    <s v=" CR 6 N 6 66"/>
    <s v="7.831843"/>
    <s v="-72.470953"/>
    <s v="NORTE DE SANTANDER"/>
    <s v="VILLA DEL ROSARIO"/>
    <s v="VILLA DEL ROSARIO"/>
    <n v="54874"/>
    <s v="2025-09-17"/>
    <n v="1"/>
    <s v="CUCUTA"/>
    <x v="4"/>
    <n v="49671.7"/>
    <n v="49671.7"/>
  </r>
  <r>
    <n v="35070"/>
    <s v="BARRIO OLAYA HERRERA 1  CARTAGENA"/>
    <n v="1047378272"/>
    <m/>
    <s v="3175370401"/>
    <s v="3175370401"/>
    <s v=" CL 31 B 60 B 39 SEC SAN ANTONIO"/>
    <s v="10.405543"/>
    <s v="-75.48912694"/>
    <s v="BOLÍVAR"/>
    <s v="CARTAGENA DE INDIAS"/>
    <s v="CARTAGENA DE INDIAS"/>
    <n v="13001"/>
    <s v="2025-09-17"/>
    <n v="1"/>
    <s v="CARTAGENA"/>
    <x v="5"/>
    <n v="49671.7"/>
    <n v="49671.7"/>
  </r>
  <r>
    <n v="35212"/>
    <s v="BARRIO LA UNION  1 BARRANQUILLA"/>
    <n v="22403591"/>
    <m/>
    <s v="3007283308"/>
    <s v="3016552308"/>
    <s v=" CR 19 36 53"/>
    <s v="10.9563868"/>
    <s v="-74.7903191"/>
    <s v="ATLÁNTICO"/>
    <s v="BARRANQUILLA"/>
    <s v="BARRANQUILLA"/>
    <n v="8001"/>
    <s v="2025-09-17"/>
    <n v="1"/>
    <s v="BARRANQUILLA"/>
    <x v="5"/>
    <n v="37313"/>
    <n v="37313"/>
  </r>
  <r>
    <n v="48408"/>
    <s v="BARRIO LA FRANCIA IBAGUE"/>
    <n v="65771900"/>
    <s v="0"/>
    <s v="3168202024"/>
    <s v="3168202024"/>
    <s v="CL 34 # 4-17,LA FRANCIA"/>
    <s v="4.432217"/>
    <s v="-75.221385"/>
    <s v="TOLIMA"/>
    <s v="IBAGUÉ"/>
    <s v="IBAGUÉ"/>
    <n v="73001"/>
    <s v="2025-09-17"/>
    <n v="3"/>
    <s v="IBAGUE"/>
    <x v="1"/>
    <n v="49671.7"/>
    <n v="149015.09999999998"/>
  </r>
  <r>
    <n v="49339"/>
    <s v="BARRIO URB LOS TRAPICHES VILLA DEL ROSARIO"/>
    <n v="1090434162"/>
    <s v="3227155213"/>
    <s v="3227155213"/>
    <s v="3227155213"/>
    <s v="CL 10 # 2 83"/>
    <s v="7.86294426"/>
    <s v="-72.47564323"/>
    <s v="NORTE DE SANTANDER"/>
    <s v="VILLA DEL ROSARIO"/>
    <s v="VILLA DEL ROSARIO"/>
    <n v="54874"/>
    <s v="2025-09-17"/>
    <n v="1"/>
    <s v="CUCUTA"/>
    <x v="4"/>
    <n v="49671.7"/>
    <n v="49671.7"/>
  </r>
  <r>
    <n v="37696"/>
    <s v="BARRIO ROBLEDO VILLA SOFIA MEDELLIN 1"/>
    <n v="70288964"/>
    <s v="5878645"/>
    <s v="3218150993"/>
    <s v="3218150993"/>
    <s v=" CL 80 B 92 139 ROBLEDO VILLA SOFIA"/>
    <s v="6.2905013"/>
    <s v="-75.5923065"/>
    <s v="ANTIOQUIA"/>
    <s v="MEDELLÍN"/>
    <s v="MEDELLÍN"/>
    <n v="5001"/>
    <s v="2025-09-17"/>
    <n v="1"/>
    <s v="MEDELLIN"/>
    <x v="0"/>
    <n v="37313"/>
    <n v="37313"/>
  </r>
  <r>
    <n v="40389"/>
    <s v="BARRIO ROBLEDO EL DIAMANTE MEDELLIN"/>
    <n v="71633644"/>
    <s v="2570243"/>
    <s v="3002426969"/>
    <s v="3023282100"/>
    <s v="CL 79 B 85 A 120,ROBLEDO EL DIAMANTE"/>
    <s v="6.2856572"/>
    <s v="-75.5863654"/>
    <s v="ANTIOQUIA"/>
    <s v="MEDELLÍN"/>
    <s v="MEDELLÍN"/>
    <n v="5001"/>
    <s v="2025-09-17"/>
    <n v="1"/>
    <s v="MEDELLIN"/>
    <x v="0"/>
    <n v="37313"/>
    <n v="37313"/>
  </r>
  <r>
    <n v="41864"/>
    <s v="BARRIO CANDELARIA BOGOTA 3"/>
    <n v="52771272"/>
    <s v="2834188"/>
    <s v="3263779537"/>
    <s v="3203779537"/>
    <s v="CL 12 5 -44"/>
    <s v="4.598382"/>
    <s v="-74.073392"/>
    <s v="CUNDINAMARCA"/>
    <s v="BOGOTÁ"/>
    <s v="BOGOTÁ"/>
    <n v="11001"/>
    <s v="2025-09-17"/>
    <n v="1"/>
    <s v="BOGOTA"/>
    <x v="2"/>
    <n v="37313"/>
    <n v="37313"/>
  </r>
  <r>
    <n v="45587"/>
    <s v="BARRIO CALLE PRINCIPAL BELLO 2"/>
    <n v="78113693"/>
    <m/>
    <s v="3225988035"/>
    <s v="3225988035"/>
    <s v="AV 42 B 51 111 LOCAL 125,CALLE PRINCIPAL"/>
    <s v="6.3370562"/>
    <s v="-75.5498563"/>
    <s v="ANTIOQUIA"/>
    <s v="BELLO"/>
    <s v="BELLO"/>
    <n v="5088"/>
    <s v="2025-09-17"/>
    <n v="1"/>
    <s v="MEDELLIN"/>
    <x v="0"/>
    <n v="37313"/>
    <n v="37313"/>
  </r>
  <r>
    <n v="41825"/>
    <s v="BARRIO MIRADOR DE LOS PATIOS LOS PATIOS"/>
    <n v="5440734"/>
    <s v="5803193"/>
    <s v="3137025780"/>
    <s v="3203868653"/>
    <s v="AV 6 K 35 63 PARTE ALTA,MIRADOR DE LOS PATIOS"/>
    <s v="7.8166354"/>
    <s v="-72.5157976"/>
    <s v="NORTE DE SANTANDER"/>
    <s v="LOS PATIOS"/>
    <s v="LOS PATIOS"/>
    <n v="54405"/>
    <s v="2025-09-17"/>
    <n v="1"/>
    <s v="CUCUTA"/>
    <x v="4"/>
    <n v="49671.7"/>
    <n v="49671.7"/>
  </r>
  <r>
    <n v="49749"/>
    <s v="BARRIO BENGALA MANIZALES 1"/>
    <n v="10264122"/>
    <s v="0"/>
    <s v="3125847247"/>
    <s v="3125847247"/>
    <s v="CL 48 I 6 107 ,BENGALA"/>
    <s v="5.0773605"/>
    <s v="-75.4905346"/>
    <s v="CALDAS"/>
    <s v="MANIZALES"/>
    <s v="MANIZALES"/>
    <n v="17001"/>
    <s v="2025-09-17"/>
    <n v="1"/>
    <s v="MANIZALES"/>
    <x v="6"/>
    <n v="49671.7"/>
    <n v="49671.7"/>
  </r>
  <r>
    <n v="43154"/>
    <s v="BARRIO CIUDADELA SOL DE ORIENTE TUNJA 1"/>
    <n v="33367338"/>
    <m/>
    <s v="3102064946"/>
    <s v="3102064946"/>
    <s v="CL 3 A 4 C 46,CIUDADELA SOL DE ORIENTE"/>
    <s v="5.518"/>
    <s v="-73.361"/>
    <s v="BOYACÁ"/>
    <s v="TUNJA"/>
    <s v="TUNJA"/>
    <n v="15001"/>
    <s v="2025-09-17"/>
    <n v="1"/>
    <s v="TUNJA"/>
    <x v="4"/>
    <n v="49671.7"/>
    <n v="49671.7"/>
  </r>
  <r>
    <n v="49192"/>
    <s v="BARRIO ITAGUI ITAGUI 9"/>
    <n v="70827880"/>
    <s v="4083276"/>
    <s v="3105420116"/>
    <s v="3105420116"/>
    <s v="CR 69 D 35 10,ITAGUI"/>
    <s v="6.1739011"/>
    <s v="-75.6342625"/>
    <s v="ANTIOQUIA"/>
    <s v="ITAGÜÍ"/>
    <s v="ITAGÜÍ"/>
    <n v="5360"/>
    <s v="2025-09-17"/>
    <n v="2"/>
    <s v="MEDELLIN"/>
    <x v="0"/>
    <n v="37313"/>
    <n v="74626"/>
  </r>
  <r>
    <n v="41933"/>
    <s v="CAFETERIA CENTRO MEDICO LOS EJECUTIVOS "/>
    <n v="9148780"/>
    <s v="356743559"/>
    <s v="3145827974"/>
    <s v="3145827974"/>
    <s v="AV PEDRO DE HERED CL 31 58 38"/>
    <s v="10.3998731"/>
    <s v="-75.4940272"/>
    <s v="BOLÍVAR"/>
    <s v="CARTAGENA DE INDIAS"/>
    <s v="CARTAGENA DE INDIAS"/>
    <n v="13001"/>
    <s v="2025-09-17"/>
    <n v="1"/>
    <s v="CARTAGENA"/>
    <x v="5"/>
    <n v="49671.7"/>
    <n v="49671.7"/>
  </r>
  <r>
    <n v="43432"/>
    <s v="BARRIO CENTRO BUCARAMANGA 24"/>
    <n v="1095918794"/>
    <s v="6702957"/>
    <s v="3222742972"/>
    <s v="3222742972"/>
    <s v="CL 31 18 09 LOCAL 1,CENTRO"/>
    <s v="7.1223832"/>
    <s v="-73.1251114"/>
    <s v="SANTANDER"/>
    <s v="BUCARAMANGA"/>
    <s v="BUCARAMANGA"/>
    <n v="68001"/>
    <s v="2025-09-17"/>
    <n v="1"/>
    <s v="BUCARAMANGA"/>
    <x v="4"/>
    <n v="37313"/>
    <n v="37313"/>
  </r>
  <r>
    <n v="46995"/>
    <s v="BARRIO CIUDADELA SOL DE ORIENTE TUNJA 2"/>
    <n v="40047228"/>
    <s v="3112290845"/>
    <s v="3112290845"/>
    <s v="3112290845"/>
    <s v="CR 5 A 4 08,CIUDADELA SOL DE ORIENTE"/>
    <s v="5.515"/>
    <s v="-73.364"/>
    <s v="BOYACÁ"/>
    <s v="TUNJA"/>
    <s v="TUNJA"/>
    <n v="15001"/>
    <s v="2025-09-17"/>
    <n v="1"/>
    <s v="TUNJA"/>
    <x v="4"/>
    <n v="49671.7"/>
    <n v="49671.7"/>
  </r>
  <r>
    <n v="50025"/>
    <s v="BARRIO URB VALLEJO MONTERIA"/>
    <n v="1067856038"/>
    <s v="0"/>
    <s v="3205127298"/>
    <s v="3205127298"/>
    <s v="CR 13 W 15A 39,URB VALLEJO"/>
    <s v="8.7551297"/>
    <s v="-75.90233027"/>
    <s v="CÓRDOBA"/>
    <s v="MONTERÍA"/>
    <s v="MONTERÍA"/>
    <n v="23001"/>
    <s v="2025-09-17"/>
    <n v="1"/>
    <s v="MONTERIA"/>
    <x v="5"/>
    <n v="37313"/>
    <n v="37313"/>
  </r>
  <r>
    <n v="46998"/>
    <s v="BARRIO PANORAMA 1 PEREIRA"/>
    <n v="68245322"/>
    <s v="3129214"/>
    <s v="3002511083"/>
    <s v="3002511083"/>
    <s v="MZ 7 CASA 28 PANORAMA 1CUBA,PANORAMA 1"/>
    <s v="4.8016750"/>
    <s v="-75.7288317"/>
    <s v="RISARALDA"/>
    <s v="PEREIRA"/>
    <s v="PEREIRA"/>
    <n v="66001"/>
    <s v="2025-09-17"/>
    <n v="1"/>
    <s v="PEREIRA"/>
    <x v="6"/>
    <n v="37313"/>
    <n v="37313"/>
  </r>
  <r>
    <n v="43140"/>
    <s v="BARRIO EL PICACHO MEDELLIN"/>
    <n v="901034596"/>
    <s v="4987734"/>
    <s v="3206556924"/>
    <s v="3156912124"/>
    <s v="CL 96 83 97,EL PICACHO"/>
    <s v="6.295671"/>
    <s v="-75.5846297"/>
    <s v="ANTIOQUIA"/>
    <s v="MEDELLÍN"/>
    <s v="MEDELLÍN"/>
    <n v="5001"/>
    <s v="2025-09-17"/>
    <n v="1"/>
    <s v="MEDELLIN"/>
    <x v="0"/>
    <n v="37313"/>
    <n v="37313"/>
  </r>
  <r>
    <n v="50253"/>
    <s v="BARRIO VILLA ORTIZ VILLAVICENCIO 2"/>
    <n v="40333661"/>
    <s v="0"/>
    <s v="3232802711"/>
    <s v="3232802711"/>
    <s v="CL 18 NO 12 C - 03,VILLA ORTIZ"/>
    <s v="4.136815"/>
    <s v="-73.614167"/>
    <s v="META"/>
    <s v="VILLAVICENCIO"/>
    <s v="VILLAVICENCIO"/>
    <n v="50001"/>
    <s v="2025-09-17"/>
    <n v="1"/>
    <s v="VILLAVICENCIO"/>
    <x v="1"/>
    <n v="49671.7"/>
    <n v="49671.7"/>
  </r>
  <r>
    <n v="51191"/>
    <s v="BARRIO DON BOSCO BUCARAMANGA"/>
    <n v="37557998"/>
    <s v="6307451"/>
    <s v="3172398721"/>
    <s v="3172398721"/>
    <s v="CL 31 14 W 163,DON BOSCO"/>
    <s v="7.1117657"/>
    <s v="-73.1372684"/>
    <s v="SANTANDER"/>
    <s v="BUCARAMANGA"/>
    <s v="BUCARAMANGA"/>
    <n v="68001"/>
    <s v="2025-09-17"/>
    <n v="1"/>
    <s v="BUCARAMANGA"/>
    <x v="4"/>
    <n v="37313"/>
    <n v="37313"/>
  </r>
  <r>
    <n v="51236"/>
    <s v="BARRIO FREDONIA CARTAGENA DE INDIAS 1"/>
    <n v="1050952480"/>
    <s v="0"/>
    <s v="3205109656"/>
    <s v="3205109656"/>
    <s v="CL 43 N° 79 05,FREDONIA"/>
    <s v="10.4098103"/>
    <s v="-75.4730692"/>
    <s v="BOLÍVAR"/>
    <s v="CARTAGENA DE INDIAS"/>
    <s v="CARTAGENA DE INDIAS"/>
    <n v="13001"/>
    <s v="2025-09-17"/>
    <n v="1"/>
    <s v="CARTAGENA"/>
    <x v="5"/>
    <n v="49671.7"/>
    <n v="49671.7"/>
  </r>
  <r>
    <n v="49793"/>
    <s v="BARRIO CHORRERAS DE DON JUAN BUCARAMANGA 1"/>
    <n v="91509554"/>
    <s v="3013112007"/>
    <s v="3013112007"/>
    <s v="3013112007"/>
    <s v="CL 47 14 A 58 PUESTO 422 PLAZA DE MERCADO ASOVEN,CHORRERAS DE DON JUAN"/>
    <s v="7.1128249"/>
    <s v="-73.1422385"/>
    <s v="SANTANDER"/>
    <s v="BUCARAMANGA"/>
    <s v="BUCARAMANGA"/>
    <n v="68001"/>
    <s v="2025-09-17"/>
    <n v="1"/>
    <s v="BUCARAMANGA"/>
    <x v="4"/>
    <n v="37313"/>
    <n v="37313"/>
  </r>
  <r>
    <n v="51614"/>
    <s v="BARRIO CENTRO BUCARAMANGA 37"/>
    <n v="1098654589"/>
    <s v="6524275"/>
    <s v="3167158249"/>
    <s v="3167158249"/>
    <s v="CL 35 12 30,CENTRO"/>
    <s v="7.1178510"/>
    <s v="-73.1286960"/>
    <s v="SANTANDER"/>
    <s v="BUCARAMANGA"/>
    <s v="BUCARAMANGA"/>
    <n v="68001"/>
    <s v="2025-09-17"/>
    <n v="1"/>
    <s v="BUCARAMANGA"/>
    <x v="4"/>
    <n v="37313"/>
    <n v="37313"/>
  </r>
  <r>
    <n v="48395"/>
    <s v="BARRIO URB SANTA MARIA DEL ROSARIO VILLA DEL ROSARIO"/>
    <n v="63366510"/>
    <s v="3115785673"/>
    <s v="3115785673"/>
    <s v="3115785673"/>
    <s v="CL 7 NRO 12-119 CS R1 VIA ANTIGUA LA PARADA,URB SANTA MARIA DEL ROSARIO"/>
    <s v="7.819153"/>
    <s v="-72.459420"/>
    <s v="NORTE DE SANTANDER"/>
    <s v="VILLA DEL ROSARIO"/>
    <s v="VILLA DEL ROSARIO"/>
    <n v="54874"/>
    <s v="2025-09-17"/>
    <n v="1"/>
    <s v="CUCUTA"/>
    <x v="4"/>
    <n v="49671.7"/>
    <n v="49671.7"/>
  </r>
  <r>
    <n v="52459"/>
    <s v="BARRIO VEREDA BAJO PEDREGAL RIVERA"/>
    <n v="40770376"/>
    <s v="3178941082"/>
    <s v="3178941082"/>
    <s v="3178941082"/>
    <s v=" KM 12.5 NEIVA-CAMPOALEGRE"/>
    <s v="2.7817425"/>
    <s v="-75.3031482"/>
    <s v="HUILA"/>
    <s v="RIVERA"/>
    <s v="RIVERA"/>
    <n v="41615"/>
    <s v="2025-09-17"/>
    <n v="1"/>
    <s v="NEIVA"/>
    <x v="1"/>
    <n v="49671.7"/>
    <n v="49671.7"/>
  </r>
  <r>
    <n v="51726"/>
    <s v="BARRIO URB LA CAMPIÑA LOS PATIOS"/>
    <n v="1090394082"/>
    <s v="5804754"/>
    <s v="3003750768"/>
    <s v="3003750768"/>
    <s v="MZ 0 LOTE 8 9 APTO 1,URB LA CAMPIÑA"/>
    <s v="7.8172360"/>
    <s v="-72.5159709"/>
    <s v="NORTE DE SANTANDER"/>
    <s v="LOS PATIOS"/>
    <s v="LOS PATIOS"/>
    <n v="54405"/>
    <s v="2025-09-17"/>
    <n v="1"/>
    <s v="CUCUTA"/>
    <x v="4"/>
    <n v="49671.7"/>
    <n v="49671.7"/>
  </r>
  <r>
    <n v="53970"/>
    <s v="  BARRIO SANTA FE MONTERIA    1"/>
    <n v="1067945711"/>
    <s v="3145288349"/>
    <s v="3246869245"/>
    <s v="3246869245"/>
    <s v="CL 2 2A 2 LC 2,BRR SANTA FE"/>
    <s v="8.743978"/>
    <s v="-75.90102"/>
    <s v="CÓRDOBA"/>
    <s v="MONTERÍA"/>
    <s v="MONTERÍA"/>
    <n v="23001"/>
    <s v="2025-09-17"/>
    <n v="1"/>
    <s v="MONTERIA"/>
    <x v="5"/>
    <n v="37313"/>
    <n v="37313"/>
  </r>
  <r>
    <n v="55051"/>
    <s v="BARRIO CENTRO YOPAL 2"/>
    <n v="33481748"/>
    <s v="0"/>
    <s v="3186904260"/>
    <s v="3186904260"/>
    <s v="CR 16 A 35 A - 40"/>
    <s v="5.19247044"/>
    <s v="-72.233983"/>
    <s v="CASANARE"/>
    <s v="YOPAL"/>
    <s v="YOPAL"/>
    <n v="85001"/>
    <s v="2025-09-17"/>
    <n v="1"/>
    <s v="YOPAL"/>
    <x v="1"/>
    <n v="49671.7"/>
    <n v="49671.7"/>
  </r>
  <r>
    <n v="55182"/>
    <s v="BARRIO VILLA ANTIGUA VILLA DEL ROSARIO 1"/>
    <n v="37292341"/>
    <s v="3006044585"/>
    <s v="3006044585"/>
    <s v="3006044585"/>
    <s v="CL 10 NRO 1-12,VILLA ANTIGUA"/>
    <s v="7.82868608"/>
    <s v="-72.46327485"/>
    <s v="NORTE DE SANTANDER"/>
    <s v="VILLA DEL ROSARIO"/>
    <s v="VILLA DEL ROSARIO"/>
    <n v="54874"/>
    <s v="2025-09-17"/>
    <n v="1"/>
    <s v="CUCUTA"/>
    <x v="4"/>
    <n v="49671.7"/>
    <n v="49671.7"/>
  </r>
  <r>
    <n v="57282"/>
    <s v="BARRIO URB MIRADORES DEL PAMPLONITA LOS PATIOS"/>
    <n v="60264035"/>
    <s v="0"/>
    <s v="3134559048"/>
    <s v="3134559048"/>
    <s v="AV 12A 5-35,URB MIRADORES DEL PAMPLONITA"/>
    <s v="7.8202919"/>
    <s v="-72.5171286"/>
    <s v="NORTE DE SANTANDER"/>
    <s v="LOS PATIOS"/>
    <s v="LOS PATIOS"/>
    <n v="54405"/>
    <s v="2025-09-17"/>
    <n v="1"/>
    <s v="CUCUTA"/>
    <x v="4"/>
    <n v="49671.7"/>
    <n v="49671.7"/>
  </r>
  <r>
    <n v="57543"/>
    <s v="BARRIO NUEVA FLORESTA VILLAVICENCIO 2"/>
    <n v="17348976"/>
    <s v="3143042034"/>
    <s v="3143042034"/>
    <s v="3143042034"/>
    <s v="CL 12 A NRO. 18 - 58,BRR NUEVA FLORESTA"/>
    <s v="4.133848"/>
    <s v="-73.620100"/>
    <s v="META"/>
    <s v="VILLAVICENCIO"/>
    <s v="VILLAVICENCIO"/>
    <n v="50001"/>
    <s v="2025-09-17"/>
    <n v="1"/>
    <s v="VILLAVICENCIO"/>
    <x v="1"/>
    <n v="49671.7"/>
    <n v="49671.7"/>
  </r>
  <r>
    <n v="58424"/>
    <s v="BARRIO URB LA FLORESTA LOS PATIOS 2"/>
    <n v="1090428422"/>
    <s v="0"/>
    <s v="0"/>
    <s v="3204255304"/>
    <s v="CL 43 0A 25 LC 1 CONJ CERRADO TRAMONTI VARIANTE LA FLORESTA,URB LA FLORESTA"/>
    <s v="7.861602"/>
    <s v="-72.5002447"/>
    <s v="NORTE DE SANTANDER"/>
    <s v="LOS PATIOS"/>
    <s v="LOS PATIOS"/>
    <n v="54405"/>
    <s v="2025-09-17"/>
    <n v="1"/>
    <s v="CUCUTA"/>
    <x v="4"/>
    <n v="49671.7"/>
    <n v="49671.7"/>
  </r>
  <r>
    <n v="58652"/>
    <s v="BARRIO LOS MUISCAS TUNJA 4"/>
    <n v="40033309"/>
    <s v="3125226827"/>
    <s v="3125226827"/>
    <s v="3125226827"/>
    <s v="TV 3 65 A 52 LC 2 BRR LOS MUISCAS"/>
    <s v="5.5703228"/>
    <s v="-73.3411989"/>
    <s v="BOYACÁ"/>
    <s v="TUNJA"/>
    <s v="TUNJA"/>
    <n v="15001"/>
    <s v="2025-09-17"/>
    <n v="1"/>
    <s v="TUNJA"/>
    <x v="4"/>
    <n v="49671.7"/>
    <n v="49671.7"/>
  </r>
  <r>
    <n v="58961"/>
    <s v="BARRIO CAMPIÑA YOPAL 1"/>
    <n v="1118549327"/>
    <s v="0"/>
    <s v="0"/>
    <s v="3208530178"/>
    <s v="CR 9 23 - 72,CAMPIÑA"/>
    <s v="5.3328194"/>
    <s v="-72.4047875"/>
    <s v="CASANARE"/>
    <s v="YOPAL"/>
    <s v="YOPAL"/>
    <n v="85001"/>
    <s v="2025-09-17"/>
    <n v="1"/>
    <s v="YOPAL"/>
    <x v="1"/>
    <n v="49671.7"/>
    <n v="49671.7"/>
  </r>
  <r>
    <n v="59069"/>
    <s v="BARRIO CENTRO BOGOTA 35"/>
    <n v="900385993"/>
    <s v="6012862829"/>
    <s v="3115897467"/>
    <s v="3115897467"/>
    <s v="CL 12 B 7 - 18 P 2"/>
    <s v="4.6002804"/>
    <s v="-74.0745266"/>
    <s v="CUNDINAMARCA"/>
    <s v="BOGOTÁ"/>
    <s v="BOGOTÁ"/>
    <n v="11001"/>
    <s v="2025-09-17"/>
    <n v="1"/>
    <s v="BOGOTA"/>
    <x v="2"/>
    <n v="37313"/>
    <n v="37313"/>
  </r>
  <r>
    <n v="59383"/>
    <s v="BARRIO CENTRO BUCARAMANGA 45"/>
    <n v="63484573"/>
    <s v="3168973989"/>
    <s v="3102916269"/>
    <s v="3184296141"/>
    <s v="CR 24 18 17,CENTRO"/>
    <s v="7.1306822"/>
    <s v="-73.1222803"/>
    <s v="SANTANDER"/>
    <s v="BUCARAMANGA"/>
    <s v="BUCARAMANGA"/>
    <n v="68001"/>
    <s v="2025-09-17"/>
    <n v="1"/>
    <s v="BUCARAMANGA"/>
    <x v="4"/>
    <n v="37313"/>
    <n v="37313"/>
  </r>
  <r>
    <n v="55322"/>
    <s v="BARRIO LOS NARANJOS ITAGUI 1"/>
    <n v="70721501"/>
    <s v="5986040"/>
    <s v="3127169253"/>
    <s v="3122746677"/>
    <s v="CL 53 NO 47-76,LOS NARANJOS"/>
    <s v="6.171470"/>
    <s v="-75.606401"/>
    <s v="ANTIOQUIA"/>
    <s v="ITAGÜÍ"/>
    <s v="ITAGÜÍ"/>
    <n v="5360"/>
    <s v="2025-09-17"/>
    <n v="1"/>
    <s v="MEDELLIN"/>
    <x v="0"/>
    <n v="37313"/>
    <n v="37313"/>
  </r>
  <r>
    <n v="59346"/>
    <s v="BARRIO LA CHINITA BARRANQUILLA"/>
    <n v="8784869"/>
    <s v="3004736508"/>
    <s v="3106851355"/>
    <s v="3106851355"/>
    <s v="CL 7 14 16,LA CHINITA"/>
    <s v="10.9571269"/>
    <s v="-74.7692569"/>
    <s v="ATLÁNTICO"/>
    <s v="BARRANQUILLA"/>
    <s v="BARRANQUILLA"/>
    <n v="8001"/>
    <s v="2025-09-17"/>
    <n v="1"/>
    <s v="BARRANQUILLA"/>
    <x v="5"/>
    <n v="37313"/>
    <n v="37313"/>
  </r>
  <r>
    <n v="55895"/>
    <s v="BARRIO RINCON BOGOTA 1"/>
    <n v="1127341880"/>
    <s v="3017631927"/>
    <s v="3017631927"/>
    <s v="3017631927"/>
    <s v="CL 129 C 96 14"/>
    <s v="4.7282289"/>
    <s v="-74.0950073"/>
    <s v="CUNDINAMARCA"/>
    <s v="BOGOTÁ"/>
    <s v="BOGOTÁ"/>
    <n v="11001"/>
    <s v="2025-09-17"/>
    <n v="2"/>
    <s v="BOGOTA"/>
    <x v="2"/>
    <n v="37313"/>
    <n v="74626"/>
  </r>
  <r>
    <n v="55883"/>
    <s v="BARRIO GUADUALES ARMENIA"/>
    <n v="1094934233"/>
    <s v="3148113712"/>
    <s v="3226016345"/>
    <s v="3226016345"/>
    <s v="BRR GUADUALES DE LA VILLA MZ 3 25,GUADUALES"/>
    <s v="4.5142729"/>
    <s v="-75.7030291"/>
    <s v="QUINDÍO"/>
    <s v="ARMENIA"/>
    <s v="ARMENIA"/>
    <n v="63001"/>
    <s v="2025-09-17"/>
    <n v="1"/>
    <s v="PEREIRA"/>
    <x v="6"/>
    <n v="37313"/>
    <n v="37313"/>
  </r>
  <r>
    <n v="60354"/>
    <s v="BARRIO VEINTE DE JULIO VILLA DEL ROSARIO"/>
    <n v="1090395046"/>
    <s v="0"/>
    <s v="3144072344"/>
    <s v="3045441937"/>
    <s v="CL 16 11-10 LC 2 BR VEINTE DE JULIO"/>
    <s v="7.8506040"/>
    <s v="-72.4731066"/>
    <s v="NORTE DE SANTANDER"/>
    <s v="VILLA DEL ROSARIO"/>
    <s v="VILLA DEL ROSARIO"/>
    <n v="54874"/>
    <s v="2025-09-17"/>
    <n v="1"/>
    <s v="CUCUTA"/>
    <x v="4"/>
    <n v="49671.7"/>
    <n v="49671.7"/>
  </r>
  <r>
    <n v="60548"/>
    <s v="BARRIO CENTRO DUITAMA 19"/>
    <n v="1052407715"/>
    <s v="3107974557"/>
    <s v="3106431493"/>
    <s v="3124827236"/>
    <s v="CR 18 NO.16-32 LOCAL 102,CENTRO"/>
    <s v="5.826332"/>
    <s v="-73.032150"/>
    <s v="BOYACÁ"/>
    <s v="DUITAMA"/>
    <s v="DUITAMA"/>
    <n v="15238"/>
    <s v="2025-09-17"/>
    <n v="1"/>
    <s v="TUNJA"/>
    <x v="4"/>
    <n v="49671.7"/>
    <n v="49671.7"/>
  </r>
  <r>
    <n v="61424"/>
    <s v="BARRIO SANTA MONICA POPAYAN"/>
    <n v="1061787402"/>
    <s v="0"/>
    <s v="3104123675"/>
    <s v="3108105934"/>
    <s v="CR 2B NRO 18 - 16 BRR SANTA MONICA,SANTA MONICA"/>
    <s v="2.4316648"/>
    <s v="-76.6060507"/>
    <s v="CAUCA"/>
    <s v="POPAYÁN"/>
    <s v="POPAYÁN"/>
    <n v="19001"/>
    <s v="2025-09-17"/>
    <n v="1"/>
    <s v="CALI"/>
    <x v="3"/>
    <n v="37313"/>
    <n v="37313"/>
  </r>
  <r>
    <n v="60810"/>
    <s v="BARRIO CENTRO FLORENCIA 17"/>
    <n v="1095929194"/>
    <s v="3138884302"/>
    <s v="3138884302"/>
    <s v="3138884302"/>
    <s v="CR 13 N 17-63 BR CENTRO"/>
    <s v="1.6173296"/>
    <s v="-75.6153496"/>
    <s v="CAQUETÁ"/>
    <s v="FLORENCIA"/>
    <s v="FLORENCIA"/>
    <n v="18001"/>
    <s v="2025-09-17"/>
    <n v="1"/>
    <s v="NEIVA"/>
    <x v="1"/>
    <n v="49671.7"/>
    <n v="49671.7"/>
  </r>
  <r>
    <n v="58862"/>
    <s v="BARRIO SAN FRANCISCO FLORENCIA"/>
    <n v="1117503321"/>
    <s v="3155951780"/>
    <s v="3203279797"/>
    <s v="3203279797"/>
    <s v="CR 13 CALL 12 SAN FRANCISCO"/>
    <s v="1.612360"/>
    <s v="-75.613703"/>
    <s v="CAQUETÁ"/>
    <s v="FLORENCIA"/>
    <s v="FLORENCIA"/>
    <n v="18001"/>
    <s v="2025-09-17"/>
    <n v="1"/>
    <s v="NEIVA"/>
    <x v="1"/>
    <n v="49671.7"/>
    <n v="49671.7"/>
  </r>
  <r>
    <n v="61820"/>
    <s v="BARRIO CENTRO FLORENCIA 21"/>
    <n v="1117495124"/>
    <s v="3115832530"/>
    <s v="3115832530"/>
    <s v="3115832530"/>
    <s v="CL 15 15 21 CENTRO"/>
    <s v="1.614425"/>
    <s v="-75.616592"/>
    <s v="CAQUETÁ"/>
    <s v="FLORENCIA"/>
    <s v="FLORENCIA"/>
    <n v="18001"/>
    <s v="2025-09-17"/>
    <n v="1"/>
    <s v="NEIVA"/>
    <x v="1"/>
    <n v="49671.7"/>
    <n v="49671.7"/>
  </r>
  <r>
    <n v="59897"/>
    <s v="BARRIO AMERICAS BOGOTA 7"/>
    <n v="80266954"/>
    <s v="3223795251"/>
    <s v="3223795221"/>
    <s v="3173011408"/>
    <s v="CR 70 B # 3-27"/>
    <s v="4.6255126"/>
    <s v="-74.1323087"/>
    <s v="CUNDINAMARCA"/>
    <s v="BOGOTÁ"/>
    <s v="BOGOTÁ"/>
    <n v="11001"/>
    <s v="2025-09-17"/>
    <n v="1"/>
    <s v="BOGOTA"/>
    <x v="2"/>
    <n v="37313"/>
    <n v="37313"/>
  </r>
  <r>
    <n v="38764"/>
    <s v="BARRIO CENTRO TUNJA 6"/>
    <n v="7168992"/>
    <s v="3202135853"/>
    <s v="3202135853"/>
    <s v="3005644601"/>
    <s v=" CL 21 A 10 31 CENTRO"/>
    <s v="5.5347825"/>
    <s v="-73.36175"/>
    <s v="BOYACÁ"/>
    <s v="TUNJA"/>
    <s v="TUNJA"/>
    <n v="15001"/>
    <s v="2025-09-17"/>
    <n v="1"/>
    <s v="TUNJA"/>
    <x v="4"/>
    <n v="49671.7"/>
    <n v="49671.7"/>
  </r>
  <r>
    <n v="37517"/>
    <s v="BARRIO AEROCIVIL YOPAL 1"/>
    <n v="47427032"/>
    <s v="6330320"/>
    <s v="3108689863"/>
    <s v="3108689863"/>
    <s v=" AE ALC RVAN LC 4 MODULO 1 AEOCIVIL"/>
    <s v="5.31576611"/>
    <s v="-72.39447"/>
    <s v="CASANARE"/>
    <s v="YOPAL"/>
    <s v="YOPAL"/>
    <n v="85001"/>
    <s v="2025-09-17"/>
    <n v="1"/>
    <s v="YOPAL"/>
    <x v="1"/>
    <n v="49671.7"/>
    <n v="49671.7"/>
  </r>
  <r>
    <n v="40166"/>
    <s v="BARRIO EL CAUCA SINCELEJO"/>
    <n v="64581899"/>
    <s v="2800622"/>
    <s v="3007590200"/>
    <s v="3007590200"/>
    <s v="CL 25 20 78,EL CAUCA"/>
    <s v="9.3001508"/>
    <s v="-75.3927900"/>
    <s v="SUCRE"/>
    <s v="SINCELEJO"/>
    <s v="SINCELEJO"/>
    <n v="70001"/>
    <s v="2025-09-17"/>
    <n v="1"/>
    <s v="SINCELEJO"/>
    <x v="5"/>
    <n v="49671.7"/>
    <n v="49671.7"/>
  </r>
  <r>
    <n v="41496"/>
    <s v="BARRIO CENTRO DUITAMA 10"/>
    <n v="24049661"/>
    <s v="7610770"/>
    <s v="3124300457"/>
    <s v="3124300457"/>
    <s v="CL 17 17-58,CENTRO"/>
    <s v="5.8267376"/>
    <s v="-73.0319814"/>
    <s v="BOYACÁ"/>
    <s v="DUITAMA"/>
    <s v="DUITAMA"/>
    <n v="15238"/>
    <s v="2025-09-17"/>
    <n v="1"/>
    <s v="TUNJA"/>
    <x v="4"/>
    <n v="49671.7"/>
    <n v="49671.7"/>
  </r>
  <r>
    <n v="43976"/>
    <s v="BARRIO CURUBAL TUNJA"/>
    <n v="7225779"/>
    <s v="3103491687"/>
    <s v="3133304776"/>
    <s v="3133304776"/>
    <s v="CL 18 1 A 07 ESTE,CURUBAL"/>
    <s v="5.529"/>
    <s v="-73.350"/>
    <s v="BOYACÁ"/>
    <s v="TUNJA"/>
    <s v="TUNJA"/>
    <n v="15001"/>
    <s v="2025-09-17"/>
    <n v="1"/>
    <s v="TUNJA"/>
    <x v="4"/>
    <n v="49671.7"/>
    <n v="49671.7"/>
  </r>
  <r>
    <n v="61379"/>
    <s v="BARRIO DELICIAS ALTAS BUCARAMANGA 1"/>
    <n v="1098736047"/>
    <s v="3176496802"/>
    <s v="3176496802"/>
    <s v="3176496802"/>
    <s v="CR 16 104 B 02 BRR DELICIAS ALTAS,DELICIAS ALTAS"/>
    <s v="7.0840888"/>
    <s v="-73.1242768"/>
    <s v="SANTANDER"/>
    <s v="BUCARAMANGA"/>
    <s v="BUCARAMANGA"/>
    <n v="68001"/>
    <s v="2025-09-17"/>
    <n v="1"/>
    <s v="BUCARAMANGA"/>
    <x v="4"/>
    <n v="37313"/>
    <n v="37313"/>
  </r>
  <r>
    <n v="61504"/>
    <s v="BARRIO CENTRO DUITAMA 21"/>
    <n v="1055272759"/>
    <s v="3158890775"/>
    <s v="3158890775"/>
    <s v="3183992248"/>
    <s v="CL5  36B - 140 UNIDAD 22 LC11"/>
    <s v="5.8074219"/>
    <s v="-73.0323731"/>
    <s v="BOYACÁ"/>
    <s v="DUITAMA"/>
    <s v="DUITAMA"/>
    <n v="15238"/>
    <s v="2025-09-17"/>
    <n v="1"/>
    <s v="TUNJA"/>
    <x v="4"/>
    <n v="49671.7"/>
    <n v="49671.7"/>
  </r>
  <r>
    <n v="51190"/>
    <s v="BARRIO CIUDAD BOLIVAR BUCARAMANGA"/>
    <n v="1098744783"/>
    <s v="6441553"/>
    <s v="3166042352"/>
    <s v="3162401168"/>
    <s v="CL 64 BLOQUE 6 LOCAL 101,CIUDAD BOLIVAR"/>
    <s v="7.0990417"/>
    <s v="-73.1249892"/>
    <s v="SANTANDER"/>
    <s v="BUCARAMANGA"/>
    <s v="BUCARAMANGA"/>
    <n v="68001"/>
    <s v="2025-09-17"/>
    <n v="1"/>
    <s v="BUCARAMANGA"/>
    <x v="4"/>
    <n v="37313"/>
    <n v="37313"/>
  </r>
  <r>
    <n v="68452"/>
    <s v="12 DE OCTUBRE MEDELLIN 1"/>
    <n v="1036664403"/>
    <s v="0"/>
    <s v="3203909244"/>
    <s v="3203909244"/>
    <s v="CALLE 101 B # 76 - 62,12 DE OCTUBRE"/>
    <s v="6.3005422"/>
    <s v="-75.5771632"/>
    <s v="ANTIOQUIA"/>
    <s v="MEDELLÍN"/>
    <s v="MEDELLÍN"/>
    <n v="5001"/>
    <s v="2025-09-17"/>
    <n v="1"/>
    <s v="MEDELLIN"/>
    <x v="0"/>
    <n v="37313"/>
    <n v="37313"/>
  </r>
  <r>
    <n v="48869"/>
    <s v="BARRIO GRANJAS RIGA BUCARAMANGA"/>
    <n v="91532387"/>
    <s v="3173786046"/>
    <s v="3173786046"/>
    <s v="3183020842"/>
    <s v="CL 109 15 67 CASA 1 LOCAL 201 PEATONAL 1 A,GRANJAS RIGA"/>
    <s v="7.0775914"/>
    <s v="-73.1238445"/>
    <s v="SANTANDER"/>
    <s v="BUCARAMANGA"/>
    <s v="BUCARAMANGA"/>
    <n v="68001"/>
    <s v="2025-09-17"/>
    <n v="1"/>
    <s v="BUCARAMANGA"/>
    <x v="4"/>
    <n v="37313"/>
    <n v="37313"/>
  </r>
  <r>
    <n v="49952"/>
    <s v="BARRIO LOS MUISCAS TUNJA 3"/>
    <n v="46453244"/>
    <s v="3203036983"/>
    <s v="3203036983"/>
    <s v="3203036983"/>
    <s v="DG 66 B 3 06,LOS MUISCAS"/>
    <s v="5.57089386"/>
    <s v="-73.340927259"/>
    <s v="BOYACÁ"/>
    <s v="TUNJA"/>
    <s v="TUNJA"/>
    <n v="15001"/>
    <s v="2025-09-17"/>
    <n v="1"/>
    <s v="TUNJA"/>
    <x v="4"/>
    <n v="49671.7"/>
    <n v="49671.7"/>
  </r>
  <r>
    <n v="65736"/>
    <s v="BARRIO SAN GABRIEL ITAGUI 4"/>
    <n v="43828164"/>
    <s v="0"/>
    <s v="3122256648"/>
    <s v="3122256648"/>
    <s v="CL 35 B NO 69 B 68,SAN GABRIEL"/>
    <s v="6.1736166"/>
    <s v="-75.6336824"/>
    <s v="ANTIOQUIA"/>
    <s v="ITAGÜÍ"/>
    <s v="ITAGÜÍ"/>
    <n v="5360"/>
    <s v="2025-09-17"/>
    <n v="1"/>
    <s v="MEDELLIN"/>
    <x v="0"/>
    <n v="37313"/>
    <n v="37313"/>
  </r>
  <r>
    <n v="68654"/>
    <s v="BARRIO TOSCANA MEDELLIN  2"/>
    <n v="43921114"/>
    <s v="0"/>
    <s v="3014336682"/>
    <s v="3014336682"/>
    <s v="CALLE 111 E 64 A 33,TOSCANA"/>
    <s v="6.3047213"/>
    <s v="-75.5596700"/>
    <s v="ANTIOQUIA"/>
    <s v="MEDELLÍN"/>
    <s v="MEDELLÍN"/>
    <n v="5001"/>
    <s v="2025-09-17"/>
    <n v="1"/>
    <s v="MEDELLIN"/>
    <x v="0"/>
    <n v="37313"/>
    <n v="37313"/>
  </r>
  <r>
    <n v="68718"/>
    <s v="BARRIO PARQUE ITAGUI 8"/>
    <n v="1036665733"/>
    <s v="0"/>
    <s v="3012673648"/>
    <s v="3012673648"/>
    <s v="CL 50 46 06,PARQUE"/>
    <s v="6.1691528"/>
    <s v="-75.6083905"/>
    <s v="ANTIOQUIA"/>
    <s v="ITAGÜÍ"/>
    <s v="ITAGÜÍ"/>
    <n v="5360"/>
    <s v="2025-09-17"/>
    <n v="1"/>
    <s v="MEDELLIN"/>
    <x v="0"/>
    <n v="37313"/>
    <n v="37313"/>
  </r>
  <r>
    <n v="70173"/>
    <s v="BARRIO VEREDA BARCELONA VILLAVICENCIO 3"/>
    <n v="40393984"/>
    <s v="3228985384"/>
    <s v="3118483023"/>
    <s v="3214032978"/>
    <s v="CL 8 NO 1 A - 162 VEREDA BARCELONA LOCAL 4 - ZONA RURAL ,VEREDA BARCELONA"/>
    <s v="4.0729611"/>
    <s v="-73.5881018"/>
    <s v="META"/>
    <s v="VILLAVICENCIO"/>
    <s v="VILLAVICENCIO"/>
    <n v="50001"/>
    <s v="2025-09-17"/>
    <n v="1"/>
    <s v="VILLAVICENCIO"/>
    <x v="1"/>
    <n v="49671.7"/>
    <n v="49671.7"/>
  </r>
  <r>
    <n v="68659"/>
    <s v="BARRIO BELLO BELLO 11"/>
    <n v="43919557"/>
    <s v="3046577643"/>
    <s v="0"/>
    <s v="3244205139"/>
    <s v="DIAGONAL 51 42 120,BELLO"/>
    <s v="6.3367403"/>
    <s v="-75.5489284"/>
    <s v="ANTIOQUIA"/>
    <s v="BELLO"/>
    <s v="BELLO"/>
    <n v="5088"/>
    <s v="2025-09-17"/>
    <n v="1"/>
    <s v="MEDELLIN"/>
    <x v="0"/>
    <n v="37313"/>
    <n v="37313"/>
  </r>
  <r>
    <n v="68751"/>
    <s v="BARRIO ANDA LUCIA BOGOTA"/>
    <n v="1016008943"/>
    <s v="0"/>
    <s v="3107254006"/>
    <s v="3107254006"/>
    <s v="CLL 13 A NO 80 D - 31,ANDA LUCIA"/>
    <s v="4.6524217"/>
    <s v="-74.1381133"/>
    <s v="CUNDINAMARCA"/>
    <s v="BOGOTÁ"/>
    <s v="BOGOTÁ"/>
    <n v="11001"/>
    <s v="2025-09-17"/>
    <n v="1"/>
    <s v="BOGOTA"/>
    <x v="2"/>
    <n v="37313"/>
    <n v="37313"/>
  </r>
  <r>
    <n v="68331"/>
    <s v="JUAN 23 3"/>
    <n v="1000194278"/>
    <s v="0"/>
    <s v="3001329488"/>
    <s v="3137894583"/>
    <s v="CL 48 D D # 99 C - 12,JUAN 23"/>
    <s v="6.2634404"/>
    <s v="-75.6140341"/>
    <s v="ANTIOQUIA"/>
    <s v="MEDELLÍN"/>
    <s v="MEDELLÍN"/>
    <n v="5001"/>
    <s v="2025-09-17"/>
    <n v="1"/>
    <s v="MEDELLIN"/>
    <x v="0"/>
    <n v="37313"/>
    <n v="37313"/>
  </r>
  <r>
    <n v="68706"/>
    <s v="SANTA MONICA 4"/>
    <n v="1039420776"/>
    <s v="6065274"/>
    <s v="3225401037"/>
    <s v="3225401037"/>
    <s v="CALLE 35 B 92 42,SANTA MONICA"/>
    <s v="6.2483524"/>
    <s v="-75.6150802"/>
    <s v="ANTIOQUIA"/>
    <s v="MEDELLÍN"/>
    <s v="MEDELLÍN"/>
    <n v="5001"/>
    <s v="2025-09-17"/>
    <n v="1"/>
    <s v="MEDELLIN"/>
    <x v="0"/>
    <n v="37313"/>
    <n v="37313"/>
  </r>
  <r>
    <n v="69375"/>
    <s v="BARRIO SOLFERINO MANIZALES"/>
    <n v="30308048"/>
    <s v="3193337899"/>
    <s v="3103913404"/>
    <s v="3103913404"/>
    <s v="CR 6 51 02 SOLFERINO,SOLFERINO"/>
    <s v="5.0772508"/>
    <s v="-75.4877867"/>
    <s v="CALDAS"/>
    <s v="MANIZALES"/>
    <s v="MANIZALES"/>
    <n v="17001"/>
    <s v="2025-09-17"/>
    <n v="1"/>
    <s v="MANIZALES"/>
    <x v="6"/>
    <n v="49671.7"/>
    <n v="49671.7"/>
  </r>
  <r>
    <n v="46488"/>
    <s v="BARRIO RINCON BOGOTA"/>
    <n v="52989295"/>
    <s v="3123049799"/>
    <s v="3123049799"/>
    <s v="3123049799"/>
    <s v="CR 93 # 130B - 23,RINCON"/>
    <s v="4.7279877"/>
    <s v="-74.0898194"/>
    <s v="CUNDINAMARCA"/>
    <s v="BOGOTÁ"/>
    <s v="BOGOTÁ"/>
    <n v="11001"/>
    <s v="2025-09-17"/>
    <n v="1"/>
    <s v="BOGOTA"/>
    <x v="2"/>
    <n v="37313"/>
    <n v="37313"/>
  </r>
  <r>
    <n v="49770"/>
    <s v="BARRIO REPUBLICA DE PANAMA MONTERIA"/>
    <n v="1065624007"/>
    <s v="0"/>
    <s v="3225970967"/>
    <s v="3234865793"/>
    <s v="MZ 28 LT26,REPUBLICA DE PANAMA"/>
    <s v="8.7529610"/>
    <s v="-75.8982745"/>
    <s v="CÓRDOBA"/>
    <s v="MONTERÍA"/>
    <s v="MONTERÍA"/>
    <n v="23001"/>
    <s v="2025-09-17"/>
    <n v="1"/>
    <s v="MONTERIA"/>
    <x v="5"/>
    <n v="37313"/>
    <n v="37313"/>
  </r>
  <r>
    <n v="65649"/>
    <s v="BARRIO EL OASIS YOPAL"/>
    <n v="9431685"/>
    <s v="0"/>
    <s v="3123573599"/>
    <s v="3112243821"/>
    <s v="CL 35 25A 92,EL OASIS"/>
    <s v="5.3302630"/>
    <s v="-72.3830929"/>
    <s v="CASANARE"/>
    <s v="YOPAL"/>
    <s v="YOPAL"/>
    <n v="85001"/>
    <s v="2025-09-17"/>
    <n v="3"/>
    <s v="YOPAL"/>
    <x v="1"/>
    <n v="49671.7"/>
    <n v="149015.09999999998"/>
  </r>
  <r>
    <n v="66460"/>
    <s v="BARRIO MODELO SUR BOGOTA"/>
    <n v="1013631946"/>
    <s v="0"/>
    <s v="3194215101"/>
    <s v="3194215101"/>
    <s v="CL 4 SUR8 B 28,MODELO SUR"/>
    <s v="4.584848"/>
    <s v="-74.086894"/>
    <s v="CUNDINAMARCA"/>
    <s v="BOGOTÁ"/>
    <s v="BOGOTÁ"/>
    <n v="11001"/>
    <s v="2025-09-17"/>
    <n v="1"/>
    <s v="BOGOTA"/>
    <x v="2"/>
    <n v="37313"/>
    <n v="37313"/>
  </r>
  <r>
    <n v="63441"/>
    <s v="BARRIO URBANIZACION VALLEJO MONTERIA 3"/>
    <n v="1067960190"/>
    <s v="3104126551"/>
    <s v="3226804144"/>
    <s v="3104126551"/>
    <s v="CR 24 W 18 14,URBANIZACION VALLEJO"/>
    <s v="8.7589366"/>
    <s v="-75.9034249"/>
    <s v="CÓRDOBA"/>
    <s v="MONTERÍA"/>
    <s v="MONTERÍA"/>
    <n v="23001"/>
    <s v="2025-09-17"/>
    <n v="1"/>
    <s v="MONTERIA"/>
    <x v="5"/>
    <n v="37313"/>
    <n v="37313"/>
  </r>
  <r>
    <n v="63790"/>
    <s v="BARRIO MARCO ANTONIO PINILLA VILLAVICENCIO 2"/>
    <n v="1121914945"/>
    <s v="3106752049"/>
    <s v="3106752049"/>
    <s v="3502311091"/>
    <s v="CR 16 NRO. 14 A 20 AV MARACOS ESTACIÓN DE SERVICIO TEXACO LOCAL 2,MARCO ANTONIO PINILLA"/>
    <s v="4.132632"/>
    <s v="-73.618192"/>
    <s v="META"/>
    <s v="VILLAVICENCIO"/>
    <s v="VILLAVICENCIO"/>
    <n v="50001"/>
    <s v="2025-09-17"/>
    <n v="1"/>
    <s v="VILLAVICENCIO"/>
    <x v="1"/>
    <n v="49671.7"/>
    <n v="49671.7"/>
  </r>
  <r>
    <n v="62754"/>
    <s v="BARRIO RIVERITA RIVERA"/>
    <n v="1004225009"/>
    <s v="3133919024"/>
    <s v="3133919024"/>
    <s v="3133919024"/>
    <s v="CL 4 7 73 CEN POBLADO RIVERITA,RIVERITA"/>
    <s v="2.7582267"/>
    <s v="-75.2901917"/>
    <s v="HUILA"/>
    <s v="RIVERA"/>
    <s v="RIVERA"/>
    <n v="41615"/>
    <s v="2025-09-17"/>
    <n v="1"/>
    <s v="NEIVA"/>
    <x v="1"/>
    <n v="49671.7"/>
    <n v="49671.7"/>
  </r>
  <r>
    <n v="71767"/>
    <s v="BARRIO CIUDAD 2000 CALI  7"/>
    <n v="1193542509"/>
    <s v="3133254632"/>
    <s v="3218573692"/>
    <s v="3133254632"/>
    <s v="CL 29 # 67B - 06,CIUDAD 2000"/>
    <s v="3.3972466"/>
    <s v="-76.5215855"/>
    <s v="VALLE DEL CAUCA"/>
    <s v="CALI"/>
    <s v="SANTIAGO DE CALI"/>
    <n v="76001"/>
    <s v="2025-09-17"/>
    <n v="1"/>
    <s v="CALI"/>
    <x v="3"/>
    <n v="37313"/>
    <n v="37313"/>
  </r>
  <r>
    <n v="72066"/>
    <s v="PEREIRA LAS MERCEDES CUBA"/>
    <n v="1113594832"/>
    <s v="3043292292"/>
    <s v="0"/>
    <s v="3166614862"/>
    <s v="MZ 5 CA 180 P 1 BRR LAS MERCEDES CUBA"/>
    <s v="4.804332"/>
    <s v="-75.7319443"/>
    <s v="RISARALDA"/>
    <s v="PEREIRA"/>
    <s v="PEREIRA"/>
    <n v="66001"/>
    <s v="2025-09-17"/>
    <n v="1"/>
    <s v="PEREIRA"/>
    <x v="6"/>
    <n v="37313"/>
    <n v="37313"/>
  </r>
  <r>
    <n v="63557"/>
    <s v="BARRIO JUAN PABLO II VILLAVICENCIO"/>
    <n v="1121823263"/>
    <s v="3134425646"/>
    <s v="3222751009"/>
    <s v="3222751009"/>
    <s v="CR 32 14 SUR 51- JUAN PABLO II,JUAN PABLO II"/>
    <s v="4.1041"/>
    <s v="-73.62290"/>
    <s v="META"/>
    <s v="VILLAVICENCIO"/>
    <s v="VILLAVICENCIO"/>
    <n v="50001"/>
    <s v="2025-09-17"/>
    <n v="1"/>
    <s v="VILLAVICENCIO"/>
    <x v="1"/>
    <n v="49671.7"/>
    <n v="49671.7"/>
  </r>
  <r>
    <n v="63791"/>
    <s v="BARRIO ESMERALDA VILLAVICENCIO 1"/>
    <n v="40449577"/>
    <s v="3107838324"/>
    <s v="3107838324"/>
    <s v="3168691591"/>
    <s v="CR 37 NRO 47 - 00 ESMERALDA,ESMERALDA"/>
    <s v="4.162888"/>
    <s v="-73.645953"/>
    <s v="META"/>
    <s v="VILLAVICENCIO"/>
    <s v="VILLAVICENCIO"/>
    <n v="50001"/>
    <s v="2025-09-17"/>
    <n v="1"/>
    <s v="VILLAVICENCIO"/>
    <x v="1"/>
    <n v="49671.7"/>
    <n v="49671.7"/>
  </r>
  <r>
    <n v="64419"/>
    <s v="BARRIO CENTRO FLORENCIA  31"/>
    <n v="1116914589"/>
    <s v="3107588199"/>
    <s v="3123441863"/>
    <s v="3107588199"/>
    <s v="CR 11 18 31,CENTRO"/>
    <s v="1.618337"/>
    <s v="-75.613669"/>
    <s v="CAQUETÁ"/>
    <s v="FLORENCIA"/>
    <s v="FLORENCIA"/>
    <n v="18001"/>
    <s v="2025-09-17"/>
    <n v="1"/>
    <s v="NEIVA"/>
    <x v="1"/>
    <n v="49671.7"/>
    <n v="49671.7"/>
  </r>
  <r>
    <n v="71804"/>
    <s v="ANTIOQUIA ITAGUI"/>
    <n v="42771166"/>
    <s v="6043884729"/>
    <s v="3192809355"/>
    <s v="3192809355"/>
    <s v="CARRERA 66 B 36 21,ITAGÜÍ"/>
    <s v="6.1733088"/>
    <s v="-75.6312496"/>
    <s v="ANTIOQUIA"/>
    <s v="ITAGÜÍ"/>
    <s v="ITAGÜÍ"/>
    <n v="5360"/>
    <s v="2025-09-17"/>
    <n v="1"/>
    <s v="MEDELLIN"/>
    <x v="0"/>
    <n v="37313"/>
    <n v="37313"/>
  </r>
  <r>
    <n v="63074"/>
    <s v="BARRIO CENTRO DUITAMA 24"/>
    <n v="1057545160"/>
    <s v="3124423038"/>
    <s v="3222602815"/>
    <s v="3208829673"/>
    <s v="CL 19 NO.19-40,CENTRO"/>
    <s v="5.8264648"/>
    <s v="-73.0296381"/>
    <s v="BOYACÁ"/>
    <s v="DUITAMA"/>
    <s v="DUITAMA"/>
    <n v="15238"/>
    <s v="2025-09-17"/>
    <n v="1"/>
    <s v="TUNJA"/>
    <x v="4"/>
    <n v="49671.7"/>
    <n v="49671.7"/>
  </r>
  <r>
    <n v="63807"/>
    <s v="BARRIO CIUDADELA COMFENALCO ARMENIA"/>
    <n v="1053841489"/>
    <s v="3206188238"/>
    <s v="3206188238"/>
    <s v="3206188238"/>
    <s v="CIUDADELA COMFENALCO MZ M CASA 2"/>
    <s v="4.516148"/>
    <s v="-75.703401"/>
    <s v="QUINDÍO"/>
    <s v="ARMENIA"/>
    <s v="ARMENIA"/>
    <n v="63001"/>
    <s v="2025-09-17"/>
    <n v="1"/>
    <s v="PEREIRA"/>
    <x v="6"/>
    <n v="37313"/>
    <n v="37313"/>
  </r>
  <r>
    <n v="67375"/>
    <s v="BARRIO URB LOS TRAPICHES VILLA DEL ROSARIO 2"/>
    <n v="60389593"/>
    <s v="3006859750"/>
    <s v="3203152537"/>
    <s v="3203152537"/>
    <s v="CL 10 C NRO 2 - 126,URB LOS TRAPICHES"/>
    <s v="7.86397299"/>
    <s v="-72.47592964"/>
    <s v="NORTE DE SANTANDER"/>
    <s v="VILLA DEL ROSARIO"/>
    <s v="VILLA DEL ROSARIO"/>
    <n v="54874"/>
    <s v="2025-09-17"/>
    <n v="1"/>
    <s v="CUCUTA"/>
    <x v="4"/>
    <n v="49671.7"/>
    <n v="49671.7"/>
  </r>
  <r>
    <n v="76010"/>
    <s v="BARRIO SANTA HELENA IBAGUE 3"/>
    <n v="1031645441"/>
    <s v="3132083634"/>
    <s v="3132083634"/>
    <s v="3132083634"/>
    <s v="CL 41 3 37 LC 1,SANTA HELENA"/>
    <s v="4.4305023"/>
    <s v="-75.2139677"/>
    <s v="TOLIMA"/>
    <s v="IBAGUÉ"/>
    <s v="IBAGUÉ"/>
    <n v="73001"/>
    <s v="2025-09-17"/>
    <n v="2"/>
    <s v="IBAGUE"/>
    <x v="1"/>
    <n v="49671.7"/>
    <n v="99343.4"/>
  </r>
  <r>
    <n v="78165"/>
    <s v="BARRIO PEDREGAL MEDELLIN  12"/>
    <n v="1017247460"/>
    <s v="3043420173"/>
    <s v="3113652747"/>
    <s v="3043420173"/>
    <s v="CR 74 99 15 LC 2,PEDREGAL"/>
    <s v="6.2968511"/>
    <s v="-75.5761981"/>
    <s v="ANTIOQUIA"/>
    <s v="MEDELLÍN"/>
    <s v="MEDELLÍN"/>
    <n v="5001"/>
    <s v="2025-09-17"/>
    <n v="1"/>
    <s v="MEDELLIN"/>
    <x v="0"/>
    <n v="37313"/>
    <n v="37313"/>
  </r>
  <r>
    <n v="76277"/>
    <s v="BARRIO SAUCES 5 PEREIRA"/>
    <n v="1113521936"/>
    <s v="3213529466"/>
    <s v="3203312031"/>
    <s v="3213529466"/>
    <s v="MZ 10 CA 1 LC 2 BRR SAUCES 5"/>
    <s v="4.8033119"/>
    <s v="-75.7333556"/>
    <s v="RISARALDA"/>
    <s v="PEREIRA"/>
    <s v="PEREIRA"/>
    <n v="66001"/>
    <s v="2025-09-17"/>
    <n v="1"/>
    <s v="PEREIRA"/>
    <x v="6"/>
    <n v="37313"/>
    <n v="37313"/>
  </r>
  <r>
    <n v="73625"/>
    <s v="BARRIO TERMINAL DE TRANSPORTE NORTE MEDELLIN 1"/>
    <n v="1020460689"/>
    <s v="3208460998"/>
    <s v="3128794550"/>
    <s v="3208460998"/>
    <s v="CR 64 C 78 580 LC 9827,TER DE TRASPORTE NORTE"/>
    <s v="6.2785431"/>
    <s v="-75.5710843"/>
    <s v="ANTIOQUIA"/>
    <s v="MEDELLÍN"/>
    <s v="MEDELLÍN"/>
    <n v="5001"/>
    <s v="2025-09-17"/>
    <n v="2"/>
    <s v="MEDELLIN"/>
    <x v="0"/>
    <n v="37313"/>
    <n v="74626"/>
  </r>
  <r>
    <n v="70681"/>
    <s v="BARRIO JUNIN CALI 3"/>
    <n v="24497896"/>
    <s v="3128168654"/>
    <s v="0"/>
    <s v="3128168654"/>
    <s v="CR 23 C # 10 - 31 BARRIO JUNIN,JUNIN"/>
    <s v="3.4342008"/>
    <s v="-76.5310232"/>
    <s v="VALLE DEL CAUCA"/>
    <s v="CALI"/>
    <s v="SANTIAGO DE CALI"/>
    <n v="76001"/>
    <s v="2025-09-17"/>
    <n v="1"/>
    <s v="CALI"/>
    <x v="3"/>
    <n v="37313"/>
    <n v="37313"/>
  </r>
  <r>
    <n v="65424"/>
    <s v="BARRIO COSTA HERMOSA SOLEDAD 8"/>
    <n v="72341549"/>
    <s v="3922691"/>
    <s v="3205689008"/>
    <s v="3205689008"/>
    <s v="CL 22B 31 - 149 ipodromo soledad"/>
    <s v="10.931970"/>
    <s v="-74.768082"/>
    <s v="ATLÁNTICO"/>
    <s v="SOLEDAD"/>
    <s v="SOLEDAD"/>
    <n v="8758"/>
    <s v="2025-09-17"/>
    <n v="2"/>
    <s v="BARRANQUILLA"/>
    <x v="5"/>
    <n v="37313"/>
    <n v="74626"/>
  </r>
  <r>
    <n v="70697"/>
    <s v="NORMANDIA BOGOTA 7"/>
    <n v="51798599"/>
    <s v="3203897081"/>
    <s v="3005419550"/>
    <s v="3005419550"/>
    <s v="CL 64C 72 29,NORMANDÍA"/>
    <s v="4.6775564 "/>
    <s v="-74.1025513"/>
    <s v="CUNDINAMARCA"/>
    <s v="BOGOTÁ"/>
    <s v="BOGOTÁ"/>
    <n v="11001"/>
    <s v="2025-09-17"/>
    <n v="1"/>
    <s v="BOGOTA"/>
    <x v="2"/>
    <n v="37313"/>
    <n v="37313"/>
  </r>
  <r>
    <n v="78085"/>
    <s v="BARRIO LLANITOS LOS PATIOS"/>
    <n v="1090390454"/>
    <s v="3142077205"/>
    <s v="3204474849"/>
    <s v="3233056332"/>
    <s v="KDX 131-1-A APTO 101,LLANITOS"/>
    <s v="7.8019271417025"/>
    <s v="-72.51746659534429"/>
    <s v="NORTE DE SANTANDER"/>
    <s v="LOS PATIOS"/>
    <s v="LOS PATIOS"/>
    <n v="54405"/>
    <s v="2025-09-17"/>
    <n v="1"/>
    <s v="CUCUTA"/>
    <x v="4"/>
    <n v="49671.7"/>
    <n v="49671.7"/>
  </r>
  <r>
    <n v="78320"/>
    <s v="BARRIO SANTANDER MONTERIA  2"/>
    <n v="50935533"/>
    <s v="3145838466"/>
    <s v="3145838466"/>
    <s v="3145838466"/>
    <s v="TV 2 SUR 18 - 147 LC 1 ,SANTANDER"/>
    <s v="8.741044"/>
    <s v="-75.901914"/>
    <s v="CÓRDOBA"/>
    <s v="MONTERÍA"/>
    <s v="MONTERÍA"/>
    <n v="23001"/>
    <s v="2025-09-17"/>
    <n v="1"/>
    <s v="MONTERIA"/>
    <x v="5"/>
    <n v="37313"/>
    <n v="37313"/>
  </r>
  <r>
    <n v="72739"/>
    <s v="BARRIO MARTIRES BOGOTA 5"/>
    <n v="71261972"/>
    <s v="3118812788"/>
    <s v="3014844676"/>
    <s v="3118815788"/>
    <s v="CARRERA 10 10 83 CENTRO COMERCIAL PUERTO LINDO LOCAL LM43,MARTIRES"/>
    <s v="4.6001087"/>
    <s v="-74.0784028"/>
    <s v="CUNDINAMARCA"/>
    <s v="BOGOTÁ"/>
    <s v="BOGOTÁ"/>
    <n v="11001"/>
    <s v="2025-09-17"/>
    <n v="1"/>
    <s v="BOGOTA"/>
    <x v="2"/>
    <n v="37313"/>
    <n v="37313"/>
  </r>
  <r>
    <n v="78072"/>
    <s v="BARRIO OLAYA CARTAGENA DE INDIAS 2"/>
    <n v="901639579"/>
    <s v="3135888896"/>
    <s v="3135888896"/>
    <s v="3117291720"/>
    <s v="CL 31 D 50-89,OLAYA"/>
    <s v="10.4085522"/>
    <s v="-75.5008015"/>
    <s v="BOLÍVAR"/>
    <s v="CARTAGENA DE INDIAS"/>
    <s v="CARTAGENA DE INDIAS"/>
    <n v="13001"/>
    <s v="2025-09-17"/>
    <n v="1"/>
    <s v="CARTAGENA"/>
    <x v="5"/>
    <n v="49671.7"/>
    <n v="49671.7"/>
  </r>
  <r>
    <n v="78329"/>
    <s v="BARRIO LAS QUINTAS TUNJA  4"/>
    <n v="40037251"/>
    <s v="3108165047"/>
    <s v="3134326908"/>
    <s v="3108165047"/>
    <s v="CL 46 4 57,LAS QUINTAS"/>
    <s v="5.55293258"/>
    <s v="-73.34966826"/>
    <s v="BOYACÁ"/>
    <s v="TUNJA"/>
    <s v="TUNJA"/>
    <n v="15001"/>
    <s v="2025-09-17"/>
    <n v="1"/>
    <s v="TUNJA"/>
    <x v="4"/>
    <n v="49671.7"/>
    <n v="49671.7"/>
  </r>
  <r>
    <n v="78120"/>
    <s v="BARRIO SAN MARTIN VILLA  DEL ROSARIO "/>
    <n v="1127045433"/>
    <s v="3124417812"/>
    <s v="3124417812"/>
    <s v="3124417812"/>
    <s v="CR 10 2-14,SAN MARTIN"/>
    <s v="7.83533437"/>
    <s v="-72.47355212"/>
    <s v="NORTE DE SANTANDER"/>
    <s v="VILLA DEL ROSARIO"/>
    <s v="VILLA DEL ROSARIO"/>
    <n v="54874"/>
    <s v="2025-09-17"/>
    <n v="1"/>
    <s v="CUCUTA"/>
    <x v="4"/>
    <n v="49671.7"/>
    <n v="49671.7"/>
  </r>
  <r>
    <n v="78417"/>
    <s v="BARRIO CRISTOBAL COLON CALI 5"/>
    <n v="1143864804"/>
    <s v="3154116999"/>
    <s v="3163617795"/>
    <s v="3154116999"/>
    <s v="CL 14 36 B 01 LC 1,CRISTOBAL COLON"/>
    <s v="3.4207154"/>
    <s v="-76.5273008"/>
    <s v="VALLE DEL CAUCA"/>
    <s v="CALI"/>
    <s v="SANTIAGO DE CALI"/>
    <n v="76001"/>
    <s v="2025-09-17"/>
    <n v="1"/>
    <s v="CALI"/>
    <x v="3"/>
    <n v="37313"/>
    <n v="37313"/>
  </r>
  <r>
    <n v="76470"/>
    <s v="BARRIO EL LAGO POPAYAN"/>
    <n v="1061729235"/>
    <s v="3146438256"/>
    <s v="3136681532"/>
    <s v="3136681532"/>
    <s v="CR 7AE 13 A 85,EL LAGO"/>
    <s v="2.4316817"/>
    <s v="-76.5986873"/>
    <s v="CAUCA"/>
    <s v="POPAYÁN"/>
    <s v="POPAYÁN"/>
    <n v="19001"/>
    <s v="2025-09-17"/>
    <n v="1"/>
    <s v="CALI"/>
    <x v="3"/>
    <n v="37313"/>
    <n v="37313"/>
  </r>
  <r>
    <n v="72839"/>
    <s v="BARRIO LA VEGA FLORENCIA"/>
    <n v="40614986"/>
    <s v="3184725771"/>
    <s v="3184725771"/>
    <s v="3184725771"/>
    <s v="CL 14 17 84 LA VEGA,LA VEGA"/>
    <s v="1.613016"/>
    <s v="-75.618933"/>
    <s v="CAQUETÁ"/>
    <s v="FLORENCIA"/>
    <s v="FLORENCIA"/>
    <n v="18001"/>
    <s v="2025-09-17"/>
    <n v="1"/>
    <s v="NEIVA"/>
    <x v="1"/>
    <n v="49671.7"/>
    <n v="49671.7"/>
  </r>
  <r>
    <n v="72848"/>
    <s v="BARRIO GAITAN VALLEDUPAR 2"/>
    <n v="77169354"/>
    <s v="3126603122"/>
    <s v="3126603122"/>
    <s v="3017768272"/>
    <s v="CR 11 19 53,GAITAN"/>
    <s v="10.4700149"/>
    <s v="-73.2455191"/>
    <s v="CESAR"/>
    <s v="VALLEDUPAR"/>
    <s v="VALLEDUPAR"/>
    <n v="20001"/>
    <s v="2025-09-17"/>
    <n v="1"/>
    <s v="VALLEDUPAR"/>
    <x v="5"/>
    <n v="49671.7"/>
    <n v="49671.7"/>
  </r>
  <r>
    <n v="80354"/>
    <s v="BARRIO DIAMANTE 2 BUCARAMANGA 2"/>
    <n v="88225051"/>
    <s v="3007660045"/>
    <s v="3007660045"/>
    <s v="3016849033"/>
    <s v="AV 89 23-135,DIAMANTE 2"/>
    <s v="7.0942969"/>
    <s v="-73.1111639"/>
    <s v="SANTANDER"/>
    <s v="BUCARAMANGA"/>
    <s v="BUCARAMANGA"/>
    <n v="68001"/>
    <s v="2025-09-17"/>
    <n v="1"/>
    <s v="BUCARAMANGA"/>
    <x v="4"/>
    <n v="37313"/>
    <n v="37313"/>
  </r>
  <r>
    <n v="75992"/>
    <s v="BARRIO CANDILES BUCARAMANGA 1"/>
    <n v="37615403"/>
    <s v="3228507543"/>
    <s v="3228507543"/>
    <s v="3228507543"/>
    <s v="CL 51 A 12 139 BRR CANDILES,CANDILES"/>
    <s v="7.1080920"/>
    <s v="-73.1272890"/>
    <s v="SANTANDER"/>
    <s v="BUCARAMANGA"/>
    <s v="BUCARAMANGA"/>
    <n v="68001"/>
    <s v="2025-09-17"/>
    <n v="1"/>
    <s v="BUCARAMANGA"/>
    <x v="4"/>
    <n v="37313"/>
    <n v="37313"/>
  </r>
  <r>
    <n v="76318"/>
    <s v="BARRIO POLICARPA MONTERIA 2"/>
    <n v="10779482"/>
    <s v="3005384941"/>
    <s v="3005384941"/>
    <s v="3005384941"/>
    <s v="DG 5 3 27,POLICARPA"/>
    <s v="8.734704"/>
    <s v="-75.895528"/>
    <s v="CÓRDOBA"/>
    <s v="MONTERÍA"/>
    <s v="MONTERÍA"/>
    <n v="23001"/>
    <s v="2025-09-17"/>
    <n v="1"/>
    <s v="MONTERIA"/>
    <x v="5"/>
    <n v="37313"/>
    <n v="37313"/>
  </r>
  <r>
    <n v="63025"/>
    <s v="BARRIO RODADERO SANTA MARTA 4"/>
    <n v="1235253145"/>
    <s v="0"/>
    <s v="3157905811"/>
    <s v="3157905811"/>
    <s v="CR 2 8-48 LC B102 PASAJE CARIBE ARTESAL - RODADERO"/>
    <s v="11.20508138"/>
    <s v="-74.22582719"/>
    <s v="MAGDALENA"/>
    <s v="SANTA MARTA"/>
    <s v="SANTA MARTA"/>
    <n v="47001"/>
    <s v="2025-09-17"/>
    <n v="1"/>
    <s v="SANTA MARTA"/>
    <x v="5"/>
    <n v="49671.7"/>
    <n v="49671.7"/>
  </r>
  <r>
    <n v="72746"/>
    <s v="NORMANDIA SEGUNDO SECTOR"/>
    <n v="52581968"/>
    <s v="3158446760"/>
    <s v="3158446760"/>
    <s v="3158446760"/>
    <s v="CR  73 A  49 A -09"/>
    <s v="4.6715453"/>
    <s v="-74.1108564"/>
    <s v="CUNDINAMARCA"/>
    <s v="BOGOTÁ"/>
    <s v="BOGOTÁ"/>
    <n v="11001"/>
    <s v="2025-09-17"/>
    <n v="1"/>
    <s v="BOGOTA"/>
    <x v="2"/>
    <n v="37313"/>
    <n v="37313"/>
  </r>
  <r>
    <n v="72676"/>
    <s v="BARRIO CENTRO DUITAMA 27"/>
    <n v="46671930"/>
    <s v="3142440119"/>
    <s v="3142440119"/>
    <s v="3226453652"/>
    <s v="CL 15 NO.13-21,CENTRO"/>
    <s v="5.8292852"/>
    <s v="-73.0351224"/>
    <s v="BOYACÁ"/>
    <s v="DUITAMA"/>
    <s v="DUITAMA"/>
    <n v="15238"/>
    <s v="2025-09-17"/>
    <n v="1"/>
    <s v="TUNJA"/>
    <x v="4"/>
    <n v="49671.7"/>
    <n v="49671.7"/>
  </r>
  <r>
    <n v="72850"/>
    <s v="BARRIO URBANIZACION VALLEJO MONTERIA 7"/>
    <n v="21244585"/>
    <s v="3134426907"/>
    <s v="3224039645"/>
    <s v="3134426907"/>
    <s v="CR 23 W CLL 16A 05 APTO 101,URBANIZACION VALLEJO"/>
    <s v="8.7575948"/>
    <s v="-75.9043844"/>
    <s v="CÓRDOBA"/>
    <s v="MONTERÍA"/>
    <s v="MONTERÍA"/>
    <n v="23001"/>
    <s v="2025-09-17"/>
    <n v="1"/>
    <s v="MONTERIA"/>
    <x v="5"/>
    <n v="37313"/>
    <n v="37313"/>
  </r>
  <r>
    <n v="68183"/>
    <s v="BARRIO VILLA ELISA BOGOTA 4"/>
    <n v="79873938"/>
    <s v="3506114598"/>
    <s v="3506114598"/>
    <s v="3506114598"/>
    <s v="CL 135 A 91 20,VILLA ELISA"/>
    <s v="4.7342021"/>
    <s v="-74.0859422"/>
    <s v="CUNDINAMARCA"/>
    <s v="BOGOTÁ"/>
    <s v="BOGOTÁ"/>
    <n v="11001"/>
    <s v="2025-09-17"/>
    <n v="1"/>
    <s v="BOGOTA"/>
    <x v="2"/>
    <n v="37313"/>
    <n v="37313"/>
  </r>
  <r>
    <n v="75942"/>
    <s v="BARRIO CENTRO ITAGUI 7"/>
    <n v="1036673572"/>
    <s v="0"/>
    <s v="3229798837"/>
    <s v="3229798837"/>
    <s v="CL 46 B 57 20,CENTRO"/>
    <s v="6.1764882"/>
    <s v="-75.6136560"/>
    <s v="ANTIOQUIA"/>
    <s v="ITAGÜÍ"/>
    <s v="ITAGÜÍ"/>
    <n v="5360"/>
    <s v="2025-09-17"/>
    <n v="1"/>
    <s v="MEDELLIN"/>
    <x v="0"/>
    <n v="37313"/>
    <n v="37313"/>
  </r>
  <r>
    <n v="76013"/>
    <s v="BARRIO LLANO GRANDE LOS PATIOS 3"/>
    <n v="30051380"/>
    <s v="3238048680"/>
    <s v="3238048680"/>
    <s v="3238048680"/>
    <s v="AV 9 18E,LLANO GRANDE"/>
    <s v="7.79794506622756"/>
    <s v="-72.51847757497133"/>
    <s v="NORTE DE SANTANDER"/>
    <s v="LOS PATIOS"/>
    <s v="LOS PATIOS"/>
    <n v="54405"/>
    <s v="2025-09-17"/>
    <n v="1"/>
    <s v="CUCUTA"/>
    <x v="4"/>
    <n v="49671.7"/>
    <n v="49671.7"/>
  </r>
  <r>
    <n v="63788"/>
    <s v="BARRIO NUEVA FLORESTA VILLAVICENCIO 3"/>
    <n v="40315341"/>
    <s v="3112373548"/>
    <s v="3112373548"/>
    <s v="3223353575"/>
    <s v="CL 12 N 17 -04 BRR NUEVA FLORESTA"/>
    <s v="4.133088"/>
    <s v="-73.619039"/>
    <s v="META"/>
    <s v="VILLAVICENCIO"/>
    <s v="VILLAVICENCIO"/>
    <n v="50001"/>
    <s v="2025-09-17"/>
    <n v="1"/>
    <s v="VILLAVICENCIO"/>
    <x v="1"/>
    <n v="49671.7"/>
    <n v="49671.7"/>
  </r>
  <r>
    <n v="73809"/>
    <s v="BARRIO SOFERINO MANIZALES"/>
    <n v="1053868935"/>
    <s v="3216612288"/>
    <s v="3216612288"/>
    <s v="3117483020"/>
    <s v="CR 7B 50 A -04"/>
    <s v="5.0764558"/>
    <s v="-75.4883377"/>
    <s v="CALDAS"/>
    <s v="MANIZALES"/>
    <s v="MANIZALES"/>
    <n v="17001"/>
    <s v="2025-09-17"/>
    <n v="1"/>
    <s v="MANIZALES"/>
    <x v="6"/>
    <n v="49671.7"/>
    <n v="49671.7"/>
  </r>
  <r>
    <n v="78570"/>
    <s v="BARRIO COSTA HERMOSA SOLEDAD 1"/>
    <n v="32792640"/>
    <s v="3006787165"/>
    <s v="3006787165"/>
    <s v="3006787165"/>
    <s v="CR 51 A 18 09,COSTA HERMOSA"/>
    <s v="10.9438169"/>
    <s v="-74.7708163"/>
    <s v="ATLÁNTICO"/>
    <s v="SOLEDAD"/>
    <s v="SOLEDAD"/>
    <n v="8758"/>
    <s v="2025-09-17"/>
    <n v="1"/>
    <s v="BARRANQUILLA"/>
    <x v="5"/>
    <n v="37313"/>
    <n v="37313"/>
  </r>
  <r>
    <n v="73953"/>
    <s v="BARRIO GUADUALES ARMENIA 1"/>
    <n v="1094911637"/>
    <s v="3166303092"/>
    <s v="3166303092"/>
    <s v="3142018987"/>
    <s v="BRR GUADUALES DE LA VILLA MZ 2 CASA 2,GUADUALES"/>
    <s v="4.5142784"/>
    <s v="-75.7020020"/>
    <s v="QUINDÍO"/>
    <s v="ARMENIA"/>
    <s v="ARMENIA"/>
    <n v="63001"/>
    <s v="2025-09-17"/>
    <n v="1"/>
    <s v="PEREIRA"/>
    <x v="6"/>
    <n v="37313"/>
    <n v="37313"/>
  </r>
  <r>
    <n v="74152"/>
    <s v="BARRIO URBANIZACION SAMARIA MONTERIA"/>
    <n v="1067885170"/>
    <s v="3214604605"/>
    <s v="3214604605"/>
    <s v="3214604605"/>
    <s v="CR 15 10 B 27 URBANIZACIÓN SAMARIA,URBANIZACIÓN SAMARIA"/>
    <s v="8.7385987"/>
    <s v="-75.8830045"/>
    <s v="CÓRDOBA"/>
    <s v="MONTERÍA"/>
    <s v="MONTERÍA"/>
    <n v="23001"/>
    <s v="2025-09-17"/>
    <n v="1"/>
    <s v="MONTERIA"/>
    <x v="5"/>
    <n v="37313"/>
    <n v="37313"/>
  </r>
  <r>
    <n v="76582"/>
    <s v="BARRIO MIRA FLORES CALI"/>
    <n v="1088946322"/>
    <s v="3168512888"/>
    <s v="3054735489"/>
    <s v="3054735489"/>
    <s v="CR 24C 4 55,MIRA FLORES"/>
    <s v="3.4362953"/>
    <s v="-76.5402844"/>
    <s v="VALLE DEL CAUCA"/>
    <s v="CALI"/>
    <s v="SANTIAGO DE CALI"/>
    <n v="76001"/>
    <s v="2025-09-17"/>
    <n v="1"/>
    <s v="CALI"/>
    <x v="3"/>
    <n v="37313"/>
    <n v="37313"/>
  </r>
  <r>
    <n v="74083"/>
    <s v="BARRIO LAS QUINTAS TUNJA 3"/>
    <n v="74084958"/>
    <s v="3204320880"/>
    <s v="3204320880"/>
    <s v="3204320880"/>
    <s v="CL 46 2 A 81,LAS QUINTAS"/>
    <s v="5.55259064"/>
    <s v="-73.34874892"/>
    <s v="BOYACÁ"/>
    <s v="TUNJA"/>
    <s v="TUNJA"/>
    <n v="15001"/>
    <s v="2025-09-17"/>
    <n v="1"/>
    <s v="TUNJA"/>
    <x v="4"/>
    <n v="49671.7"/>
    <n v="49671.7"/>
  </r>
  <r>
    <n v="76599"/>
    <s v="BARRIO SEBASTIAN MANIZALES"/>
    <n v="1053766926"/>
    <s v="3135506730"/>
    <s v="3135506730"/>
    <s v="3135506730"/>
    <s v="CR 3 C 47 121 - SAN SEBASTIAN ,SAN SEBASTIÁN"/>
    <s v="5.0850309"/>
    <s v="-75.4904669"/>
    <s v="CALDAS"/>
    <s v="MANIZALES"/>
    <s v="MANIZALES"/>
    <n v="17001"/>
    <s v="2025-09-17"/>
    <n v="1"/>
    <s v="MANIZALES"/>
    <x v="6"/>
    <n v="49671.7"/>
    <n v="49671.7"/>
  </r>
  <r>
    <n v="76878"/>
    <s v="BARRIO SUBA RINCON BOGOTA 16"/>
    <n v="1233904065"/>
    <s v="3213396829"/>
    <s v="3213396829"/>
    <s v="3194778152"/>
    <s v="CL 130 BIS 90 50,SUBA RINCÓN"/>
    <s v="4.7263733"/>
    <s v="-74.0886767"/>
    <s v="CUNDINAMARCA"/>
    <s v="BOGOTÁ"/>
    <s v="BOGOTÁ"/>
    <n v="11001"/>
    <s v="2025-09-17"/>
    <n v="1"/>
    <s v="BOGOTA"/>
    <x v="2"/>
    <n v="37313"/>
    <n v="37313"/>
  </r>
  <r>
    <n v="77210"/>
    <s v="BARRIO AEROCIVIL YOPAL  4"/>
    <n v="1118549896"/>
    <s v="3135485839"/>
    <s v="3135485839"/>
    <s v="3135485839"/>
    <s v="CR 19 36 - 65,AEROCIVIL"/>
    <s v="5.3251541"/>
    <s v="-72.3892666"/>
    <s v="CASANARE"/>
    <s v="YOPAL"/>
    <s v="YOPAL"/>
    <n v="85001"/>
    <s v="2025-09-17"/>
    <n v="1"/>
    <s v="YOPAL"/>
    <x v="1"/>
    <n v="49671.7"/>
    <n v="49671.7"/>
  </r>
  <r>
    <n v="77424"/>
    <s v="BARRIO VRD APIAY VILLAVICENCIO"/>
    <n v="37580868"/>
    <s v="3125053937"/>
    <s v="3102089766"/>
    <s v="3102089766"/>
    <s v="VRD CENTRO COMERCIAL VIP VRD APIAY LC 4,VRD APIAY"/>
    <s v="4.091905"/>
    <s v="-73.558863"/>
    <s v="META"/>
    <s v="VILLAVICENCIO"/>
    <s v="VILLAVICENCIO"/>
    <n v="50001"/>
    <s v="2025-09-17"/>
    <n v="1"/>
    <s v="VILLAVICENCIO"/>
    <x v="1"/>
    <n v="49671.7"/>
    <n v="49671.7"/>
  </r>
  <r>
    <n v="78564"/>
    <s v="BARRIO CENTRO RIVERA 9"/>
    <n v="83229003"/>
    <s v="3174202785"/>
    <s v="3174202785"/>
    <s v="3174202785"/>
    <s v="CR 8 3 - 05 APTO 102,CENTRO"/>
    <s v="2.7777060"/>
    <s v="-75.2584877"/>
    <s v="HUILA"/>
    <s v="RIVERA"/>
    <s v="RIVERA"/>
    <n v="41615"/>
    <s v="2025-09-17"/>
    <n v="1"/>
    <s v="NEIVA"/>
    <x v="1"/>
    <n v="49671.7"/>
    <n v="49671.7"/>
  </r>
  <r>
    <n v="78599"/>
    <s v="BARRIO VILLA LUZ BOGOTA  7"/>
    <n v="13617619"/>
    <s v="3203204634"/>
    <s v="3203204634"/>
    <s v="3003249104"/>
    <s v="CL 64F 76 15,VILLA LUZ"/>
    <s v="4.6812908"/>
    <s v="-74.1055082"/>
    <s v="CUNDINAMARCA"/>
    <s v="BOGOTÁ"/>
    <s v="BOGOTÁ"/>
    <n v="11001"/>
    <s v="2025-09-17"/>
    <n v="1"/>
    <s v="BOGOTA"/>
    <x v="2"/>
    <n v="37313"/>
    <n v="37313"/>
  </r>
  <r>
    <n v="78617"/>
    <s v="BARRIO LAS MERCEDES I SINCELEJO"/>
    <n v="1102818867"/>
    <s v="3246506390"/>
    <s v="3246506390"/>
    <s v="3145807089"/>
    <s v="CR 16D 36 48,LAS MERCEDES I"/>
    <s v="9.2901608"/>
    <s v="-75.3917780"/>
    <s v="SUCRE"/>
    <s v="SINCELEJO"/>
    <s v="SINCELEJO"/>
    <n v="70001"/>
    <s v="2025-09-17"/>
    <n v="1"/>
    <s v="SINCELEJO"/>
    <x v="5"/>
    <n v="49671.7"/>
    <n v="49671.7"/>
  </r>
  <r>
    <n v="74177"/>
    <s v="BARRIO CASTILLA MEDELLIN 13"/>
    <n v="901469999"/>
    <s v="3004513881"/>
    <s v="3015861276"/>
    <s v="3004513881"/>
    <s v="CR 73 97 50,CASTILLA"/>
    <s v="6.2942527"/>
    <s v="-75.5755311"/>
    <s v="ANTIOQUIA"/>
    <s v="MEDELLÍN"/>
    <s v="MEDELLÍN"/>
    <n v="5001"/>
    <s v="2025-09-17"/>
    <n v="1"/>
    <s v="MEDELLIN"/>
    <x v="0"/>
    <n v="37313"/>
    <n v="37313"/>
  </r>
  <r>
    <n v="79336"/>
    <s v="BARRIO PEDREGAL MEDELLIN 13"/>
    <n v="1077432082"/>
    <s v="3216502844"/>
    <s v="3216502844"/>
    <s v="3216502844"/>
    <s v="CR 76 103 15,PEDREGAL"/>
    <s v="6.3014795"/>
    <s v="-75.5750334"/>
    <s v="ANTIOQUIA"/>
    <s v="MEDELLÍN"/>
    <s v="MEDELLÍN"/>
    <n v="5001"/>
    <s v="2025-09-17"/>
    <n v="1"/>
    <s v="MEDELLIN"/>
    <x v="0"/>
    <n v="37313"/>
    <n v="37313"/>
  </r>
  <r>
    <n v="79393"/>
    <s v="BARRIO SAN SEBASTIAN MANIZALES 1"/>
    <n v="30325723"/>
    <s v="3112170629"/>
    <s v="3112170629"/>
    <s v="3112170629"/>
    <s v="CR 2 C 48C 80 - SAN SEBASTIAN,SAN SEBASTIAN"/>
    <s v="5.0869649"/>
    <s v="-75.4890521"/>
    <s v="CALDAS"/>
    <s v="MANIZALES"/>
    <s v="MANIZALES"/>
    <n v="17001"/>
    <s v="2025-09-17"/>
    <n v="1"/>
    <s v="MANIZALES"/>
    <x v="6"/>
    <n v="49671.7"/>
    <n v="49671.7"/>
  </r>
  <r>
    <n v="74183"/>
    <s v="BARRIO SAN MARTIN DE PORRES MEDELIN"/>
    <n v="39179624"/>
    <s v="3042037439"/>
    <s v="3105475784"/>
    <s v="3042037439"/>
    <s v="CL 96 BB 80 A16,SAN MARTIN DE PORRES"/>
    <s v="6.2957413"/>
    <s v="-75.5822178"/>
    <s v="ANTIOQUIA"/>
    <s v="MEDELLÍN"/>
    <s v="MEDELLÍN"/>
    <n v="5001"/>
    <s v="2025-09-17"/>
    <n v="1"/>
    <s v="MEDELLIN"/>
    <x v="0"/>
    <n v="37313"/>
    <n v="37313"/>
  </r>
  <r>
    <n v="74535"/>
    <s v="BARRIO CENTRO RIVERA 8"/>
    <n v="26505209"/>
    <s v="3112711939"/>
    <s v="3112530415"/>
    <s v="3112530415"/>
    <s v="CL 3 7- 11,CENTRO"/>
    <s v="2.777430"/>
    <s v="-75.257737"/>
    <s v="HUILA"/>
    <s v="RIVERA"/>
    <s v="RIVERA"/>
    <n v="41615"/>
    <s v="2025-09-17"/>
    <n v="1"/>
    <s v="NEIVA"/>
    <x v="1"/>
    <n v="49671.7"/>
    <n v="49671.7"/>
  </r>
  <r>
    <n v="75207"/>
    <s v="BARRIO RODADERO SANTA MARTA 5"/>
    <n v="22563717"/>
    <s v="3176491957"/>
    <s v="3176491957"/>
    <s v="3176491957"/>
    <s v="CR 3 CL 8-41 LC 3,RODADERO"/>
    <s v="11.2040867"/>
    <s v="-74.2258040"/>
    <s v="MAGDALENA"/>
    <s v="SANTA MARTA"/>
    <s v="SANTA MARTA"/>
    <n v="47001"/>
    <s v="2025-09-17"/>
    <n v="1"/>
    <s v="SANTA MARTA"/>
    <x v="5"/>
    <n v="49671.7"/>
    <n v="49671.7"/>
  </r>
  <r>
    <n v="75842"/>
    <s v="BARRIO LOS PARQUES TUNJA 1"/>
    <n v="1002329951"/>
    <s v="3214943242"/>
    <s v="3214943242"/>
    <s v="3214943242"/>
    <s v="CL 38 8 27,LOS PARQUES"/>
    <s v="5.5490613"/>
    <s v="-73.35678186"/>
    <s v="BOYACÁ"/>
    <s v="TUNJA"/>
    <s v="TUNJA"/>
    <n v="15001"/>
    <s v="2025-09-17"/>
    <n v="1"/>
    <s v="TUNJA"/>
    <x v="4"/>
    <n v="49671.7"/>
    <n v="49671.7"/>
  </r>
  <r>
    <n v="76911"/>
    <s v="BARRIO LOS NOGALES PEREIRA 1"/>
    <n v="1089933260"/>
    <s v="3147215873"/>
    <s v="3128726096"/>
    <s v="3148377448"/>
    <s v="MZ 3 CA 18 LC 3 BRR LOS NOGALES CUBA"/>
    <s v="4.8055417"/>
    <s v="-75.7309355"/>
    <s v="RISARALDA"/>
    <s v="PEREIRA"/>
    <s v="PEREIRA"/>
    <n v="66001"/>
    <s v="2025-09-17"/>
    <n v="1"/>
    <s v="PEREIRA"/>
    <x v="6"/>
    <n v="37313"/>
    <n v="37313"/>
  </r>
  <r>
    <n v="75496"/>
    <s v="BARRIO JORDAN 6 ETAPA IBAGUE"/>
    <n v="93371195"/>
    <s v="3043469828"/>
    <s v="3043469828"/>
    <s v="3043469828"/>
    <s v="CA 1 MZ12,JORDAN 6 ETAPA"/>
    <s v="4.4395774"/>
    <s v="-75.1915811"/>
    <s v="TOLIMA"/>
    <s v="IBAGUÉ"/>
    <s v="IBAGUÉ"/>
    <n v="73001"/>
    <s v="2025-09-17"/>
    <n v="1"/>
    <s v="IBAGUE"/>
    <x v="1"/>
    <n v="49671.7"/>
    <n v="49671.7"/>
  </r>
  <r>
    <n v="77315"/>
    <s v="BARRIO TIERRA LINDA LOS PATIOS  5"/>
    <n v="1090443666"/>
    <s v="3182738427"/>
    <s v="3182738427"/>
    <s v="3182738427"/>
    <s v="AV 7 A 16 BIS 05 LOC 102,TIERRA LINDA"/>
    <s v="7.81444098870697"/>
    <s v=" -72.51388071781383"/>
    <s v="NORTE DE SANTANDER"/>
    <s v="LOS PATIOS"/>
    <s v="LOS PATIOS"/>
    <n v="54405"/>
    <s v="2025-09-17"/>
    <n v="1"/>
    <s v="CUCUTA"/>
    <x v="4"/>
    <n v="49671.7"/>
    <n v="49671.7"/>
  </r>
  <r>
    <n v="79674"/>
    <s v="BARRIO CASTILLA MEDELLIN 17"/>
    <n v="22002202"/>
    <s v="3127739839"/>
    <s v="3127739839"/>
    <s v="3127739839"/>
    <s v="CL 98 72 A 6,CASTILLA"/>
    <s v="6.2948241"/>
    <s v="-75.5743278"/>
    <s v="ANTIOQUIA"/>
    <s v="MEDELLÍN"/>
    <s v="MEDELLÍN"/>
    <n v="5001"/>
    <s v="2025-09-17"/>
    <n v="1"/>
    <s v="MEDELLIN"/>
    <x v="0"/>
    <n v="37313"/>
    <n v="37313"/>
  </r>
  <r>
    <n v="77949"/>
    <s v="BARRIO JESUS MARIA OCAMPO ARMENIA"/>
    <n v="24584066"/>
    <s v="3113038050"/>
    <s v="3113038054"/>
    <s v="3113038050"/>
    <s v="BRR JESUS MARIA OCAMPO MZ 5 CS 34,JESUS MARIA OCAMPO"/>
    <s v="4.5214550"/>
    <s v="-75.6953683"/>
    <s v="QUINDÍO"/>
    <s v="ARMENIA"/>
    <s v="ARMENIA"/>
    <n v="63001"/>
    <s v="2025-09-17"/>
    <n v="1"/>
    <s v="PEREIRA"/>
    <x v="6"/>
    <n v="37313"/>
    <n v="37313"/>
  </r>
  <r>
    <n v="77170"/>
    <s v="BARRIO ALFONSO LOPEZ MONTERIA  2"/>
    <n v="1067967152"/>
    <s v="3043503837"/>
    <s v="3043503837"/>
    <s v="3043503837"/>
    <s v="CR 8 F 2 2,ALFONSO LOPEZ"/>
    <s v="8.731721"/>
    <s v="-75.893542"/>
    <s v="CÓRDOBA"/>
    <s v="MONTERÍA"/>
    <s v="MONTERÍA"/>
    <n v="23001"/>
    <s v="2025-09-17"/>
    <n v="1"/>
    <s v="MONTERIA"/>
    <x v="5"/>
    <n v="37313"/>
    <n v="37313"/>
  </r>
  <r>
    <n v="77331"/>
    <s v="BARRIO EL CENTRO VILLA DEL ROSARIO  10"/>
    <n v="1092356920"/>
    <s v="3187700178"/>
    <s v="3112775086"/>
    <s v="3112775086"/>
    <s v="CL 6 6 65, LC 2 EL CENTRO"/>
    <s v="7.8318158"/>
    <s v="-72.4710373"/>
    <s v="NORTE DE SANTANDER"/>
    <s v="VILLA DEL ROSARIO"/>
    <s v="VILLA DEL ROSARIO"/>
    <n v="54874"/>
    <s v="2025-09-17"/>
    <n v="1"/>
    <s v="CUCUTA"/>
    <x v="4"/>
    <n v="49671.7"/>
    <n v="49671.7"/>
  </r>
  <r>
    <n v="80022"/>
    <s v="BARRIO MACARENA PARTE BAJA IBAGUE"/>
    <n v="65786333"/>
    <s v="3204162165"/>
    <s v="3204162165"/>
    <m/>
    <s v="CL 42 4 E 09 LC 3 MACARENA,MACARENA PARTE BAJA"/>
    <s v="4.4329467"/>
    <s v="-75.2139666"/>
    <s v="TOLIMA"/>
    <s v="IBAGUÉ"/>
    <s v="IBAGUÉ"/>
    <n v="73001"/>
    <s v="2025-09-17"/>
    <n v="1"/>
    <s v="IBAGUE"/>
    <x v="1"/>
    <n v="49671.7"/>
    <n v="49671.7"/>
  </r>
  <r>
    <n v="77939"/>
    <s v="BARRIO 20 JULIO VILLA DEL ROSARIO"/>
    <n v="1004967403"/>
    <s v="3017935539"/>
    <s v="3017935539"/>
    <s v="3017935539"/>
    <s v="CL 8 N 6-50 LC 4,20 JULIO"/>
    <s v="7.844433"/>
    <s v="-72.469741"/>
    <s v="NORTE DE SANTANDER"/>
    <s v="VILLA DEL ROSARIO"/>
    <s v="VILLA DEL ROSARIO"/>
    <n v="54874"/>
    <s v="2025-09-17"/>
    <n v="1"/>
    <s v="CUCUTA"/>
    <x v="4"/>
    <n v="49671.7"/>
    <n v="49671.7"/>
  </r>
  <r>
    <n v="23626"/>
    <s v="LA PRADERA ITAGUI - ANTIOQUIA"/>
    <n v="98512065"/>
    <s v="3764469"/>
    <s v="3206876258"/>
    <s v="3206876258"/>
    <s v="CR 41 52 90"/>
    <s v="6.1682643"/>
    <s v="-75.6037757"/>
    <s v="ANTIOQUIA"/>
    <s v="ITAGÜÍ"/>
    <s v="ITAGÜÍ"/>
    <n v="5360"/>
    <s v="2025-09-18"/>
    <n v="1"/>
    <s v="MEDELLIN"/>
    <x v="0"/>
    <n v="37313"/>
    <n v="37313"/>
  </r>
  <r>
    <n v="24963"/>
    <s v="BARRIO SAN JORGE III - MANIZALES "/>
    <n v="30298365"/>
    <s v="8858542"/>
    <s v="3103922797"/>
    <s v="3103922797"/>
    <s v=" CL 47 A 21 36"/>
    <s v="5.0656575"/>
    <s v="-75.5000705"/>
    <s v="CALDAS"/>
    <s v="MANIZALES"/>
    <s v="MANIZALES"/>
    <n v="17001"/>
    <s v="2025-09-18"/>
    <n v="1"/>
    <s v="MANIZALES"/>
    <x v="6"/>
    <n v="49671.7"/>
    <n v="49671.7"/>
  </r>
  <r>
    <n v="26972"/>
    <s v="BARRIO YARUMITO 2  ITAGUI"/>
    <n v="43874199"/>
    <s v="4898297"/>
    <s v="3046800507"/>
    <s v="3046800507"/>
    <s v=" CL 29 A 50 A 53 LC 101 ITAGUI ITAGUI ANTIOQUIA"/>
    <s v="6.1621649"/>
    <s v="-75.6235939"/>
    <s v="ANTIOQUIA"/>
    <s v="ITAGÜÍ"/>
    <s v="ITAGÜÍ"/>
    <n v="5360"/>
    <s v="2025-09-18"/>
    <n v="1"/>
    <s v="MEDELLIN"/>
    <x v="0"/>
    <n v="37313"/>
    <n v="37313"/>
  </r>
  <r>
    <n v="15122"/>
    <s v="BARRIO ALTOS DEL CAMPESTRE CARTAGENA"/>
    <n v="900556734"/>
    <s v="6571558"/>
    <s v="3156283009"/>
    <s v="3156283009"/>
    <s v=" ALTO CAMPESTRE CR 56 E MZ 6 LT 2 ETP 2"/>
    <s v="10.38032011"/>
    <s v="-75.49973029"/>
    <s v="BOLÍVAR"/>
    <s v="CARTAGENA DE INDIAS"/>
    <s v="CARTAGENA DE INDIAS"/>
    <n v="13001"/>
    <s v="2025-09-18"/>
    <n v="1"/>
    <s v="CARTAGENA"/>
    <x v="5"/>
    <n v="49671.7"/>
    <n v="49671.7"/>
  </r>
  <r>
    <n v="21345"/>
    <s v="BARRIO GARCIA ROVIRA  III - BUCARAMANGA"/>
    <n v="13826880"/>
    <s v="6979902"/>
    <s v="3158711574"/>
    <s v="3158711574"/>
    <s v=" CR 12 43 25"/>
    <s v="7.1143770"/>
    <s v="-73.1277480"/>
    <s v="SANTANDER"/>
    <s v="BUCARAMANGA"/>
    <s v="BUCARAMANGA"/>
    <n v="68001"/>
    <s v="2025-09-18"/>
    <n v="1"/>
    <s v="BUCARAMANGA"/>
    <x v="4"/>
    <n v="37313"/>
    <n v="37313"/>
  </r>
  <r>
    <n v="16963"/>
    <s v="BARRIO GALICIA SANTA MARTA"/>
    <n v="7598765"/>
    <s v="4354049"/>
    <s v="3016813790"/>
    <s v="3016813790"/>
    <s v=" CL 13  33B-63 GALICIA"/>
    <s v="11.2417138"/>
    <s v="-74.1767560"/>
    <s v="MAGDALENA"/>
    <s v="SANTA MARTA"/>
    <s v="SANTA MARTA"/>
    <n v="47001"/>
    <s v="2025-09-18"/>
    <n v="1"/>
    <s v="SANTA MARTA"/>
    <x v="5"/>
    <n v="49671.7"/>
    <n v="49671.7"/>
  </r>
  <r>
    <n v="19019"/>
    <s v="BARRIO AVENIDA EL LIBERTADOR"/>
    <n v="13640708"/>
    <s v="7117559"/>
    <s v="3006565827"/>
    <s v="3006565827"/>
    <s v=" AV LIBERTADOR 22 15"/>
    <s v="11.2412635"/>
    <s v="-74.1886460"/>
    <s v="MAGDALENA"/>
    <s v="SANTA MARTA"/>
    <s v="SANTA MARTA"/>
    <n v="47001"/>
    <s v="2025-09-18"/>
    <n v="1"/>
    <s v="SANTA MARTA"/>
    <x v="5"/>
    <n v="49671.7"/>
    <n v="49671.7"/>
  </r>
  <r>
    <n v="23642"/>
    <s v="BARRIO CHAPINERO - RIVERA "/>
    <n v="7708609"/>
    <s v="8387046"/>
    <s v="3165266945"/>
    <s v="3165266945"/>
    <s v=" CR 7 6 72"/>
    <s v="2.77995227"/>
    <s v="-75.25697841"/>
    <s v="HUILA"/>
    <s v="RIVERA"/>
    <s v="RIVERA"/>
    <n v="41615"/>
    <s v="2025-09-18"/>
    <n v="1"/>
    <s v="NEIVA"/>
    <x v="1"/>
    <n v="49671.7"/>
    <n v="49671.7"/>
  </r>
  <r>
    <n v="29204"/>
    <s v="BARRIO SUBA RINCÓN 3 BOGOTÁ"/>
    <n v="4298189"/>
    <s v="6853473"/>
    <s v="3203328448"/>
    <s v="3212964411"/>
    <s v=" CL 129 91 A 25"/>
    <s v="4.7239869"/>
    <s v="-74.0904095"/>
    <s v="CUNDINAMARCA"/>
    <s v="BOGOTÁ"/>
    <s v="BOGOTÁ"/>
    <n v="11001"/>
    <s v="2025-09-18"/>
    <n v="1"/>
    <s v="BOGOTA"/>
    <x v="2"/>
    <n v="37313"/>
    <n v="37313"/>
  </r>
  <r>
    <n v="19669"/>
    <s v="BARRIO MODELO ARMENIA"/>
    <n v="41959934"/>
    <s v="6488297"/>
    <s v="3017133769"/>
    <s v="3017133769"/>
    <s v=" CA 7 MZ F LC 2  MODELO"/>
    <s v="4.5465414"/>
    <s v="-75.6748252"/>
    <s v="QUINDÍO"/>
    <s v="ARMENIA"/>
    <s v="ARMENIA"/>
    <n v="63001"/>
    <s v="2025-09-18"/>
    <n v="2"/>
    <s v="PEREIRA"/>
    <x v="6"/>
    <n v="37313"/>
    <n v="74626"/>
  </r>
  <r>
    <n v="22460"/>
    <s v="BARRIO MALDONADO VI - TUNJA"/>
    <n v="7161069"/>
    <s v="8780036"/>
    <s v="3112311366"/>
    <s v="3112311366"/>
    <s v=" CR 10 28 00"/>
    <s v="5.5407171"/>
    <s v="-73.3594683"/>
    <s v="BOYACÁ"/>
    <s v="TUNJA"/>
    <s v="TUNJA"/>
    <n v="15001"/>
    <s v="2025-09-18"/>
    <n v="1"/>
    <s v="TUNJA"/>
    <x v="4"/>
    <n v="49671.7"/>
    <n v="49671.7"/>
  </r>
  <r>
    <n v="14471"/>
    <s v="BARRIO NIQUIA TERRANOVA BELLO"/>
    <n v="71672110"/>
    <s v="4531823"/>
    <s v="3186856953"/>
    <s v="3186856953"/>
    <s v=" AV 33  57-36 NIQUIA TERRANOVA BELLO ANTIOQUIA"/>
    <s v="6.3426894"/>
    <s v="-75.5413163"/>
    <s v="ANTIOQUIA"/>
    <s v="BELLO"/>
    <s v="BELLO"/>
    <n v="5088"/>
    <s v="2025-09-18"/>
    <n v="1"/>
    <s v="MEDELLIN"/>
    <x v="0"/>
    <n v="37313"/>
    <n v="37313"/>
  </r>
  <r>
    <n v="30384"/>
    <s v="BARRIO GRANADA 2  ARMENIA"/>
    <n v="1094896555"/>
    <s v="5680591"/>
    <s v="3103874350"/>
    <s v="3103874350"/>
    <s v=" CR 23 16 16"/>
    <s v="4.53962505"/>
    <s v="-75.67566008"/>
    <s v="QUINDÍO"/>
    <s v="ARMENIA"/>
    <s v="ARMENIA"/>
    <n v="63001"/>
    <s v="2025-09-18"/>
    <n v="1"/>
    <s v="PEREIRA"/>
    <x v="6"/>
    <n v="37313"/>
    <n v="37313"/>
  </r>
  <r>
    <n v="24139"/>
    <s v="BARRIO 2500 LOTES - PEREIRA"/>
    <n v="9869158"/>
    <s v="3208190"/>
    <s v="3218328311"/>
    <s v="3218328311"/>
    <s v=" MZ 5 CA 21 COMUNIDAD LOS LIBERTADORES 2500"/>
    <s v="4.7971472"/>
    <s v="-75.7334040"/>
    <s v="RISARALDA"/>
    <s v="PEREIRA"/>
    <s v="PEREIRA"/>
    <n v="66001"/>
    <s v="2025-09-18"/>
    <n v="1"/>
    <s v="PEREIRA"/>
    <x v="6"/>
    <n v="37313"/>
    <n v="37313"/>
  </r>
  <r>
    <n v="31351"/>
    <s v="BARRIO TRINIDAD 4 MEDELLIN"/>
    <n v="98629286"/>
    <s v="3227173"/>
    <s v="3018520165"/>
    <s v="3018520165"/>
    <s v=" CL 76 91 91 TO 2 AP 106"/>
    <s v="6.2832948"/>
    <s v="-75.5963316"/>
    <s v="ANTIOQUIA"/>
    <s v="MEDELLÍN"/>
    <s v="MEDELLÍN"/>
    <n v="5001"/>
    <s v="2025-09-18"/>
    <n v="1"/>
    <s v="MEDELLIN"/>
    <x v="0"/>
    <n v="37313"/>
    <n v="37313"/>
  </r>
  <r>
    <n v="18485"/>
    <s v="BARRIO YARUMITO ITAGUI"/>
    <n v="43188029"/>
    <s v="5966496"/>
    <s v="3103173156"/>
    <s v="3103173156"/>
    <s v=" CL 29  50 D-42 YARUMITO"/>
    <s v="6.1620989"/>
    <s v="-75.62537944"/>
    <s v="ANTIOQUIA"/>
    <s v="ITAGÜÍ"/>
    <s v="ITAGÜÍ"/>
    <n v="5360"/>
    <s v="2025-09-18"/>
    <n v="1"/>
    <s v="MEDELLIN"/>
    <x v="0"/>
    <n v="37313"/>
    <n v="37313"/>
  </r>
  <r>
    <n v="22756"/>
    <s v="BARRIO CARVAJAL VIII - BOGOTÁ"/>
    <n v="24133218"/>
    <s v="4721988"/>
    <s v="3163568101"/>
    <s v="3163568101"/>
    <s v="AV BOYACA 35 43 SUR"/>
    <s v="4.616024"/>
    <s v="-74.140555"/>
    <s v="CUNDINAMARCA"/>
    <s v="BOGOTÁ"/>
    <s v="BOGOTÁ"/>
    <n v="11001"/>
    <s v="2025-09-18"/>
    <n v="1"/>
    <s v="BOGOTA"/>
    <x v="2"/>
    <n v="37313"/>
    <n v="37313"/>
  </r>
  <r>
    <n v="10319"/>
    <s v="BARRIO SAN JAVIER II"/>
    <n v="71784426"/>
    <s v="2528290"/>
    <s v="3014493800"/>
    <s v="3014493800"/>
    <s v=" CR 104  40-06"/>
    <s v="6.25465882"/>
    <s v="-75.6187975"/>
    <s v="ANTIOQUIA"/>
    <s v="MEDELLÍN"/>
    <s v="MEDELLÍN"/>
    <n v="5001"/>
    <s v="2025-09-18"/>
    <n v="1"/>
    <s v="MEDELLIN"/>
    <x v="0"/>
    <n v="37313"/>
    <n v="37313"/>
  </r>
  <r>
    <n v="10473"/>
    <s v="LOURDES - NORTE DE SANTANDER"/>
    <n v="27748138"/>
    <s v="8408287"/>
    <s v="3112227343"/>
    <s v="3112227343"/>
    <s v="CLL 25 4 75 PORTAL DE LOS ALCA"/>
    <s v="7.8655651"/>
    <s v="-72.481305"/>
    <s v="NORTE DE SANTANDER"/>
    <s v="VILLA DEL ROSARIO"/>
    <s v="VILLA DEL ROSARIO"/>
    <n v="54874"/>
    <s v="2025-09-18"/>
    <n v="1"/>
    <s v="CUCUTA"/>
    <x v="4"/>
    <n v="49671.7"/>
    <n v="49671.7"/>
  </r>
  <r>
    <n v="33042"/>
    <s v="BARRIO HOLGUINES CALI 1"/>
    <n v="1130619169"/>
    <s v="3314585"/>
    <s v="3154132331"/>
    <s v="3154132331"/>
    <s v=" CR 100 11 60 LC 139 140"/>
    <s v="3.3720157"/>
    <s v="-76.5400135"/>
    <s v="VALLE DEL CAUCA"/>
    <s v="CALI"/>
    <s v="SANTIAGO DE CALI"/>
    <n v="76001"/>
    <s v="2025-09-18"/>
    <n v="2"/>
    <s v="CALI"/>
    <x v="3"/>
    <n v="37313"/>
    <n v="74626"/>
  </r>
  <r>
    <n v="32125"/>
    <s v="BARRIO SUBA RINCON 10  BOGOTÁ"/>
    <n v="52392303"/>
    <s v="5367252"/>
    <s v="3142108669"/>
    <s v="3142108669"/>
    <s v=" CL 129 A  93 A 17"/>
    <s v="4.72488713"/>
    <s v="-74.09196085"/>
    <s v="CUNDINAMARCA"/>
    <s v="BOGOTÁ"/>
    <s v="BOGOTÁ"/>
    <n v="11001"/>
    <s v="2025-09-18"/>
    <n v="1"/>
    <s v="BOGOTA"/>
    <x v="2"/>
    <n v="37313"/>
    <n v="37313"/>
  </r>
  <r>
    <n v="14528"/>
    <s v="SAN CARLOS II- SINCELEJO"/>
    <n v="92515950"/>
    <s v="2810900"/>
    <s v="3057214192"/>
    <s v="3057214192"/>
    <s v="carrera 4 #113b 444 P2"/>
    <s v="9.3080160"/>
    <s v="-75.4128329"/>
    <s v="SUCRE"/>
    <s v="SINCELEJO"/>
    <s v="SINCELEJO"/>
    <n v="70001"/>
    <s v="2025-09-18"/>
    <n v="2"/>
    <s v="SINCELEJO"/>
    <x v="5"/>
    <n v="49671.7"/>
    <n v="99343.4"/>
  </r>
  <r>
    <n v="15548"/>
    <s v="BARRIO PRIMERO DE MAYO VALLEDUPAR"/>
    <n v="6656971"/>
    <s v="5727753"/>
    <s v="3157201565"/>
    <s v="3157201565"/>
    <s v=" CR 21  30-03 PRIMERO DE MAYO "/>
    <s v="10.4537233"/>
    <s v="-73.2516093"/>
    <s v="CESAR"/>
    <s v="VALLEDUPAR"/>
    <s v="VALLEDUPAR"/>
    <n v="20001"/>
    <s v="2025-09-18"/>
    <n v="1"/>
    <s v="VALLEDUPAR"/>
    <x v="5"/>
    <n v="49671.7"/>
    <n v="49671.7"/>
  </r>
  <r>
    <n v="28593"/>
    <s v="BARRIO LA INDEPENDENCIA MEDELLIN"/>
    <n v="21603860"/>
    <s v="4927131"/>
    <s v="3108202568"/>
    <s v="3108202568"/>
    <s v=" CR 110 36 21"/>
    <s v="6.24921198"/>
    <s v="-75.62155831"/>
    <s v="ANTIOQUIA"/>
    <s v="MEDELLÍN"/>
    <s v="MEDELLÍN"/>
    <n v="5001"/>
    <s v="2025-09-18"/>
    <n v="1"/>
    <s v="MEDELLIN"/>
    <x v="0"/>
    <n v="37313"/>
    <n v="37313"/>
  </r>
  <r>
    <n v="32960"/>
    <s v="BARRIO CENTRO DUITAMA 2"/>
    <n v="7211995"/>
    <s v="7603468"/>
    <s v="3176552049"/>
    <s v="3217238566"/>
    <s v=" CR 19 15 30"/>
    <s v="5.8250365"/>
    <s v="-73.0324239"/>
    <s v="BOYACÁ"/>
    <s v="DUITAMA"/>
    <s v="DUITAMA"/>
    <n v="15238"/>
    <s v="2025-09-18"/>
    <n v="1"/>
    <s v="TUNJA"/>
    <x v="4"/>
    <n v="49671.7"/>
    <n v="49671.7"/>
  </r>
  <r>
    <n v="26683"/>
    <s v="BARRIO YARUMITO 2 ITAGUI"/>
    <n v="22115716"/>
    <s v="3718824"/>
    <s v="3014615454"/>
    <s v="3014615454"/>
    <s v=" CR 50 A 26 23"/>
    <s v="6.1609514"/>
    <s v="-75.6233245"/>
    <s v="ANTIOQUIA"/>
    <s v="ITAGÜÍ"/>
    <s v="ITAGÜÍ"/>
    <n v="5360"/>
    <s v="2025-09-18"/>
    <n v="1"/>
    <s v="MEDELLIN"/>
    <x v="0"/>
    <n v="37313"/>
    <n v="37313"/>
  </r>
  <r>
    <n v="29402"/>
    <s v="BARRIO ARGENTINA MANIZALES"/>
    <n v="30395210"/>
    <s v="8919373"/>
    <s v="3213225227"/>
    <s v="3213225227"/>
    <s v=" CR 20 51 A 51"/>
    <s v="5.0654583"/>
    <s v="-75.4960385"/>
    <s v="CALDAS"/>
    <s v="MANIZALES"/>
    <s v="MANIZALES"/>
    <n v="17001"/>
    <s v="2025-09-18"/>
    <n v="1"/>
    <s v="MANIZALES"/>
    <x v="6"/>
    <n v="49671.7"/>
    <n v="49671.7"/>
  </r>
  <r>
    <n v="22592"/>
    <s v="BARRIO CORDOBA II - MEDELLÍN"/>
    <n v="43876671"/>
    <s v="4419860"/>
    <s v="3163329365"/>
    <s v="3163329365"/>
    <s v=" CR 68 81 38"/>
    <s v="6.2799211"/>
    <s v="-75.5752903"/>
    <s v="ANTIOQUIA"/>
    <s v="MEDELLÍN"/>
    <s v="MEDELLÍN"/>
    <n v="5001"/>
    <s v="2025-09-18"/>
    <n v="1"/>
    <s v="MEDELLIN"/>
    <x v="0"/>
    <n v="37313"/>
    <n v="37313"/>
  </r>
  <r>
    <n v="30964"/>
    <s v="BARRIO _x0009_CRUZ DE MAYO"/>
    <n v="1100684462"/>
    <s v="6050962"/>
    <s v="3135823422"/>
    <s v="3135823422"/>
    <s v=" CR 17 13 B 48"/>
    <s v="9.3075768"/>
    <s v="-75.3985760"/>
    <s v="SUCRE"/>
    <s v="SINCELEJO"/>
    <s v="SINCELEJO"/>
    <n v="70001"/>
    <s v="2025-09-18"/>
    <n v="1"/>
    <s v="SINCELEJO"/>
    <x v="5"/>
    <n v="49671.7"/>
    <n v="49671.7"/>
  </r>
  <r>
    <n v="35206"/>
    <s v="BARRIO TERRANOVA BELLO"/>
    <n v="70140264"/>
    <s v="2298964"/>
    <s v="3136626838"/>
    <s v="3136626838"/>
    <s v=" DG 55 32 48"/>
    <s v="6.3411680"/>
    <s v="-75.5404619"/>
    <s v="ANTIOQUIA"/>
    <s v="BELLO"/>
    <s v="BELLO"/>
    <n v="5088"/>
    <s v="2025-09-18"/>
    <n v="1"/>
    <s v="MEDELLIN"/>
    <x v="0"/>
    <n v="37313"/>
    <n v="37313"/>
  </r>
  <r>
    <n v="37433"/>
    <s v="BARRIO SAN LUIS SINCELEJO"/>
    <n v="92642297"/>
    <s v="2756788"/>
    <s v="3002244102"/>
    <s v="3002244102"/>
    <s v=" CL 7 15 A 26 SAN LUIS"/>
    <s v="9.3116813888"/>
    <s v="-75.40044305"/>
    <s v="SUCRE"/>
    <s v="SINCELEJO"/>
    <s v="SINCELEJO"/>
    <n v="70001"/>
    <s v="2025-09-18"/>
    <n v="1"/>
    <s v="SINCELEJO"/>
    <x v="5"/>
    <n v="49671.7"/>
    <n v="49671.7"/>
  </r>
  <r>
    <n v="46185"/>
    <s v="BARRIO LA POLA IBAGUE 1"/>
    <n v="14297064"/>
    <m/>
    <s v="3102107052"/>
    <s v="3102107052"/>
    <s v="CR 3 # 8-16,LA POLA"/>
    <s v="4.4457288"/>
    <s v="-75.2437991"/>
    <s v="TOLIMA"/>
    <s v="IBAGUÉ"/>
    <s v="IBAGUÉ"/>
    <n v="73001"/>
    <s v="2025-09-18"/>
    <n v="2"/>
    <s v="IBAGUE"/>
    <x v="1"/>
    <n v="49671.7"/>
    <n v="99343.4"/>
  </r>
  <r>
    <n v="46091"/>
    <s v="BARRIO NIEVES TUNJA"/>
    <n v="1057573452"/>
    <m/>
    <s v="3026243020"/>
    <s v="3105514298"/>
    <s v="CR 10 A 26 100,NIEVES"/>
    <s v="5.53898248"/>
    <s v="-73.36005413"/>
    <s v="BOYACÁ"/>
    <s v="TUNJA"/>
    <s v="TUNJA"/>
    <n v="15001"/>
    <s v="2025-09-18"/>
    <n v="1"/>
    <s v="TUNJA"/>
    <x v="4"/>
    <n v="49671.7"/>
    <n v="49671.7"/>
  </r>
  <r>
    <n v="39753"/>
    <s v="BARRIO MALDONADO TUNJA 3"/>
    <n v="79619263"/>
    <m/>
    <s v="3134949842"/>
    <s v="3134949842"/>
    <s v="TV 11 # 29 -08 BRR MALDONADO"/>
    <s v="5.5431521"/>
    <s v="-73.3588592"/>
    <s v="BOYACÁ"/>
    <s v="TUNJA"/>
    <s v="TUNJA"/>
    <n v="15001"/>
    <s v="2025-09-18"/>
    <n v="1"/>
    <s v="TUNJA"/>
    <x v="4"/>
    <n v="49671.7"/>
    <n v="49671.7"/>
  </r>
  <r>
    <n v="46155"/>
    <s v="BARRIO MESOPOTAMIA TUNJA"/>
    <n v="23280500"/>
    <m/>
    <s v="3123404504"/>
    <s v="3123404504"/>
    <s v="CR 6 36 54 LC 2,MESOPOTAMIA"/>
    <s v="5.54596044"/>
    <s v="-73.35323775"/>
    <s v="BOYACÁ"/>
    <s v="TUNJA"/>
    <s v="TUNJA"/>
    <n v="15001"/>
    <s v="2025-09-18"/>
    <n v="1"/>
    <s v="TUNJA"/>
    <x v="4"/>
    <n v="49671.7"/>
    <n v="49671.7"/>
  </r>
  <r>
    <n v="46193"/>
    <s v="BARRIO SANTA SOFIA BOGOTA 1"/>
    <n v="34972162"/>
    <m/>
    <s v="3006624893"/>
    <s v="3008118976"/>
    <s v="CL 78 28 B 55,SANTA SOFÍA"/>
    <s v="4.6707117"/>
    <s v="-74.0681100"/>
    <s v="CUNDINAMARCA"/>
    <s v="BOGOTÁ"/>
    <s v="BOGOTÁ"/>
    <n v="11001"/>
    <s v="2025-09-18"/>
    <n v="1"/>
    <s v="BOGOTA"/>
    <x v="2"/>
    <n v="37313"/>
    <n v="37313"/>
  </r>
  <r>
    <n v="41293"/>
    <s v="BARRIO PATIOS CENTRO LOS PATIOS 2"/>
    <n v="1093734039"/>
    <s v="5552625"/>
    <s v="3212086973"/>
    <s v="3212086973"/>
    <s v="AV 10 23 26 APTO 1,PATIOS CENTRO"/>
    <s v="7.8337263"/>
    <s v="-72.5097337"/>
    <s v="NORTE DE SANTANDER"/>
    <s v="LOS PATIOS"/>
    <s v="LOS PATIOS"/>
    <n v="54405"/>
    <s v="2025-09-18"/>
    <n v="1"/>
    <s v="CUCUTA"/>
    <x v="4"/>
    <n v="49671.7"/>
    <n v="49671.7"/>
  </r>
  <r>
    <n v="46240"/>
    <s v="BARRIO GRANCOLOMBIA VILLA DEL ROSARIO"/>
    <n v="60412778"/>
    <m/>
    <s v="3203172832"/>
    <s v="3203172832"/>
    <s v="CL 26 A 9-72,GRANCOLOMBIA"/>
    <s v="7.8198198"/>
    <s v="-72.4757660"/>
    <s v="NORTE DE SANTANDER"/>
    <s v="VILLA DEL ROSARIO"/>
    <s v="VILLA DEL ROSARIO"/>
    <n v="54874"/>
    <s v="2025-09-18"/>
    <n v="1"/>
    <s v="CUCUTA"/>
    <x v="4"/>
    <n v="49671.7"/>
    <n v="49671.7"/>
  </r>
  <r>
    <n v="43942"/>
    <s v="BARRIO LA CONCORDIA BUCARAMANGA 7"/>
    <n v="1098666566"/>
    <s v="3185206098"/>
    <s v="3175194189"/>
    <s v="3175194189"/>
    <s v="CR 17 53 101 ,LA CONCORDIA"/>
    <s v="7.1085000"/>
    <s v="-73.1198980"/>
    <s v="SANTANDER"/>
    <s v="BUCARAMANGA"/>
    <s v="BUCARAMANGA"/>
    <n v="68001"/>
    <s v="2025-09-18"/>
    <n v="1"/>
    <s v="BUCARAMANGA"/>
    <x v="4"/>
    <n v="37313"/>
    <n v="37313"/>
  </r>
  <r>
    <n v="48536"/>
    <s v="BARRIO PANORAMA VILLAVICENCIO"/>
    <n v="1121840698"/>
    <s v="0"/>
    <s v="3136317379"/>
    <s v="3136317379"/>
    <s v="CL 48 A N 51 - 03,PANORAMA"/>
    <s v="4.159908"/>
    <s v="-73.654333"/>
    <s v="META"/>
    <s v="VILLAVICENCIO"/>
    <s v="VILLAVICENCIO"/>
    <n v="50001"/>
    <s v="2025-09-18"/>
    <n v="1"/>
    <s v="VILLAVICENCIO"/>
    <x v="1"/>
    <n v="49671.7"/>
    <n v="49671.7"/>
  </r>
  <r>
    <n v="40398"/>
    <s v="BARRIO LA AMERICA MEDELLIN 6"/>
    <n v="900842184"/>
    <s v="2524234"/>
    <s v="3122044672"/>
    <s v="3122044672"/>
    <s v="CL 44 89 85,LA AMERICA"/>
    <s v="6.2521136"/>
    <s v="-75.60742"/>
    <s v="ANTIOQUIA"/>
    <s v="MEDELLÍN"/>
    <s v="MEDELLÍN"/>
    <n v="5001"/>
    <s v="2025-09-18"/>
    <n v="1"/>
    <s v="MEDELLIN"/>
    <x v="0"/>
    <n v="37313"/>
    <n v="37313"/>
  </r>
  <r>
    <n v="37990"/>
    <s v="BARRIO MEJORAS PUBLICAS BUCARAMANGA 2"/>
    <n v="91249291"/>
    <m/>
    <s v="3013049063"/>
    <s v="3013049063"/>
    <s v=" CR 33 33 58 LC 2 MEJORAS PUBLICS"/>
    <s v="7.125941111"/>
    <s v="-73.11279916"/>
    <s v="SANTANDER"/>
    <s v="BUCARAMANGA"/>
    <s v="BUCARAMANGA"/>
    <n v="68001"/>
    <s v="2025-09-18"/>
    <n v="1"/>
    <s v="BUCARAMANGA"/>
    <x v="4"/>
    <n v="37313"/>
    <n v="37313"/>
  </r>
  <r>
    <n v="43022"/>
    <s v="BARRIO DOÑA EVA TUNJA"/>
    <n v="40046088"/>
    <m/>
    <s v="3223369242"/>
    <s v="3223369242"/>
    <s v="CL 5 4 C 08,DOÑA EVA"/>
    <s v="5.517"/>
    <s v="-73.362"/>
    <s v="BOYACÁ"/>
    <s v="TUNJA"/>
    <s v="TUNJA"/>
    <n v="15001"/>
    <s v="2025-09-18"/>
    <n v="1"/>
    <s v="TUNJA"/>
    <x v="4"/>
    <n v="49671.7"/>
    <n v="49671.7"/>
  </r>
  <r>
    <n v="41908"/>
    <s v="BARRIO LA NUEVA FLORESTA VILLAVICENCIO"/>
    <n v="79897333"/>
    <s v="3105619668"/>
    <s v="3105858369"/>
    <s v="3105619668"/>
    <s v="CL 12 A 17 62,LA NUEVA FLORESTA"/>
    <s v="4.133558"/>
    <s v="-73.619470"/>
    <s v="META"/>
    <s v="VILLAVICENCIO"/>
    <s v="VILLAVICENCIO"/>
    <n v="50001"/>
    <s v="2025-09-18"/>
    <n v="1"/>
    <s v="VILLAVICENCIO"/>
    <x v="1"/>
    <n v="49671.7"/>
    <n v="49671.7"/>
  </r>
  <r>
    <n v="50982"/>
    <s v="BARRIO CENTRO RIVERA 5"/>
    <n v="63514414"/>
    <s v="3214061850"/>
    <s v="3214061850"/>
    <s v="3214061850"/>
    <s v="CL 4 8 65,CENTRO"/>
    <s v="2.7786011"/>
    <s v="-75.2588897"/>
    <s v="HUILA"/>
    <s v="RIVERA"/>
    <s v="RIVERA"/>
    <n v="41615"/>
    <s v="2025-09-18"/>
    <n v="1"/>
    <s v="NEIVA"/>
    <x v="1"/>
    <n v="49671.7"/>
    <n v="49671.7"/>
  </r>
  <r>
    <n v="45975"/>
    <s v="BARRIO LA INDEPENDENCIA ITAGUI"/>
    <n v="98536312"/>
    <s v="3218169173"/>
    <s v="3218169173"/>
    <s v="3122362987"/>
    <s v="CALLE 37 AA 40 29,LA INDEPENDENCIA"/>
    <s v="6.1671668"/>
    <s v="-75.6148928"/>
    <s v="ANTIOQUIA"/>
    <s v="ITAGÜÍ"/>
    <s v="ITAGÜÍ"/>
    <n v="5360"/>
    <s v="2025-09-18"/>
    <n v="1"/>
    <s v="MEDELLIN"/>
    <x v="0"/>
    <n v="37313"/>
    <n v="37313"/>
  </r>
  <r>
    <n v="49064"/>
    <s v="BARRIO MALPASO VIA PORVENIR BUCARAMANGA"/>
    <n v="63270636"/>
    <s v="3002383682"/>
    <s v="3152099294"/>
    <s v="3152099294"/>
    <s v="Calle 104E 11 69"/>
    <s v="7.0813866"/>
    <s v="-73.1250149"/>
    <s v="SANTANDER"/>
    <s v="BUCARAMANGA"/>
    <s v="BUCARAMANGA"/>
    <n v="68001"/>
    <s v="2025-09-18"/>
    <n v="1"/>
    <s v="BUCARAMANGA"/>
    <x v="4"/>
    <n v="37313"/>
    <n v="37313"/>
  </r>
  <r>
    <n v="38175"/>
    <s v="BARRIO ALCAZARES BOGOTA"/>
    <n v="51883589"/>
    <m/>
    <s v="3172943920"/>
    <s v="3172943920"/>
    <s v=" CR 27 75 A 29 ALC AZAEES"/>
    <s v="4.6672999"/>
    <s v="-74.0661865"/>
    <s v="CUNDINAMARCA"/>
    <s v="BOGOTÁ"/>
    <s v="BOGOTÁ"/>
    <n v="11001"/>
    <s v="2025-09-18"/>
    <n v="1"/>
    <s v="BOGOTA"/>
    <x v="2"/>
    <n v="37313"/>
    <n v="37313"/>
  </r>
  <r>
    <n v="50199"/>
    <s v="BARRIO BUENOS AIRES IBAGUE"/>
    <n v="901212814"/>
    <s v="0"/>
    <s v="3102908929"/>
    <s v="3132772536"/>
    <s v="KM 22 VIA IBAGUE-ESPINAL CRUCE BUENOS AIRES"/>
    <s v="4.3319489"/>
    <s v="-75.0836796"/>
    <s v="TOLIMA"/>
    <s v="IBAGUÉ"/>
    <s v="IBAGUÉ"/>
    <n v="73001"/>
    <s v="2025-09-18"/>
    <n v="1"/>
    <s v="IBAGUE"/>
    <x v="1"/>
    <n v="49671.7"/>
    <n v="49671.7"/>
  </r>
  <r>
    <n v="52215"/>
    <s v="BARRIO NIQUIA BELLO 8"/>
    <n v="22186943"/>
    <s v="4531350"/>
    <s v="3146969853"/>
    <s v="3146969853"/>
    <s v="AV 33 56 42 INT 112,NIQUIA"/>
    <s v="6.3421713"/>
    <s v="-75.5409315"/>
    <s v="ANTIOQUIA"/>
    <s v="BELLO"/>
    <s v="BELLO"/>
    <n v="5088"/>
    <s v="2025-09-18"/>
    <n v="1"/>
    <s v="MEDELLIN"/>
    <x v="0"/>
    <n v="37313"/>
    <n v="37313"/>
  </r>
  <r>
    <n v="40569"/>
    <s v="BARRIO LA BUITRERA EL PORTENTO CALI"/>
    <n v="1144043808"/>
    <s v="3259971"/>
    <s v="3163666870"/>
    <s v="3008533242"/>
    <s v="KM 4 LA BUITRERA EL PORTENTO"/>
    <s v="3.3689582"/>
    <s v="-76.5624927"/>
    <s v="VALLE DEL CAUCA"/>
    <s v="CALI"/>
    <s v="SANTIAGO DE CALI"/>
    <n v="76001"/>
    <s v="2025-09-18"/>
    <n v="1"/>
    <s v="CALI"/>
    <x v="3"/>
    <n v="37313"/>
    <n v="37313"/>
  </r>
  <r>
    <n v="49096"/>
    <s v="BARRIO SAN IGNACIO VILLAVICENCIO"/>
    <n v="40370735"/>
    <s v="3125165934"/>
    <s v="3125615934"/>
    <s v="3125615934"/>
    <s v="CL 12 N 15 A 82,SAN IGNACIO"/>
    <s v="4.132900"/>
    <s v="-73.617670"/>
    <s v="META"/>
    <s v="VILLAVICENCIO"/>
    <s v="VILLAVICENCIO"/>
    <n v="50001"/>
    <s v="2025-09-18"/>
    <n v="1"/>
    <s v="VILLAVICENCIO"/>
    <x v="1"/>
    <n v="49671.7"/>
    <n v="49671.7"/>
  </r>
  <r>
    <n v="51552"/>
    <s v="BARRIO POLICARPA BOGOTA 3"/>
    <n v="1013582905"/>
    <s v="0"/>
    <s v="3043683095"/>
    <s v="3043683095"/>
    <s v="CR 10 BIS 3- 25"/>
    <s v="4.5865233"/>
    <s v="-74.0877767"/>
    <s v="CUNDINAMARCA"/>
    <s v="BOGOTÁ"/>
    <s v="BOGOTÁ"/>
    <n v="11001"/>
    <s v="2025-09-18"/>
    <n v="1"/>
    <s v="BOGOTA"/>
    <x v="2"/>
    <n v="37313"/>
    <n v="37313"/>
  </r>
  <r>
    <n v="51459"/>
    <s v="BARRIO MANANTIAL SOLEDAD 4"/>
    <n v="22606850"/>
    <s v="3014392968"/>
    <s v="3014392968"/>
    <s v="3014392968"/>
    <s v="CR 12 D 68 36,MANANTIAL"/>
    <s v="10.9048847"/>
    <s v="-74.8071534"/>
    <s v="ATLÁNTICO"/>
    <s v="SOLEDAD"/>
    <s v="SOLEDAD"/>
    <n v="8758"/>
    <s v="2025-09-18"/>
    <n v="1"/>
    <s v="BARRANQUILLA"/>
    <x v="5"/>
    <n v="37313"/>
    <n v="37313"/>
  </r>
  <r>
    <n v="53159"/>
    <s v="BARRIO ROBLEDO VILLA FLORA MEDELLIN 2"/>
    <n v="1042706936"/>
    <s v="0"/>
    <s v="3218171194"/>
    <s v="3234716630"/>
    <s v="CL 76 F 83 B 6,"/>
    <s v="6.2803107"/>
    <s v="-75.5907159"/>
    <s v="ANTIOQUIA"/>
    <s v="MEDELLÍN"/>
    <s v="MEDELLÍN"/>
    <n v="5001"/>
    <s v="2025-09-18"/>
    <n v="1"/>
    <s v="MEDELLIN"/>
    <x v="0"/>
    <n v="37313"/>
    <n v="37313"/>
  </r>
  <r>
    <n v="47798"/>
    <s v="BARRIO ROSALES VILLAVICENCIO"/>
    <n v="43701845"/>
    <s v="0"/>
    <s v="3131349092"/>
    <s v="3133490932"/>
    <s v="CRA 16 20 12 Barrio el remanso"/>
    <s v="4.1380868"/>
    <s v="-73.6177681"/>
    <s v="META"/>
    <s v="VILLAVICENCIO"/>
    <s v="VILLAVICENCIO"/>
    <n v="50001"/>
    <s v="2025-09-18"/>
    <n v="1"/>
    <s v="VILLAVICENCIO"/>
    <x v="1"/>
    <n v="49671.7"/>
    <n v="49671.7"/>
  </r>
  <r>
    <n v="50779"/>
    <s v="BARRIO INGENIO CALI 1"/>
    <n v="900688150"/>
    <s v="4864603"/>
    <s v="3117266363"/>
    <s v="3117266363"/>
    <s v="CL 25 85 A 06,INGENIO"/>
    <s v="3.381517"/>
    <s v="-76.525412"/>
    <s v="VALLE DEL CAUCA"/>
    <s v="CALI"/>
    <s v="SANTIAGO DE CALI"/>
    <n v="76001"/>
    <s v="2025-09-18"/>
    <n v="1"/>
    <s v="CALI"/>
    <x v="3"/>
    <n v="37313"/>
    <n v="37313"/>
  </r>
  <r>
    <n v="53474"/>
    <s v="BARRIO SAN FERNANDO VALLEDUPAR 1"/>
    <n v="60308685"/>
    <s v="3184295903"/>
    <s v="3184295903"/>
    <s v="3184295903"/>
    <s v="CL 45 5B 6 AP 3,SAN FERNANDO"/>
    <s v="10.4466103"/>
    <s v="-73.2383883"/>
    <s v="CESAR"/>
    <s v="VALLEDUPAR"/>
    <s v="VALLEDUPAR"/>
    <n v="20001"/>
    <s v="2025-09-18"/>
    <n v="1"/>
    <s v="VALLEDUPAR"/>
    <x v="5"/>
    <n v="49671.7"/>
    <n v="49671.7"/>
  </r>
  <r>
    <n v="55163"/>
    <s v="BARRIO LA PEDREGOSA BUCARAMANGA 1"/>
    <n v="63518518"/>
    <s v="3138133020"/>
    <s v="3138133020"/>
    <s v="3138133020"/>
    <s v="CR 33 95 05,LA PEDREGOSA"/>
    <s v="7.0961321"/>
    <s v="-73.1901422"/>
    <s v="SANTANDER"/>
    <s v="BUCARAMANGA"/>
    <s v="BUCARAMANGA"/>
    <n v="68001"/>
    <s v="2025-09-18"/>
    <n v="1"/>
    <s v="BUCARAMANGA"/>
    <x v="4"/>
    <n v="37313"/>
    <n v="37313"/>
  </r>
  <r>
    <n v="55029"/>
    <s v="BARRIO DOÑA EVA TUNJA 1"/>
    <n v="1094896953"/>
    <s v="3045505726"/>
    <s v="3045505726"/>
    <s v="3045505726"/>
    <s v="CR 4 E 4 A 22"/>
    <s v="5.516"/>
    <s v="-73.362"/>
    <s v="BOYACÁ"/>
    <s v="TUNJA"/>
    <s v="TUNJA"/>
    <n v="15001"/>
    <s v="2025-09-18"/>
    <n v="1"/>
    <s v="TUNJA"/>
    <x v="4"/>
    <n v="49671.7"/>
    <n v="49671.7"/>
  </r>
  <r>
    <n v="54666"/>
    <s v="BARRIO SECTOR TERMINAL DEL NORTE MEDELLIN"/>
    <n v="71226525"/>
    <s v="0"/>
    <s v="3229455713"/>
    <s v="3229455713"/>
    <s v="CR 64 A 78 53,SEC TER DEL NORTE"/>
    <s v="6.2766375"/>
    <s v="-75.5711861"/>
    <s v="ANTIOQUIA"/>
    <s v="MEDELLÍN"/>
    <s v="MEDELLÍN"/>
    <n v="5001"/>
    <s v="2025-09-18"/>
    <n v="1"/>
    <s v="MEDELLIN"/>
    <x v="0"/>
    <n v="37313"/>
    <n v="37313"/>
  </r>
  <r>
    <n v="56423"/>
    <s v="BARRIO URB VILLA BETANIA LOS PATIOS"/>
    <n v="60444767"/>
    <s v="0"/>
    <s v="3143402499"/>
    <s v="3143402499"/>
    <s v="CL 15 BS 9-20,URB VILLA BETANIA"/>
    <s v="7.800811239238244"/>
    <s v="-72.51972409134085"/>
    <s v="NORTE DE SANTANDER"/>
    <s v="LOS PATIOS"/>
    <s v="LOS PATIOS"/>
    <n v="54405"/>
    <s v="2025-09-18"/>
    <n v="1"/>
    <s v="CUCUTA"/>
    <x v="4"/>
    <n v="49671.7"/>
    <n v="49671.7"/>
  </r>
  <r>
    <n v="57630"/>
    <s v="BARRIO SUBA LOS NARANJOS BOGOTA"/>
    <n v="1233909088"/>
    <s v="3212086846"/>
    <s v="3147738206"/>
    <s v="3212086846"/>
    <s v="CR 87 D 129 F 38"/>
    <s v="4.72528786"/>
    <s v="-74.08625027"/>
    <s v="CUNDINAMARCA"/>
    <s v="BOGOTÁ"/>
    <s v="BOGOTÁ"/>
    <n v="11001"/>
    <s v="2025-09-18"/>
    <n v="1"/>
    <s v="BOGOTA"/>
    <x v="2"/>
    <n v="37313"/>
    <n v="37313"/>
  </r>
  <r>
    <n v="59356"/>
    <s v="BARRIO EL LIBERTADOR TUNJA 2"/>
    <n v="33375190"/>
    <s v="3112819906"/>
    <s v="3112819906"/>
    <s v="3112819906"/>
    <s v="CL 7 A 15 25,EL LIBERTADOR"/>
    <s v="5.522"/>
    <s v="-73.370"/>
    <s v="BOYACÁ"/>
    <s v="TUNJA"/>
    <s v="TUNJA"/>
    <n v="15001"/>
    <s v="2025-09-18"/>
    <n v="1"/>
    <s v="TUNJA"/>
    <x v="4"/>
    <n v="49671.7"/>
    <n v="49671.7"/>
  </r>
  <r>
    <n v="57820"/>
    <s v="BARRIO CARVAJAL BOGOTA 11"/>
    <n v="1024553986"/>
    <s v="3057792568"/>
    <s v="3003671403"/>
    <s v="3057792568"/>
    <s v="CR 70 B 31-49 SUR LC 01"/>
    <s v="4.615175"/>
    <s v="-74.137925"/>
    <s v="CUNDINAMARCA"/>
    <s v="BOGOTÁ"/>
    <s v="BOGOTÁ"/>
    <n v="11001"/>
    <s v="2025-09-18"/>
    <n v="1"/>
    <s v="BOGOTA"/>
    <x v="2"/>
    <n v="37313"/>
    <n v="37313"/>
  </r>
  <r>
    <n v="58476"/>
    <s v="BARRIO VEINTE DE JULIO SAN JAVIER MEDELLIN"/>
    <n v="43848193"/>
    <s v="0"/>
    <s v="3122039105"/>
    <s v="3122039105"/>
    <s v="CRA 110 38 07"/>
    <s v="6.250230312"/>
    <s v="-75.62184906"/>
    <s v="ANTIOQUIA"/>
    <s v="MEDELLÍN"/>
    <s v="MEDELLÍN"/>
    <n v="5001"/>
    <s v="2025-09-18"/>
    <n v="1"/>
    <s v="MEDELLIN"/>
    <x v="0"/>
    <n v="37313"/>
    <n v="37313"/>
  </r>
  <r>
    <n v="58335"/>
    <s v="BARRIO ALTOS DELICIA SANTA MARTA"/>
    <n v="57447060"/>
    <s v="0"/>
    <s v="3008195604"/>
    <s v="3008195604"/>
    <s v="CR 33 A 7-06,BRR ALTO DELICIA"/>
    <s v="11.248358"/>
    <s v="-74.177182"/>
    <s v="MAGDALENA"/>
    <s v="SANTA MARTA"/>
    <s v="SANTA MARTA"/>
    <n v="47001"/>
    <s v="2025-09-18"/>
    <n v="1"/>
    <s v="SANTA MARTA"/>
    <x v="5"/>
    <n v="49671.7"/>
    <n v="49671.7"/>
  </r>
  <r>
    <n v="58294"/>
    <s v="BARRIO NIQUIA BELLO 11"/>
    <n v="901365192"/>
    <s v="3077209"/>
    <s v="3142968296"/>
    <s v="3142968296"/>
    <s v="AV 31 DIAGONAL 66 85 LOCAL 11"/>
    <s v="6.34787722"/>
    <s v="-75.53895861"/>
    <s v="ANTIOQUIA"/>
    <s v="BELLO"/>
    <s v="BELLO"/>
    <n v="5088"/>
    <s v="2025-09-18"/>
    <n v="1"/>
    <s v="MEDELLIN"/>
    <x v="0"/>
    <n v="37313"/>
    <n v="37313"/>
  </r>
  <r>
    <n v="58647"/>
    <s v="BARRIO MANANTIAL SOLEDAD 6"/>
    <n v="1045760622"/>
    <s v="3173736060"/>
    <s v="3002747737"/>
    <s v="3002747737"/>
    <s v="Cra 12 G1 Nro 70 111 Local 2"/>
    <s v="10.9066075"/>
    <s v="-74.8093230"/>
    <s v="ATLÁNTICO"/>
    <s v="SOLEDAD"/>
    <s v="SOLEDAD"/>
    <n v="8758"/>
    <s v="2025-09-18"/>
    <n v="2"/>
    <s v="BARRANQUILLA"/>
    <x v="5"/>
    <n v="37313"/>
    <n v="74626"/>
  </r>
  <r>
    <n v="55873"/>
    <s v="BARRIO ESMERALDA VILLAVICENCIO"/>
    <n v="1121880226"/>
    <s v="3005514233"/>
    <s v="3133641558"/>
    <s v="3133641558"/>
    <s v="CL 44 # 38 - 08 LC 1 - ESMERALDA "/>
    <s v="4.1593551"/>
    <s v="-73.6465125"/>
    <s v="META"/>
    <s v="VILLAVICENCIO"/>
    <s v="VILLAVICENCIO"/>
    <n v="50001"/>
    <s v="2025-09-18"/>
    <n v="2"/>
    <s v="VILLAVICENCIO"/>
    <x v="1"/>
    <n v="49671.7"/>
    <n v="99343.4"/>
  </r>
  <r>
    <n v="60355"/>
    <s v="BARRIO EL CENTRO VILLA DEL ROSARIO 5"/>
    <n v="1090501430"/>
    <s v="0"/>
    <s v="3118802314"/>
    <s v="3118802314"/>
    <s v="CL 6 6-42 BR EL CENTRO"/>
    <s v="7.8437879"/>
    <s v="-72.4696897"/>
    <s v="NORTE DE SANTANDER"/>
    <s v="VILLA DEL ROSARIO"/>
    <s v="VILLA DEL ROSARIO"/>
    <n v="54874"/>
    <s v="2025-09-18"/>
    <n v="1"/>
    <s v="CUCUTA"/>
    <x v="4"/>
    <n v="49671.7"/>
    <n v="49671.7"/>
  </r>
  <r>
    <n v="61509"/>
    <s v="BARRIO CHUCHURUBI MONTERIA 3"/>
    <n v="900814166"/>
    <s v="3136981190"/>
    <s v="3145068745"/>
    <s v="3136981190"/>
    <s v="CR 4 26 89,CHUCHURUBI"/>
    <s v="8.754782"/>
    <s v="-75.886479"/>
    <s v="CÓRDOBA"/>
    <s v="MONTERÍA"/>
    <s v="MONTERÍA"/>
    <n v="23001"/>
    <s v="2025-09-18"/>
    <n v="1"/>
    <s v="MONTERIA"/>
    <x v="5"/>
    <n v="37313"/>
    <n v="37313"/>
  </r>
  <r>
    <n v="59750"/>
    <s v="BARRIO RINCON DE SUBA BOGOTA"/>
    <n v="80208827"/>
    <s v="3134116953"/>
    <s v="3245060671"/>
    <s v="3245060671"/>
    <s v="CR 91 NO. 129 10,RINCON DE SUBA"/>
    <s v="4.7237754"/>
    <s v="-74.0892836"/>
    <s v="CUNDINAMARCA"/>
    <s v="BOGOTÁ"/>
    <s v="BOGOTÁ"/>
    <n v="11001"/>
    <s v="2025-09-18"/>
    <n v="1"/>
    <s v="BOGOTA"/>
    <x v="2"/>
    <n v="37313"/>
    <n v="37313"/>
  </r>
  <r>
    <n v="60822"/>
    <s v="BARRIO CHUCHURUBI MONTERIA 2"/>
    <n v="39023235"/>
    <s v="3113973330"/>
    <s v="3113973330"/>
    <s v="3113973330"/>
    <s v="CL 27 1 32,CHICHURUBI"/>
    <s v="8.755977"/>
    <s v="-75.887887"/>
    <s v="CÓRDOBA"/>
    <s v="MONTERÍA"/>
    <s v="MONTERÍA"/>
    <n v="23001"/>
    <s v="2025-09-18"/>
    <n v="1"/>
    <s v="MONTERIA"/>
    <x v="5"/>
    <n v="37313"/>
    <n v="37313"/>
  </r>
  <r>
    <n v="55937"/>
    <s v="BARRIO VILLA ELISA PEREIRA"/>
    <n v="31421244"/>
    <s v="3122620084"/>
    <s v="3122620084"/>
    <s v="3122620084"/>
    <s v="MZ 8 CA 170 BRR VILLA ELISA"/>
    <s v="4.8004370"/>
    <s v="-75.7312984"/>
    <s v="RISARALDA"/>
    <s v="PEREIRA"/>
    <s v="PEREIRA"/>
    <n v="66001"/>
    <s v="2025-09-18"/>
    <n v="1"/>
    <s v="PEREIRA"/>
    <x v="6"/>
    <n v="37313"/>
    <n v="37313"/>
  </r>
  <r>
    <n v="60237"/>
    <s v="BARRIO LUIS CARLOS GALAN CARTAGENA DE INDIAS"/>
    <n v="1047427498"/>
    <s v="3137205669"/>
    <s v="3137205669"/>
    <s v="3137205669"/>
    <s v="MZ A LT 20,BRR LUIS CARLOS GALAN"/>
    <s v="10.37547888"/>
    <s v="-75.4930975"/>
    <s v="BOLÍVAR"/>
    <s v="CARTAGENA DE INDIAS"/>
    <s v="CARTAGENA DE INDIAS"/>
    <n v="13001"/>
    <s v="2025-09-18"/>
    <n v="1"/>
    <s v="CARTAGENA"/>
    <x v="5"/>
    <n v="49671.7"/>
    <n v="49671.7"/>
  </r>
  <r>
    <n v="62250"/>
    <s v="BARRIO DOCE DE OCTUBRE MEDELLIN 3"/>
    <n v="32542089"/>
    <s v="6044254375"/>
    <s v="3106533356"/>
    <s v="3106533356"/>
    <s v="CL 98 A 80 39,DOCE DE OCTUBRE"/>
    <s v="6.2973719444"/>
    <s v="-75.58090500"/>
    <s v="ANTIOQUIA"/>
    <s v="MEDELLÍN"/>
    <s v="MEDELLÍN"/>
    <n v="5001"/>
    <s v="2025-09-18"/>
    <n v="1"/>
    <s v="MEDELLIN"/>
    <x v="0"/>
    <n v="37313"/>
    <n v="37313"/>
  </r>
  <r>
    <n v="62599"/>
    <s v="BARRIO EL DORADO MONTERIA 5"/>
    <n v="7369034"/>
    <s v="3175051137"/>
    <s v="3175051137"/>
    <s v="3175051137"/>
    <s v="CR 9 W 27 55 LC 1 Y 2,EL DORADO"/>
    <s v="8.7612773"/>
    <s v="-75.8949814"/>
    <s v="CÓRDOBA"/>
    <s v="MONTERÍA"/>
    <s v="MONTERÍA"/>
    <n v="23001"/>
    <s v="2025-09-18"/>
    <n v="1"/>
    <s v="MONTERIA"/>
    <x v="5"/>
    <n v="37313"/>
    <n v="37313"/>
  </r>
  <r>
    <n v="62449"/>
    <s v="BARRIO SAN MARTIN VALLEDUPAR 4"/>
    <n v="1065823443"/>
    <s v="3505479375"/>
    <s v="3042473381"/>
    <s v="3042473381"/>
    <s v="CL 36 20 03,SAN MARTIN"/>
    <s v="10.45037529"/>
    <s v="-73.24889519"/>
    <s v="CESAR"/>
    <s v="VALLEDUPAR"/>
    <s v="VALLEDUPAR"/>
    <n v="20001"/>
    <s v="2025-09-18"/>
    <n v="1"/>
    <s v="VALLEDUPAR"/>
    <x v="5"/>
    <n v="49671.7"/>
    <n v="49671.7"/>
  </r>
  <r>
    <n v="67057"/>
    <s v="BARRIO LIMONAR ARMENIA"/>
    <n v="41956599"/>
    <s v="0"/>
    <s v="3155550945"/>
    <s v="3155550945"/>
    <s v="BRR LIMONAR ET 1 MZ 3 CA 1,LIMONAR"/>
    <s v="4.549533"/>
    <s v="-75.678205 "/>
    <s v="QUINDÍO"/>
    <s v="ARMENIA"/>
    <s v="ARMENIA"/>
    <n v="63001"/>
    <s v="2025-09-18"/>
    <n v="1"/>
    <s v="PEREIRA"/>
    <x v="6"/>
    <n v="37313"/>
    <n v="37313"/>
  </r>
  <r>
    <n v="46207"/>
    <s v="BARRIO BELALCAZAR MEDELLIN"/>
    <n v="1128384396"/>
    <m/>
    <s v="3117086094"/>
    <s v="3117086094"/>
    <s v="CL 103 64 04,BELALCAZAR"/>
    <s v="6.2965584"/>
    <s v="-75.5656151"/>
    <s v="ANTIOQUIA"/>
    <s v="MEDELLÍN"/>
    <s v="MEDELLÍN"/>
    <n v="5001"/>
    <s v="2025-09-18"/>
    <n v="1"/>
    <s v="MEDELLIN"/>
    <x v="0"/>
    <n v="37313"/>
    <n v="37313"/>
  </r>
  <r>
    <n v="47372"/>
    <s v="BARRIO 20 DE JULIO CARTAGENA DE INDIAS"/>
    <n v="33109943"/>
    <s v="0"/>
    <s v="3142818377"/>
    <s v="3142818377"/>
    <s v="cr58 mz 3 - lote 8 barrio 20 de julio"/>
    <s v="10.3747906"/>
    <s v="-75.5002497"/>
    <s v="BOLÍVAR"/>
    <s v="CARTAGENA DE INDIAS"/>
    <s v="CARTAGENA DE INDIAS"/>
    <n v="13001"/>
    <s v="2025-09-18"/>
    <n v="2"/>
    <s v="CARTAGENA"/>
    <x v="5"/>
    <n v="49671.7"/>
    <n v="99343.4"/>
  </r>
  <r>
    <n v="47562"/>
    <s v="BARRIO VEREDA BARCELONA VILLAVICENCIO 1"/>
    <n v="40341914"/>
    <s v="0"/>
    <s v="3125121370"/>
    <s v="3125121370"/>
    <s v="CR 2 NRO. 8 - 709 VEREDA BARCELONA,VEREDA BARCELONA"/>
    <s v="4.077026"/>
    <s v="-73.583362"/>
    <s v="META"/>
    <s v="VILLAVICENCIO"/>
    <s v="VILLAVICENCIO"/>
    <n v="50001"/>
    <s v="2025-09-18"/>
    <n v="1"/>
    <s v="VILLAVICENCIO"/>
    <x v="1"/>
    <n v="49671.7"/>
    <n v="49671.7"/>
  </r>
  <r>
    <n v="50324"/>
    <s v="BARRIO COLOMBIA DUITAMA 1"/>
    <n v="24182637"/>
    <s v="3204155592"/>
    <s v="3204155592"/>
    <s v="3204155592"/>
    <s v="CL 14 NO.8-00,COLOMBIA"/>
    <s v="5.8334803"/>
    <s v="-73.0383883"/>
    <s v="BOYACÁ"/>
    <s v="DUITAMA"/>
    <s v="DUITAMA"/>
    <n v="15238"/>
    <s v="2025-09-18"/>
    <n v="1"/>
    <s v="TUNJA"/>
    <x v="4"/>
    <n v="49671.7"/>
    <n v="49671.7"/>
  </r>
  <r>
    <n v="50918"/>
    <s v="BARRIO LA ULLOA RIVERA"/>
    <n v="7705582"/>
    <s v="0"/>
    <s v="3114422505"/>
    <s v="3114422505"/>
    <s v="CR 1 A 8 B 03,LA ULLOA"/>
    <s v="2.8096960"/>
    <s v="-75.2265787"/>
    <s v="HUILA"/>
    <s v="RIVERA"/>
    <s v="RIVERA"/>
    <n v="41615"/>
    <s v="2025-09-18"/>
    <n v="1"/>
    <s v="NEIVA"/>
    <x v="1"/>
    <n v="49671.7"/>
    <n v="49671.7"/>
  </r>
  <r>
    <n v="65608"/>
    <s v="BARRIO LA ROSITA 3 VILLAVICENCIO"/>
    <n v="1121853727"/>
    <s v="3165334836"/>
    <s v="3165334836"/>
    <s v="3165334836"/>
    <s v="CL 12 SUR N. 29 A 18 LOC 1 ROSITA 3"/>
    <s v="4.112215"/>
    <s v="-73.614226"/>
    <s v="META"/>
    <s v="VILLAVICENCIO"/>
    <s v="VILLAVICENCIO"/>
    <n v="50001"/>
    <s v="2025-09-18"/>
    <n v="1"/>
    <s v="VILLAVICENCIO"/>
    <x v="1"/>
    <n v="49671.7"/>
    <n v="49671.7"/>
  </r>
  <r>
    <n v="69741"/>
    <s v="BARRIO CARVAJAL BOGOTA  14"/>
    <n v="28358073"/>
    <s v="3114834269"/>
    <s v="3114834269"/>
    <s v="3114834269"/>
    <s v="AV PRIMERA DE MAYO 69 B 61,CARVAJAL"/>
    <s v="4.6145941"/>
    <s v="-74.1361533"/>
    <s v="CUNDINAMARCA"/>
    <s v="BOGOTÁ"/>
    <s v="BOGOTÁ"/>
    <n v="11001"/>
    <s v="2025-09-18"/>
    <n v="1"/>
    <s v="BOGOTA"/>
    <x v="2"/>
    <n v="37313"/>
    <n v="37313"/>
  </r>
  <r>
    <n v="70222"/>
    <s v="BARRIO PRIMERO DE MAYO VALLEDUPAR 4"/>
    <n v="1065610105"/>
    <s v="3002496802"/>
    <s v="3016932426"/>
    <s v="3017607035"/>
    <s v="CR 23 22C 48,PRIMERO DE MAYO"/>
    <s v="10.45702365"/>
    <s v="-73.25591564"/>
    <s v="CESAR"/>
    <s v="VALLEDUPAR"/>
    <s v="VALLEDUPAR"/>
    <n v="20001"/>
    <s v="2025-09-18"/>
    <n v="1"/>
    <s v="VALLEDUPAR"/>
    <x v="5"/>
    <n v="49671.7"/>
    <n v="49671.7"/>
  </r>
  <r>
    <n v="65889"/>
    <s v="BARRIO ZONA RURAL VILLAVICENCIO 9"/>
    <n v="1121852822"/>
    <s v="3138316283"/>
    <s v="3102855797"/>
    <s v="3102855797"/>
    <s v="KM 4 VIA PUERTO LÓPEZ CUARTA DIVISIÓN,ZONA RURAL"/>
    <s v="4.0844345"/>
    <s v="-73.5666295"/>
    <s v="META"/>
    <s v="VILLAVICENCIO"/>
    <s v="VILLAVICENCIO"/>
    <n v="50001"/>
    <s v="2025-09-18"/>
    <n v="1"/>
    <s v="VILLAVICENCIO"/>
    <x v="1"/>
    <n v="49671.7"/>
    <n v="49671.7"/>
  </r>
  <r>
    <n v="69566"/>
    <s v="BARRIO CENTRO MONTERIA  49"/>
    <n v="64568022"/>
    <s v="3145550607"/>
    <s v="3145550607"/>
    <s v="3145550607"/>
    <s v="CR 8 24 05,CENTRO"/>
    <s v="8.7516791"/>
    <s v="-75.8848962"/>
    <s v="CÓRDOBA"/>
    <s v="MONTERÍA"/>
    <s v="MONTERÍA"/>
    <n v="23001"/>
    <s v="2025-09-18"/>
    <n v="1"/>
    <s v="MONTERIA"/>
    <x v="5"/>
    <n v="37313"/>
    <n v="37313"/>
  </r>
  <r>
    <n v="71504"/>
    <s v="BARRIO LA FLORESTASECTOR LA PRADERA"/>
    <n v="1041328164"/>
    <s v="0"/>
    <s v="3206063658"/>
    <s v="3206063658"/>
    <s v="CALLE 49 AA N. 96 C 04,LA FLORESTA SECTOR LA PRADERA"/>
    <s v="6.263070305"/>
    <s v="-75.6099539"/>
    <s v="ANTIOQUIA"/>
    <s v="MEDELLÍN"/>
    <s v="MEDELLÍN"/>
    <n v="5001"/>
    <s v="2025-09-18"/>
    <n v="1"/>
    <s v="MEDELLIN"/>
    <x v="0"/>
    <n v="37313"/>
    <n v="37313"/>
  </r>
  <r>
    <n v="71682"/>
    <s v="SINCELEJO FORD"/>
    <n v="1102810883"/>
    <s v="3045527689"/>
    <s v="3045527689"/>
    <s v="3045527689"/>
    <s v="CR 19 17 67,FORD"/>
    <s v="9.3047580"/>
    <s v="-75.3953458"/>
    <s v="SUCRE"/>
    <s v="SINCELEJO"/>
    <s v="SINCELEJO"/>
    <n v="70001"/>
    <s v="2025-09-18"/>
    <n v="1"/>
    <s v="SINCELEJO"/>
    <x v="5"/>
    <n v="49671.7"/>
    <n v="49671.7"/>
  </r>
  <r>
    <n v="72178"/>
    <s v="BARRIO PAMPALINDA CALI 3"/>
    <n v="16734409"/>
    <s v="3155236040"/>
    <s v="3155236040"/>
    <s v="3155236040"/>
    <s v="CL 2 # 59 - 36,PAMPALINDA"/>
    <s v="3.4066834"/>
    <s v="-76.5540736"/>
    <s v="VALLE DEL CAUCA"/>
    <s v="CALI"/>
    <s v="SANTIAGO DE CALI"/>
    <n v="76001"/>
    <s v="2025-09-18"/>
    <n v="1"/>
    <s v="CALI"/>
    <x v="3"/>
    <n v="37313"/>
    <n v="37313"/>
  </r>
  <r>
    <n v="69551"/>
    <s v="BARRIO MANANTIAL DE SEVILLA SOLEDAD 1"/>
    <n v="5638512"/>
    <s v="3232956493"/>
    <s v="3232956493"/>
    <s v="3114112195"/>
    <s v="CL 75 8 A 20 BLOQUE 2 CASA 28,MANANTIAL DE SEVILLA"/>
    <s v="10.932039"/>
    <s v="-74.768034"/>
    <s v="ATLÁNTICO"/>
    <s v="SOLEDAD"/>
    <s v="SOLEDAD"/>
    <n v="8758"/>
    <s v="2025-09-18"/>
    <n v="1"/>
    <s v="BARRANQUILLA"/>
    <x v="5"/>
    <n v="37313"/>
    <n v="37313"/>
  </r>
  <r>
    <n v="37698"/>
    <s v="BARRIO ROBLEDO AURES MEDELLIN"/>
    <n v="70830747"/>
    <s v="4992510"/>
    <s v="3003019382"/>
    <s v="3003019382"/>
    <s v=" CL 77 C 91 B 22 ROBLEDO AU RES"/>
    <s v="6.2858691"/>
    <s v="-75.5938309"/>
    <s v="ANTIOQUIA"/>
    <s v="MEDELLÍN"/>
    <s v="MEDELLÍN"/>
    <n v="5001"/>
    <s v="2025-09-18"/>
    <n v="1"/>
    <s v="MEDELLIN"/>
    <x v="0"/>
    <n v="37313"/>
    <n v="37313"/>
  </r>
  <r>
    <n v="38931"/>
    <s v="BARRIO CENTRO RIVERA 4"/>
    <n v="26552345"/>
    <s v="8386924"/>
    <s v="3177219720"/>
    <s v="3177219720"/>
    <s v=" CR 6 4 67 CENTRO"/>
    <s v="2.77860"/>
    <s v="-75.25652"/>
    <s v="HUILA"/>
    <s v="RIVERA"/>
    <s v="RIVERA"/>
    <n v="41615"/>
    <s v="2025-09-18"/>
    <n v="1"/>
    <s v="NEIVA"/>
    <x v="1"/>
    <n v="49671.7"/>
    <n v="49671.7"/>
  </r>
  <r>
    <n v="38923"/>
    <s v="CORRESPONSAL BANCARIO LA ESTACION"/>
    <n v="7178244"/>
    <m/>
    <s v="3118227241"/>
    <s v="3022299195"/>
    <s v="AV. CIRCUN N 4 C EDS TEXACO"/>
    <s v="5.51382872"/>
    <s v="-73.35385293"/>
    <s v="BOYACÁ"/>
    <s v="TUNJA"/>
    <s v="TUNJA"/>
    <n v="15001"/>
    <s v="2025-09-18"/>
    <n v="1"/>
    <s v="TUNJA"/>
    <x v="4"/>
    <n v="49671.7"/>
    <n v="49671.7"/>
  </r>
  <r>
    <n v="66615"/>
    <s v="BARRIO ALCAZARES BOGOTA 4"/>
    <n v="80727269"/>
    <s v="0"/>
    <s v="3016583678"/>
    <s v="3016583678"/>
    <s v="CR 26 74 A 11"/>
    <s v="4.6658845"/>
    <s v="-74.0664661"/>
    <s v="CUNDINAMARCA"/>
    <s v="BOGOTÁ"/>
    <s v="BOGOTÁ"/>
    <n v="11001"/>
    <s v="2025-09-18"/>
    <n v="1"/>
    <s v="BOGOTA"/>
    <x v="2"/>
    <n v="37313"/>
    <n v="37313"/>
  </r>
  <r>
    <n v="64291"/>
    <s v="BARRIO URB PORTAL DE BETANIA LOS PATIOS"/>
    <n v="1092357708"/>
    <s v="0"/>
    <s v="3044056366"/>
    <s v="3044056366"/>
    <s v="MZ 12 CASA 2,URB PORTAL DE BETANIA"/>
    <s v="7.8012468"/>
    <s v="-72.5203196"/>
    <s v="NORTE DE SANTANDER"/>
    <s v="LOS PATIOS"/>
    <s v="LOS PATIOS"/>
    <n v="54405"/>
    <s v="2025-09-18"/>
    <n v="1"/>
    <s v="CUCUTA"/>
    <x v="4"/>
    <n v="49671.7"/>
    <n v="49671.7"/>
  </r>
  <r>
    <n v="64571"/>
    <s v="BARRIO ZONA RURAL VILLAVICENCIO 8"/>
    <n v="1072671321"/>
    <s v="3212462452"/>
    <s v="3142211757"/>
    <s v="3206413570"/>
    <s v="VRD APIAY FINCA VILLA MARÍA,ZONA RURAL"/>
    <s v="4.0890883"/>
    <s v="-73.5593371"/>
    <s v="META"/>
    <s v="VILLAVICENCIO"/>
    <s v="VILLAVICENCIO"/>
    <n v="50001"/>
    <s v="2025-09-18"/>
    <n v="1"/>
    <s v="VILLAVICENCIO"/>
    <x v="1"/>
    <n v="49671.7"/>
    <n v="49671.7"/>
  </r>
  <r>
    <n v="70979"/>
    <s v="BARRIO LAS AMERICAS MEDELLIN "/>
    <n v="1017254738"/>
    <s v="6044799310"/>
    <s v="3217390110"/>
    <s v="3217390110"/>
    <s v="CARRERA 84 42 C 46,LAS AMÉRICAS"/>
    <s v="6.2490740"/>
    <s v="-75.6049775"/>
    <s v="ANTIOQUIA"/>
    <s v="MEDELLÍN"/>
    <s v="MEDELLÍN"/>
    <n v="5001"/>
    <s v="2025-09-18"/>
    <n v="1"/>
    <s v="MEDELLIN"/>
    <x v="0"/>
    <n v="37313"/>
    <n v="37313"/>
  </r>
  <r>
    <n v="68572"/>
    <s v="BARRIO CARVAJAL BOGOTA  13"/>
    <n v="52528122"/>
    <s v="3154512077"/>
    <s v="3154512077"/>
    <s v="3002292238"/>
    <s v="CR 69 #35 -20 SUR LC 1"/>
    <s v="4.6110482"/>
    <s v="-74.1369588"/>
    <s v="CUNDINAMARCA"/>
    <s v="BOGOTÁ"/>
    <s v="BOGOTÁ"/>
    <n v="11001"/>
    <s v="2025-09-18"/>
    <n v="1"/>
    <s v="BOGOTA"/>
    <x v="2"/>
    <n v="37313"/>
    <n v="37313"/>
  </r>
  <r>
    <n v="70286"/>
    <s v="BARRIO VILLA ANTIGUA VILLA DEL ROSARIO  3"/>
    <n v="1004925212"/>
    <s v="3142207678"/>
    <s v="3185184790"/>
    <s v="3185184790"/>
    <s v="CR 0 NRO. 12 - 01,VILLA ANTIGUA"/>
    <s v="7.8269242"/>
    <s v="-72.4624649"/>
    <s v="NORTE DE SANTANDER"/>
    <s v="VILLA DEL ROSARIO"/>
    <s v="VILLA DEL ROSARIO"/>
    <n v="54874"/>
    <s v="2025-09-18"/>
    <n v="1"/>
    <s v="CUCUTA"/>
    <x v="4"/>
    <n v="49671.7"/>
    <n v="49671.7"/>
  </r>
  <r>
    <n v="70627"/>
    <s v="BARRIO EL DORADO MONTERIA 10"/>
    <n v="78747050"/>
    <s v="3107170665"/>
    <s v="3107170665"/>
    <s v="3107170665"/>
    <s v="CL 26 18AW 35,EL DORADO"/>
    <s v="8.7652907"/>
    <s v="-75.9013658"/>
    <s v="CÓRDOBA"/>
    <s v="MONTERÍA"/>
    <s v="MONTERÍA"/>
    <n v="23001"/>
    <s v="2025-09-18"/>
    <n v="1"/>
    <s v="MONTERIA"/>
    <x v="5"/>
    <n v="37313"/>
    <n v="37313"/>
  </r>
  <r>
    <n v="72330"/>
    <s v="BARRIO CENTRO BOGOTA 44"/>
    <n v="1010230953"/>
    <s v="322 8431782"/>
    <s v="3224058064"/>
    <s v="3224058064"/>
    <s v="CR 11 9 - 57 LC 533-534"/>
    <s v="4.6002419"/>
    <s v="-74.0806825"/>
    <s v="CUNDINAMARCA"/>
    <s v="BOGOTÁ"/>
    <s v="BOGOTÁ"/>
    <n v="11001"/>
    <s v="2025-09-18"/>
    <n v="1"/>
    <s v="BOGOTA"/>
    <x v="2"/>
    <n v="37313"/>
    <n v="37313"/>
  </r>
  <r>
    <n v="64422"/>
    <s v="BARRIO CHUCHURUBI MONTERIA 4"/>
    <n v="50918809"/>
    <s v="3126368901"/>
    <s v="3126368901"/>
    <s v="3126368901"/>
    <s v="CR 5 20 85,CHUCHURUBI"/>
    <s v="8.75106900"/>
    <s v="-75.88905839"/>
    <s v="CÓRDOBA"/>
    <s v="MONTERÍA"/>
    <s v="MONTERÍA"/>
    <n v="23001"/>
    <s v="2025-09-18"/>
    <n v="2"/>
    <s v="MONTERIA"/>
    <x v="5"/>
    <n v="37313"/>
    <n v="74626"/>
  </r>
  <r>
    <n v="72249"/>
    <s v="BARRIO EL MILAGRO DUITAMA"/>
    <n v="37619376"/>
    <s v="3185272829"/>
    <s v="3185272829"/>
    <s v="3118993384"/>
    <s v="CL 16 NO.31B-40,EL MILAGRO"/>
    <s v="5.8153913"/>
    <s v="-73.0263129"/>
    <s v="BOYACÁ"/>
    <s v="DUITAMA"/>
    <s v="DUITAMA"/>
    <n v="15238"/>
    <s v="2025-09-18"/>
    <n v="1"/>
    <s v="TUNJA"/>
    <x v="4"/>
    <n v="49671.7"/>
    <n v="49671.7"/>
  </r>
  <r>
    <n v="70145"/>
    <s v="BARRIO LOS ALMENDROS SOLEDAD  6"/>
    <n v="1042460455"/>
    <s v="3046292429"/>
    <s v="3046292429"/>
    <s v="3046292429"/>
    <s v="CL 81 21 32,LOS ALMENDROS"/>
    <s v="10.932033"/>
    <s v="-74.768166"/>
    <s v="ATLÁNTICO"/>
    <s v="SOLEDAD"/>
    <s v="SOLEDAD"/>
    <n v="8758"/>
    <s v="2025-09-18"/>
    <n v="1"/>
    <s v="BARRANQUILLA"/>
    <x v="5"/>
    <n v="37313"/>
    <n v="37313"/>
  </r>
  <r>
    <n v="71344"/>
    <s v="BARRIO CONCORDIA BUCARAMANGA 3"/>
    <n v="91293147"/>
    <s v="3209776185"/>
    <s v="3164155819"/>
    <s v="3209776185"/>
    <s v="CL 57 17 A 20,CONCORDIA"/>
    <s v="7.1070390"/>
    <s v="-73.1187050"/>
    <s v="SANTANDER"/>
    <s v="BUCARAMANGA"/>
    <s v="BUCARAMANGA"/>
    <n v="68001"/>
    <s v="2025-09-18"/>
    <n v="1"/>
    <s v="BUCARAMANGA"/>
    <x v="4"/>
    <n v="37313"/>
    <n v="37313"/>
  </r>
  <r>
    <n v="70843"/>
    <s v="PEREIRA CONDINA BATARA PLAZA"/>
    <n v="10034425"/>
    <s v="3217197597"/>
    <s v="3137701880"/>
    <s v="3217197597"/>
    <s v="CL 82 34 107 LC 14 BATARA PLAZA"/>
    <s v="4.79361"/>
    <s v="-75.7471343"/>
    <s v="RISARALDA"/>
    <s v="PEREIRA"/>
    <s v="PEREIRA"/>
    <n v="66001"/>
    <s v="2025-09-18"/>
    <n v="1"/>
    <s v="PEREIRA"/>
    <x v="6"/>
    <n v="37313"/>
    <n v="37313"/>
  </r>
  <r>
    <n v="65127"/>
    <s v="BARRIO EL CARMEN DUITAMA"/>
    <n v="901123631"/>
    <s v="3122641609"/>
    <s v="3122641609"/>
    <s v="3208575201"/>
    <s v="CR 16 NO.11-18 BARRIO EL CARMEN"/>
    <s v="5.8257102"/>
    <s v="-73.0365158"/>
    <s v="BOYACÁ"/>
    <s v="DUITAMA"/>
    <s v="DUITAMA"/>
    <n v="15238"/>
    <s v="2025-09-18"/>
    <n v="1"/>
    <s v="TUNJA"/>
    <x v="4"/>
    <n v="49671.7"/>
    <n v="49671.7"/>
  </r>
  <r>
    <n v="70269"/>
    <s v="BARRIO LOS ROBLES SOLEDAD 3"/>
    <n v="1130264936"/>
    <s v="3046691212"/>
    <s v="3046691212"/>
    <s v="3016559533"/>
    <s v="CL 79 # 21B 09  ROBLES"/>
    <s v="10.9192686"/>
    <s v="-74.8139848"/>
    <s v="ATLÁNTICO"/>
    <s v="SOLEDAD"/>
    <s v="SOLEDAD"/>
    <n v="8758"/>
    <s v="2025-09-18"/>
    <n v="1"/>
    <s v="BARRANQUILLA"/>
    <x v="5"/>
    <n v="37313"/>
    <n v="37313"/>
  </r>
  <r>
    <n v="78116"/>
    <s v="BARRIO EL CARMEN TUNJA"/>
    <n v="40031936"/>
    <s v="3123911748"/>
    <s v="3114802694"/>
    <s v="3114802694"/>
    <s v="CL 25 16 39,EL CARMEN"/>
    <s v="5.53967431"/>
    <s v="-73.36650146"/>
    <s v="BOYACÁ"/>
    <s v="TUNJA"/>
    <s v="TUNJA"/>
    <n v="15001"/>
    <s v="2025-09-18"/>
    <n v="1"/>
    <s v="TUNJA"/>
    <x v="4"/>
    <n v="49671.7"/>
    <n v="49671.7"/>
  </r>
  <r>
    <n v="78536"/>
    <s v="BARRIO PATIO CENTRO LOS PATIOS  2"/>
    <n v="37293619"/>
    <s v="3160540606"/>
    <s v="3160540606"/>
    <s v="3160540606"/>
    <s v="AV 10 25 32,PATIO CENTRO"/>
    <s v="7.8355157"/>
    <s v="-72.5093298"/>
    <s v="NORTE DE SANTANDER"/>
    <s v="LOS PATIOS"/>
    <s v="LOS PATIOS"/>
    <n v="54405"/>
    <s v="2025-09-18"/>
    <n v="1"/>
    <s v="CUCUTA"/>
    <x v="4"/>
    <n v="49671.7"/>
    <n v="49671.7"/>
  </r>
  <r>
    <n v="71521"/>
    <s v="BARRIO EL LIBERTADOR TUNJA 4"/>
    <n v="40036951"/>
    <s v="3506711751"/>
    <s v="3506711751"/>
    <s v="3506711751"/>
    <s v="CR 14 4 23,EL LIBERTADOR"/>
    <s v="5.519"/>
    <s v="-73.369"/>
    <s v="BOYACÁ"/>
    <s v="TUNJA"/>
    <s v="TUNJA"/>
    <n v="15001"/>
    <s v="2025-09-18"/>
    <n v="1"/>
    <s v="TUNJA"/>
    <x v="4"/>
    <n v="49671.7"/>
    <n v="49671.7"/>
  </r>
  <r>
    <n v="67825"/>
    <s v="BARRIO URB VILLA LA ESPERANZA LOS PATIOS"/>
    <n v="60345961"/>
    <s v="0"/>
    <s v="3160574748"/>
    <s v="3160574748"/>
    <s v="AV 9 16 BS 905 LC 1,URB VILLA ESPERANZA"/>
    <s v="7.7996565"/>
    <s v="-72.5183291"/>
    <s v="NORTE DE SANTANDER"/>
    <s v="LOS PATIOS"/>
    <s v="LOS PATIOS"/>
    <n v="54405"/>
    <s v="2025-09-18"/>
    <n v="1"/>
    <s v="CUCUTA"/>
    <x v="4"/>
    <n v="49671.7"/>
    <n v="49671.7"/>
  </r>
  <r>
    <n v="76331"/>
    <s v="BARRIO CARIBE MEDELLIN 8"/>
    <n v="15265151"/>
    <s v="3117973369"/>
    <s v="3137378230"/>
    <s v="3117973369"/>
    <s v="CR 64 C 74 41,CARIBE"/>
    <s v="6.2729517"/>
    <s v="-75.5732273"/>
    <s v="ANTIOQUIA"/>
    <s v="MEDELLÍN"/>
    <s v="MEDELLÍN"/>
    <n v="5001"/>
    <s v="2025-09-18"/>
    <n v="2"/>
    <s v="MEDELLIN"/>
    <x v="0"/>
    <n v="37313"/>
    <n v="74626"/>
  </r>
  <r>
    <n v="76374"/>
    <s v="BARRIO LAS AMERICAS FLORENCIA"/>
    <n v="1006504639"/>
    <s v="3105461072"/>
    <s v="3102071422"/>
    <s v="3102071422"/>
    <s v="CL 27 1 B 18,LAS AMÉRICAS"/>
    <s v="1.628582"/>
    <s v="-75.603479"/>
    <s v="CAQUETÁ"/>
    <s v="FLORENCIA"/>
    <s v="FLORENCIA"/>
    <n v="18001"/>
    <s v="2025-09-18"/>
    <n v="1"/>
    <s v="NEIVA"/>
    <x v="1"/>
    <n v="49671.7"/>
    <n v="49671.7"/>
  </r>
  <r>
    <n v="76454"/>
    <s v="BARRIO CENTRO FLORENCIA  32"/>
    <n v="1117540402"/>
    <s v="3225658361"/>
    <s v="3204163686"/>
    <s v="3144884195"/>
    <s v="CR 16 14 18,CENTRO"/>
    <s v="1.613732"/>
    <s v="-75.616982"/>
    <s v="CAQUETÁ"/>
    <s v="FLORENCIA"/>
    <s v="FLORENCIA"/>
    <n v="18001"/>
    <s v="2025-09-18"/>
    <n v="1"/>
    <s v="NEIVA"/>
    <x v="1"/>
    <n v="49671.7"/>
    <n v="49671.7"/>
  </r>
  <r>
    <n v="80154"/>
    <s v="BARRIO URB LA ESPERANZA IBAGUE"/>
    <n v="1110497301"/>
    <s v="3166890550"/>
    <s v="3166890550"/>
    <m/>
    <s v="MZ B CA 13 P3,URB LA ESPERANZA"/>
    <s v="4.4477862"/>
    <s v="-75.1805469"/>
    <s v="TOLIMA"/>
    <s v="IBAGUÉ"/>
    <s v="IBAGUÉ"/>
    <n v="73001"/>
    <s v="2025-09-18"/>
    <n v="1"/>
    <s v="IBAGUE"/>
    <x v="1"/>
    <n v="49671.7"/>
    <n v="49671.7"/>
  </r>
  <r>
    <n v="76491"/>
    <s v="BARRIO LOS ALAMOS ARMENIA 2"/>
    <n v="901542766"/>
    <s v="3216464265"/>
    <s v="3138626046"/>
    <s v="3216464265"/>
    <s v="BRR LOS ALAMOS CR 23 15 47,LOS ALAMOS"/>
    <s v="4.5399251"/>
    <s v="-75.6752137"/>
    <s v="QUINDÍO"/>
    <s v="ARMENIA"/>
    <s v="ARMENIA"/>
    <n v="63001"/>
    <s v="2025-09-18"/>
    <n v="1"/>
    <s v="PEREIRA"/>
    <x v="6"/>
    <n v="37313"/>
    <n v="37313"/>
  </r>
  <r>
    <n v="73455"/>
    <s v="BARRIO PATIOS CENTRO LOS PATIOS 8"/>
    <n v="27604885"/>
    <s v="3212281151"/>
    <s v="3023217683"/>
    <s v="3228659575"/>
    <s v="AV 10 NRO. 23 A - 120 LC 2,PATIOS CENTRO"/>
    <s v="7.8348557"/>
    <s v="-72.5095158"/>
    <s v="NORTE DE SANTANDER"/>
    <s v="LOS PATIOS"/>
    <s v="LOS PATIOS"/>
    <n v="54405"/>
    <s v="2025-09-18"/>
    <n v="1"/>
    <s v="CUCUTA"/>
    <x v="4"/>
    <n v="49671.7"/>
    <n v="49671.7"/>
  </r>
  <r>
    <n v="80560"/>
    <s v="BARRIO MODELIA 1 IBAGUE 2"/>
    <n v="1110543712"/>
    <s v="3123658929"/>
    <s v="3123658929"/>
    <m/>
    <s v="MZ 62 CA 14,MODELIA 1"/>
    <s v="4.4501818"/>
    <s v="-75.1339134"/>
    <s v="TOLIMA"/>
    <s v="IBAGUÉ"/>
    <s v="IBAGUÉ"/>
    <n v="73001"/>
    <s v="2025-09-18"/>
    <n v="1"/>
    <s v="IBAGUE"/>
    <x v="1"/>
    <n v="49671.7"/>
    <n v="49671.7"/>
  </r>
  <r>
    <n v="63346"/>
    <s v="BARRIO NIQUIA BELLO 15"/>
    <n v="71214914"/>
    <s v="0"/>
    <s v="3135992989"/>
    <s v="3203062581"/>
    <s v="DG 57 38 31 L 152 BLOQUE 37 MZ 2"/>
    <s v="6.3411184"/>
    <s v="-75.5466911"/>
    <s v="ANTIOQUIA"/>
    <s v="BELLO"/>
    <s v="BELLO"/>
    <n v="5088"/>
    <s v="2025-09-18"/>
    <n v="1"/>
    <s v="MEDELLIN"/>
    <x v="0"/>
    <n v="37313"/>
    <n v="37313"/>
  </r>
  <r>
    <n v="72623"/>
    <s v="LOMITAS VILLA DEL ROSARIO 4"/>
    <n v="1004913883"/>
    <s v="3012540837"/>
    <s v="3012540837"/>
    <s v="3012540837"/>
    <s v="CL 8 CR 6 KDX A 29,LOMITAS"/>
    <s v="7.8592557"/>
    <s v="-72.4770573"/>
    <s v="NORTE DE SANTANDER"/>
    <s v="VILLA DEL ROSARIO"/>
    <s v="VILLA DEL ROSARIO"/>
    <n v="54874"/>
    <s v="2025-09-18"/>
    <n v="1"/>
    <s v="CUCUTA"/>
    <x v="4"/>
    <n v="49671.7"/>
    <n v="49671.7"/>
  </r>
  <r>
    <n v="80197"/>
    <s v="BARRIO LA PRADERA VILLA DEL ROSARIO"/>
    <n v="1092339813"/>
    <s v="3008527092"/>
    <s v="3008527092"/>
    <m/>
    <s v="CL 7 10 19 MNZ 1 LTE 1,LA PARADA"/>
    <s v="7.8197848"/>
    <s v="-72.4575024"/>
    <s v="NORTE DE SANTANDER"/>
    <s v="VILLA DEL ROSARIO"/>
    <s v="VILLA DEL ROSARIO"/>
    <n v="54874"/>
    <s v="2025-09-18"/>
    <n v="1"/>
    <s v="CUCUTA"/>
    <x v="4"/>
    <n v="49671.7"/>
    <n v="49671.7"/>
  </r>
  <r>
    <n v="76096"/>
    <s v="BARRIO ARGENTINA MANIZALES 2"/>
    <n v="39672285"/>
    <s v="3216392130"/>
    <s v="3216392130"/>
    <s v="3216392130"/>
    <s v="CR 20 52 85 ARGENTINA,ARGENTINA"/>
    <s v="5.0655610"/>
    <s v="-75.4956142"/>
    <s v="CALDAS"/>
    <s v="MANIZALES"/>
    <s v="MANIZALES"/>
    <n v="17001"/>
    <s v="2025-09-18"/>
    <n v="1"/>
    <s v="MANIZALES"/>
    <x v="6"/>
    <n v="49671.7"/>
    <n v="49671.7"/>
  </r>
  <r>
    <n v="79074"/>
    <s v="BARRIO URB ANTONIO JOSE DE SUCRE CARTAGENA DE INDIAS"/>
    <n v="1235039278"/>
    <s v="3104812562"/>
    <s v="3104812562"/>
    <s v="3104812562"/>
    <s v="URB ANTONIO JOSE DE SUCRE MZ D LT 30 AP 3,URB ANTONIO JOSE DE SUCRE"/>
    <s v="10.3731241"/>
    <s v="-75.4976873"/>
    <s v="BOLÍVAR"/>
    <s v="CARTAGENA DE INDIAS"/>
    <s v="CARTAGENA DE INDIAS"/>
    <n v="13001"/>
    <s v="2025-09-18"/>
    <n v="1"/>
    <s v="CARTAGENA"/>
    <x v="5"/>
    <n v="49671.7"/>
    <n v="49671.7"/>
  </r>
  <r>
    <n v="79334"/>
    <s v="BARRIO ENCISO MEDELLIN  22"/>
    <n v="1017216553"/>
    <s v="3165135074"/>
    <s v="3165135074"/>
    <s v="3165135074"/>
    <s v="CL 56 H 17 A 100,ENCISO"/>
    <s v="6.2483638"/>
    <s v="-75.5397263"/>
    <s v="ANTIOQUIA"/>
    <s v="MEDELLÍN"/>
    <s v="MEDELLÍN"/>
    <n v="5001"/>
    <s v="2025-09-18"/>
    <n v="1"/>
    <s v="MEDELLIN"/>
    <x v="0"/>
    <n v="37313"/>
    <n v="37313"/>
  </r>
  <r>
    <n v="74418"/>
    <s v="BARRIO PRIMAVERA VILLAVICENCIO 2"/>
    <n v="479841"/>
    <s v="3232531462"/>
    <s v="3115932874"/>
    <s v="3204214846"/>
    <s v="CL 8A 19 - 03 LC 1 - PRIMAVERA"/>
    <s v="4.131087"/>
    <s v="-73.619805"/>
    <s v="META"/>
    <s v="VILLAVICENCIO"/>
    <s v="VILLAVICENCIO"/>
    <n v="50001"/>
    <s v="2025-09-18"/>
    <n v="1"/>
    <s v="VILLAVICENCIO"/>
    <x v="1"/>
    <n v="49671.7"/>
    <n v="49671.7"/>
  </r>
  <r>
    <n v="74068"/>
    <s v="BARRIO SAN VICTORINO BOGOTA 13"/>
    <n v="1033725255"/>
    <s v="3104852551"/>
    <s v="3104852551"/>
    <s v="3104852551"/>
    <s v="CR 14 9 48 L 3023,SAN VICTORINO"/>
    <s v="4.6005271"/>
    <s v="-74.0817560"/>
    <s v="CUNDINAMARCA"/>
    <s v="BOGOTÁ"/>
    <s v="BOGOTÁ"/>
    <n v="11001"/>
    <s v="2025-09-18"/>
    <n v="1"/>
    <s v="BOGOTA"/>
    <x v="2"/>
    <n v="37313"/>
    <n v="37313"/>
  </r>
  <r>
    <n v="74176"/>
    <s v="BARRIO ROBLEDO AURES MEDELLIN 3"/>
    <n v="21395828"/>
    <s v="3022116875"/>
    <s v="3156606111"/>
    <s v="3022116875"/>
    <s v="CL 77 DD 94 A 45,ROBLEDO AURES"/>
    <s v="6.2887764"/>
    <s v="-75.5959773"/>
    <s v="ANTIOQUIA"/>
    <s v="MEDELLÍN"/>
    <s v="MEDELLÍN"/>
    <n v="5001"/>
    <s v="2025-09-18"/>
    <n v="1"/>
    <s v="MEDELLIN"/>
    <x v="0"/>
    <n v="37313"/>
    <n v="37313"/>
  </r>
  <r>
    <n v="76561"/>
    <s v="BARRIO LOS CAMPANOS SOLEDAD 1"/>
    <n v="72243965"/>
    <s v="3204948526"/>
    <s v="3024412360"/>
    <s v="3024412360"/>
    <s v="CL 77 10 A 52,LOS CAMPANOS"/>
    <s v="10.932085"/>
    <s v="-74.768005"/>
    <s v="ATLÁNTICO"/>
    <s v="SOLEDAD"/>
    <s v="SOLEDAD"/>
    <n v="8758"/>
    <s v="2025-09-18"/>
    <n v="1"/>
    <s v="BARRANQUILLA"/>
    <x v="5"/>
    <n v="37313"/>
    <n v="37313"/>
  </r>
  <r>
    <n v="76982"/>
    <s v="BARRIO MESOPOTAMIA TUNJA 3"/>
    <n v="1116020263"/>
    <s v="3132612167"/>
    <s v="3132612167"/>
    <s v="3132612167"/>
    <s v="CR 6 A 37 A 17,MESOPOTAMIA"/>
    <s v="5.54643213"/>
    <s v="-73.3533611"/>
    <s v="BOYACÁ"/>
    <s v="TUNJA"/>
    <s v="TUNJA"/>
    <n v="15001"/>
    <s v="2025-09-18"/>
    <n v="1"/>
    <s v="TUNJA"/>
    <x v="4"/>
    <n v="49671.7"/>
    <n v="49671.7"/>
  </r>
  <r>
    <n v="74785"/>
    <s v="BARRIO CIUDAD BOLIVAR BUCARAMANGA 1"/>
    <n v="1102548228"/>
    <s v="3166476370"/>
    <s v="3166476370"/>
    <s v="3166476370"/>
    <s v="CL 64 C CASA 08,CIUDAD BOLIVAR"/>
    <s v="7.3736908"/>
    <s v="-73.7394734"/>
    <s v="SANTANDER"/>
    <s v="BUCARAMANGA"/>
    <s v="BUCARAMANGA"/>
    <n v="68001"/>
    <s v="2025-09-18"/>
    <n v="1"/>
    <s v="BUCARAMANGA"/>
    <x v="4"/>
    <n v="37313"/>
    <n v="37313"/>
  </r>
  <r>
    <n v="74732"/>
    <s v="BARRIO LA ASUNCION MANIZALES 1"/>
    <n v="1060266556"/>
    <s v="3128628000"/>
    <s v="3117563517"/>
    <s v="3117563517"/>
    <s v="CL 51C 16B 15 - LA ASUNCION,LA ASUNCION"/>
    <s v="5.0676979"/>
    <s v="-75.4949928"/>
    <s v="CALDAS"/>
    <s v="MANIZALES"/>
    <s v="MANIZALES"/>
    <n v="17001"/>
    <s v="2025-09-18"/>
    <n v="1"/>
    <s v="MANIZALES"/>
    <x v="6"/>
    <n v="49671.7"/>
    <n v="49671.7"/>
  </r>
  <r>
    <n v="75314"/>
    <s v="BARRIO SAMARIA ITAGUI 4"/>
    <n v="32353443"/>
    <s v="3114239749"/>
    <s v="3114239749"/>
    <s v="3114239749"/>
    <s v="CR 69 D # 34 - 03"/>
    <s v="6.1737719"/>
    <s v="-75.6348488"/>
    <s v="ANTIOQUIA"/>
    <s v="ITAGÜÍ"/>
    <s v="ITAGÜÍ"/>
    <n v="5360"/>
    <s v="2025-09-18"/>
    <n v="1"/>
    <s v="MEDELLIN"/>
    <x v="0"/>
    <n v="37313"/>
    <n v="37313"/>
  </r>
  <r>
    <n v="78970"/>
    <s v="BARRIO GRAMALOTE VILLA DEL ROSARIO 5"/>
    <n v="1092343557"/>
    <s v="3165393393"/>
    <s v="3165393393"/>
    <m/>
    <s v="CR 11 NRO 6-55,GRAMALOTE"/>
    <s v="7.8315784"/>
    <s v="-72.4746980"/>
    <s v="NORTE DE SANTANDER"/>
    <s v="VILLA DEL ROSARIO"/>
    <s v="VILLA DEL ROSARIO"/>
    <n v="54874"/>
    <s v="2025-09-18"/>
    <n v="1"/>
    <s v="CUCUTA"/>
    <x v="4"/>
    <n v="49671.7"/>
    <n v="49671.7"/>
  </r>
  <r>
    <n v="79103"/>
    <s v="BARRIO PATIOS CENTRO LOS PATIOS  10"/>
    <n v="60355364"/>
    <s v="3007685812"/>
    <s v="3112654086"/>
    <s v="3007685812"/>
    <s v="AV 4 31 65,PATIOS CENTRO"/>
    <s v="7.8393226"/>
    <s v="-72.5032257"/>
    <s v="NORTE DE SANTANDER"/>
    <s v="LOS PATIOS"/>
    <s v="LOS PATIOS"/>
    <n v="54405"/>
    <s v="2025-09-18"/>
    <n v="1"/>
    <s v="CUCUTA"/>
    <x v="4"/>
    <n v="49671.7"/>
    <n v="49671.7"/>
  </r>
  <r>
    <n v="78573"/>
    <s v="BARRIO CURUBAL TUNJA 1"/>
    <n v="1002405441"/>
    <s v="3213942605"/>
    <s v="3213942605"/>
    <s v="3213942605"/>
    <s v="CR 1 B ESTE17 F 27,CURUBAL"/>
    <s v="5.5291404"/>
    <s v="-73.3500526"/>
    <s v="BOYACÁ"/>
    <s v="TUNJA"/>
    <s v="TUNJA"/>
    <n v="15001"/>
    <s v="2025-09-18"/>
    <n v="1"/>
    <s v="TUNJA"/>
    <x v="4"/>
    <n v="49671.7"/>
    <n v="49671.7"/>
  </r>
  <r>
    <n v="78543"/>
    <s v="BARRIO CENTRO MONTERIA  29"/>
    <n v="43841309"/>
    <s v="3108638469"/>
    <s v="3108638469"/>
    <s v="3108638469"/>
    <s v="CL 35 5 85,CENTRO"/>
    <s v="8.7586267"/>
    <s v="-75.8809133"/>
    <s v="CÓRDOBA"/>
    <s v="MONTERÍA"/>
    <s v="MONTERÍA"/>
    <n v="23001"/>
    <s v="2025-09-18"/>
    <n v="1"/>
    <s v="MONTERIA"/>
    <x v="5"/>
    <n v="37313"/>
    <n v="37313"/>
  </r>
  <r>
    <n v="79373"/>
    <s v="BARRIO AUTIPISTA SUR - SECTOR MONTESACRO ITAGUI"/>
    <n v="901565059"/>
    <s v="3113326109"/>
    <s v="3113326109"/>
    <s v="3113326109"/>
    <s v="CR 42 24 96 LC 119,AUTOPISTA SUR - SECTOR MONTESACRO"/>
    <s v="6.1562936"/>
    <s v="-75.6228484"/>
    <s v="ANTIOQUIA"/>
    <s v="ITAGÜÍ"/>
    <s v="ITAGÜÍ"/>
    <n v="5360"/>
    <s v="2025-09-18"/>
    <n v="1"/>
    <s v="MEDELLIN"/>
    <x v="0"/>
    <n v="37313"/>
    <n v="37313"/>
  </r>
  <r>
    <n v="79420"/>
    <s v="BARRIO LOS ALMENDROS SOLEDAD 9"/>
    <n v="22491440"/>
    <s v="3178555983"/>
    <s v="3003318484"/>
    <s v="3178555983"/>
    <s v="CL 84 10 C 19,LOS ALMENDROS"/>
    <s v="10.9124105"/>
    <s v="-74.8234488"/>
    <s v="ATLÁNTICO"/>
    <s v="SOLEDAD"/>
    <s v="SOLEDAD"/>
    <n v="8758"/>
    <s v="2025-09-18"/>
    <n v="1"/>
    <s v="BARRANQUILLA"/>
    <x v="5"/>
    <n v="37313"/>
    <n v="37313"/>
  </r>
  <r>
    <n v="74010"/>
    <s v="BARRIO MONTELIBANO PEREIRA 1"/>
    <n v="900381458"/>
    <s v="3183306934"/>
    <s v="3183306934"/>
    <s v="3183306934"/>
    <s v="CARRERA 49 NRO 85A -15 LOCAL 7 URBANIZACIÓN PORTO ALEGRE -MONTELIBANO,MONTELIBANO"/>
    <s v="4.7864025"/>
    <s v="-75.7253039"/>
    <s v="RISARALDA"/>
    <s v="PEREIRA"/>
    <s v="PEREIRA"/>
    <n v="66001"/>
    <s v="2025-09-18"/>
    <n v="1"/>
    <s v="PEREIRA"/>
    <x v="6"/>
    <n v="37313"/>
    <n v="37313"/>
  </r>
  <r>
    <n v="74094"/>
    <s v="BARRIO CONCORDIA BUCARAMANGA 4"/>
    <n v="63536528"/>
    <s v="3046058333"/>
    <s v="3004924159"/>
    <s v="3046058333"/>
    <s v="CL 48 19 02 LOCAL 2 BARRIO CONCORDIA,CONCORDIA"/>
    <s v="7.1133750"/>
    <s v="-73.1197480"/>
    <s v="SANTANDER"/>
    <s v="BUCARAMANGA"/>
    <s v="BUCARAMANGA"/>
    <n v="68001"/>
    <s v="2025-09-18"/>
    <n v="1"/>
    <s v="BUCARAMANGA"/>
    <x v="4"/>
    <n v="37313"/>
    <n v="37313"/>
  </r>
  <r>
    <n v="74940"/>
    <s v="BARRIO EL DORADO MONTERIA 11"/>
    <n v="1068584758"/>
    <s v="3217535723"/>
    <s v="3217535723"/>
    <s v="3217535723"/>
    <s v="CL 23 CR 13 AW  # 25 BRR EL DORADO"/>
    <s v="8.7608997"/>
    <s v="-75.9001283"/>
    <s v="CÓRDOBA"/>
    <s v="MONTERÍA"/>
    <s v="MONTERÍA"/>
    <n v="23001"/>
    <s v="2025-09-18"/>
    <n v="1"/>
    <s v="MONTERIA"/>
    <x v="5"/>
    <n v="37313"/>
    <n v="37313"/>
  </r>
  <r>
    <n v="75675"/>
    <s v="BARRIO PORTAL DE LOS MANANATIALES SOLEDAD"/>
    <n v="55236530"/>
    <s v="3014819327"/>
    <s v="3014819327"/>
    <s v="3014819327"/>
    <s v="CR 12 F 75 73 TO 11 AP. 1041,PORTAL DE LOS MANANTIALES"/>
    <s v="10.931934"/>
    <s v="-74.768185"/>
    <s v="ATLÁNTICO"/>
    <s v="SOLEDAD"/>
    <s v="SOLEDAD"/>
    <n v="8758"/>
    <s v="2025-09-18"/>
    <n v="1"/>
    <s v="BARRANQUILLA"/>
    <x v="5"/>
    <n v="37313"/>
    <n v="37313"/>
  </r>
  <r>
    <n v="79628"/>
    <s v="BARRIO ITAGUI ITAGUI 33"/>
    <n v="1045080193"/>
    <s v="3043220535"/>
    <s v="3043220535"/>
    <s v="3177672127"/>
    <s v="CL 76 86 225,ITAGUI"/>
    <s v="6.1947153"/>
    <s v="-75.6080957"/>
    <s v="ANTIOQUIA"/>
    <s v="ITAGÜÍ"/>
    <s v="ITAGÜÍ"/>
    <n v="5360"/>
    <s v="2025-09-18"/>
    <n v="1"/>
    <s v="MEDELLIN"/>
    <x v="0"/>
    <n v="37313"/>
    <n v="37313"/>
  </r>
  <r>
    <n v="74527"/>
    <s v="BARRIO CENTRO MONTERIA 9"/>
    <n v="1067935565"/>
    <s v="320 6220653"/>
    <s v="3206220653"/>
    <s v="3206220653"/>
    <s v="CL 36 CRA 1 C 37 LC 1,CENTRO"/>
    <s v="8.761217"/>
    <s v="-75.882873"/>
    <s v="CÓRDOBA"/>
    <s v="MONTERÍA"/>
    <s v="MONTERÍA"/>
    <n v="23001"/>
    <s v="2025-09-18"/>
    <n v="1"/>
    <s v="MONTERIA"/>
    <x v="5"/>
    <n v="37313"/>
    <n v="37313"/>
  </r>
  <r>
    <n v="74601"/>
    <s v="BARRIO CENTRO BUCARAMANGA 70"/>
    <n v="91511653"/>
    <s v="3152089199"/>
    <s v="3042912587"/>
    <s v="3152089199"/>
    <s v="CR 17 18 59,CENTRO"/>
    <s v="7.1291560"/>
    <s v="-73.1281140"/>
    <s v="SANTANDER"/>
    <s v="BUCARAMANGA"/>
    <s v="BUCARAMANGA"/>
    <n v="68001"/>
    <s v="2025-09-18"/>
    <n v="1"/>
    <s v="BUCARAMANGA"/>
    <x v="4"/>
    <n v="37313"/>
    <n v="37313"/>
  </r>
  <r>
    <n v="74849"/>
    <s v="BARRIO SAN CAYETANO MANIZALES 2"/>
    <n v="30401600"/>
    <s v="3137257652"/>
    <s v="3233068571"/>
    <s v="3233068571"/>
    <s v="CL 48C 12 C 12 - SAN CAYETANO,SAN CAYETANO"/>
    <s v="5.0741792"/>
    <s v="-75.4938094"/>
    <s v="CALDAS"/>
    <s v="MANIZALES"/>
    <s v="MANIZALES"/>
    <n v="17001"/>
    <s v="2025-09-18"/>
    <n v="1"/>
    <s v="MANIZALES"/>
    <x v="6"/>
    <n v="49671.7"/>
    <n v="49671.7"/>
  </r>
  <r>
    <n v="75250"/>
    <s v="BARRIO CENTRO MONTERIA 56"/>
    <n v="900761536"/>
    <s v="3203536134"/>
    <s v="3203536134"/>
    <s v="3203536134"/>
    <s v="CR 2 34 97,CENTRO"/>
    <s v="8.760488"/>
    <s v="-75.883514"/>
    <s v="CÓRDOBA"/>
    <s v="MONTERÍA"/>
    <s v="MONTERÍA"/>
    <n v="23001"/>
    <s v="2025-09-18"/>
    <n v="1"/>
    <s v="MONTERIA"/>
    <x v="5"/>
    <n v="37313"/>
    <n v="37313"/>
  </r>
  <r>
    <n v="75318"/>
    <s v="BARRIO LUIS R CALVO SANTA MARTA 1"/>
    <n v="1128227065"/>
    <s v="3012281385"/>
    <s v="3012281285"/>
    <s v="3012281285"/>
    <s v="CR 51 7A 24,LUIS R CALVO"/>
    <s v="11.24904383"/>
    <s v="-74.17127299"/>
    <s v="MAGDALENA"/>
    <s v="SANTA MARTA"/>
    <s v="SANTA MARTA"/>
    <n v="47001"/>
    <s v="2025-09-18"/>
    <n v="1"/>
    <s v="SANTA MARTA"/>
    <x v="5"/>
    <n v="49671.7"/>
    <n v="49671.7"/>
  </r>
  <r>
    <n v="75425"/>
    <s v="BARRIO EL MANANTIAL SOLEDAD 3"/>
    <n v="22738181"/>
    <s v="3016137527"/>
    <s v="3016137527"/>
    <s v="3233747824"/>
    <s v="CR 12 63 79 PISO 1 LC 8,EL MANANTIAL"/>
    <s v="10.932143"/>
    <s v="-74.768301"/>
    <s v="ATLÁNTICO"/>
    <s v="SOLEDAD"/>
    <s v="SOLEDAD"/>
    <n v="8758"/>
    <s v="2025-09-18"/>
    <n v="1"/>
    <s v="BARRANQUILLA"/>
    <x v="5"/>
    <n v="37313"/>
    <n v="37313"/>
  </r>
  <r>
    <n v="79742"/>
    <s v="BARRIO CARVAJAL OSORIO BOGOTA"/>
    <n v="1016065537"/>
    <s v="3114749734"/>
    <s v="3114749734"/>
    <s v="3114749734"/>
    <s v="CL 37BSUR 68M 31,CARVAJAL OSORIO"/>
    <s v="4.6092412"/>
    <s v="-74.1384988"/>
    <s v="CUNDINAMARCA"/>
    <s v="BOGOTÁ"/>
    <s v="BOGOTÁ"/>
    <n v="11001"/>
    <s v="2025-09-18"/>
    <n v="1"/>
    <s v="BOGOTA"/>
    <x v="2"/>
    <n v="37313"/>
    <n v="37313"/>
  </r>
  <r>
    <n v="76789"/>
    <s v="BARRIO LOS NARANJOS BOGOTA"/>
    <n v="1020813424"/>
    <s v="3022605888"/>
    <s v="3022605888"/>
    <s v="3144023692"/>
    <s v="CR 89 130 14,LOS NARANJOS"/>
    <s v="4.7258954"/>
    <s v="-74.0877217"/>
    <s v="CUNDINAMARCA"/>
    <s v="BOGOTÁ"/>
    <s v="BOGOTÁ"/>
    <n v="11001"/>
    <s v="2025-09-18"/>
    <n v="1"/>
    <s v="BOGOTA"/>
    <x v="2"/>
    <n v="37313"/>
    <n v="37313"/>
  </r>
  <r>
    <n v="75386"/>
    <s v="BARRIO EL PROGRESO DUITAMA 2"/>
    <n v="51920637"/>
    <s v="3006284192"/>
    <s v="3013030609"/>
    <s v="3013030609"/>
    <s v="CR 8 NO.12A-24,EL PROGRESO"/>
    <s v="5.8327653"/>
    <s v="-73.0391813"/>
    <s v="BOYACÁ"/>
    <s v="DUITAMA"/>
    <s v="DUITAMA"/>
    <n v="15238"/>
    <s v="2025-09-18"/>
    <n v="1"/>
    <s v="TUNJA"/>
    <x v="4"/>
    <n v="49671.7"/>
    <n v="49671.7"/>
  </r>
  <r>
    <n v="77313"/>
    <s v="BARRIO PATIOS CENTRO LOS PATIOS  9"/>
    <n v="1094044991"/>
    <s v="3223818060"/>
    <s v="3223818060"/>
    <s v="3223818060"/>
    <s v="AV 4 30 85,PATIOS CENTRO"/>
    <s v="7.8385777259962035"/>
    <s v="-72.5034395736389"/>
    <s v="NORTE DE SANTANDER"/>
    <s v="LOS PATIOS"/>
    <s v="LOS PATIOS"/>
    <n v="54405"/>
    <s v="2025-09-18"/>
    <n v="1"/>
    <s v="CUCUTA"/>
    <x v="4"/>
    <n v="49671.7"/>
    <n v="49671.7"/>
  </r>
  <r>
    <n v="77355"/>
    <s v="BARRIO CENTRO FLORENCIA  36"/>
    <n v="17353553"/>
    <s v="3115559291"/>
    <s v="3125496687"/>
    <s v="3125496687"/>
    <s v="CR 12 17 56,CENTRO"/>
    <s v="1.617553"/>
    <s v="-75.614433"/>
    <s v="CAQUETÁ"/>
    <s v="FLORENCIA"/>
    <s v="FLORENCIA"/>
    <n v="18001"/>
    <s v="2025-09-18"/>
    <n v="1"/>
    <s v="NEIVA"/>
    <x v="1"/>
    <n v="49671.7"/>
    <n v="49671.7"/>
  </r>
  <r>
    <n v="77727"/>
    <s v="BARRIO GRANADA ARMENIA  1"/>
    <n v="41929775"/>
    <s v="3016029692"/>
    <s v="3244509909"/>
    <s v="3016029692"/>
    <s v="CR 23 10 A 16 BRR GRANADA,GRANADA"/>
    <s v="4.5437163"/>
    <s v="-75.6729816"/>
    <s v="QUINDÍO"/>
    <s v="ARMENIA"/>
    <s v="ARMENIA"/>
    <n v="63001"/>
    <s v="2025-09-18"/>
    <n v="1"/>
    <s v="PEREIRA"/>
    <x v="6"/>
    <n v="37313"/>
    <n v="37313"/>
  </r>
  <r>
    <n v="77798"/>
    <s v="BARRIO _x0009_CENTRAL MAYORISTA DE ANTIOQUIA ITAGUI"/>
    <n v="901443205"/>
    <s v="3106847619"/>
    <s v="3235431047"/>
    <s v="3106847619"/>
    <s v="CL 85 48 1 BL 6 LC 03,CENTRAL MAYORISTA DE ANTIOQUIA"/>
    <s v="6.187617"/>
    <s v="-75.5915667"/>
    <s v="ANTIOQUIA"/>
    <s v="ITAGÜÍ"/>
    <s v="ITAGÜÍ"/>
    <n v="5360"/>
    <s v="2025-09-18"/>
    <n v="1"/>
    <s v="MEDELLIN"/>
    <x v="0"/>
    <n v="37313"/>
    <n v="37313"/>
  </r>
  <r>
    <n v="77826"/>
    <s v="BARRIO ITAGUI ITAGUI 29"/>
    <n v="79062495"/>
    <s v="3165341933"/>
    <s v="3176677798"/>
    <s v="3165341933"/>
    <s v="CL 88 48 39,ITAGUI"/>
    <s v="6.1936180"/>
    <s v="-75.5893503"/>
    <s v="ANTIOQUIA"/>
    <s v="ITAGÜÍ"/>
    <s v="ITAGÜÍ"/>
    <n v="5360"/>
    <s v="2025-09-18"/>
    <n v="1"/>
    <s v="MEDELLIN"/>
    <x v="0"/>
    <n v="37313"/>
    <n v="37313"/>
  </r>
  <r>
    <n v="77817"/>
    <s v="BARRIO LAS AVENIDAS FLORENCIA 1"/>
    <n v="83055474"/>
    <s v="3123077141"/>
    <s v="3123077141"/>
    <s v="3123077141"/>
    <s v="CR 11 5 B 14,LAS AVENIDAS"/>
    <s v="1.609300"/>
    <s v="-75.606010"/>
    <s v="CAQUETÁ"/>
    <s v="FLORENCIA"/>
    <s v="FLORENCIA"/>
    <n v="18001"/>
    <s v="2025-09-18"/>
    <n v="1"/>
    <s v="NEIVA"/>
    <x v="1"/>
    <n v="49671.7"/>
    <n v="49671.7"/>
  </r>
  <r>
    <n v="17210"/>
    <s v="BARRIO CARLOS E RESTREPO MEDELLIN"/>
    <n v="3364232"/>
    <s v="2305628"/>
    <s v="3113333297"/>
    <s v="3113333297"/>
    <s v=" CL 53  64A-11"/>
    <s v="6.2569417"/>
    <s v="-75.5779837"/>
    <s v="ANTIOQUIA"/>
    <s v="MEDELLÍN"/>
    <s v="MEDELLÍN"/>
    <n v="5001"/>
    <s v="2025-09-19"/>
    <n v="1"/>
    <s v="MEDELLIN"/>
    <x v="0"/>
    <n v="37313"/>
    <n v="37313"/>
  </r>
  <r>
    <n v="21139"/>
    <s v="BARRIO VERSALLES IV - MANIZALEZ"/>
    <n v="10258686"/>
    <s v="8904946"/>
    <s v="3127712270"/>
    <s v="3127712270"/>
    <s v=" CR 23 49 57"/>
    <s v="5.06427446"/>
    <s v="-75.49839993"/>
    <s v="CALDAS"/>
    <s v="MANIZALES"/>
    <s v="MANIZALES"/>
    <n v="17001"/>
    <s v="2025-09-19"/>
    <n v="1"/>
    <s v="MANIZALES"/>
    <x v="6"/>
    <n v="49671.7"/>
    <n v="49671.7"/>
  </r>
  <r>
    <n v="30072"/>
    <s v="BARRIO TIERRA BUENA BOSA - BOGOTÁ "/>
    <n v="65708672"/>
    <s v="4637457"/>
    <s v="3212617936"/>
    <s v="3212617936"/>
    <s v="CR 79A 35-32 SUR"/>
    <s v="4.628311"/>
    <s v="-74.153698"/>
    <s v="CUNDINAMARCA"/>
    <s v="BOGOTÁ"/>
    <s v="BOGOTÁ"/>
    <n v="11001"/>
    <s v="2025-09-19"/>
    <n v="1"/>
    <s v="BOGOTA"/>
    <x v="2"/>
    <n v="37313"/>
    <n v="37313"/>
  </r>
  <r>
    <n v="28218"/>
    <s v="BARRIO CIUDAD KENEDY BOGOTA"/>
    <n v="40334081"/>
    <s v="6349277"/>
    <s v="3173275878"/>
    <s v="3173275878"/>
    <s v="CR 79 B #35 D 21 SUR LC 2"/>
    <s v="4.6273942"/>
    <s v="-74.1553465"/>
    <s v="CUNDINAMARCA"/>
    <s v="BOGOTÁ"/>
    <s v="BOGOTÁ"/>
    <n v="11001"/>
    <s v="2025-09-19"/>
    <n v="1"/>
    <s v="BOGOTA"/>
    <x v="2"/>
    <n v="37313"/>
    <n v="37313"/>
  </r>
  <r>
    <n v="31221"/>
    <s v="BARRIO JARDIN 6"/>
    <n v="5892672"/>
    <s v="2712064"/>
    <s v="3102824973"/>
    <s v="3102824973"/>
    <s v=" CR 4 75 05 JARDIN"/>
    <s v="4.438818"/>
    <s v="-75.184480 "/>
    <s v="TOLIMA"/>
    <s v="IBAGUÉ"/>
    <s v="IBAGUÉ"/>
    <n v="73001"/>
    <s v="2025-09-19"/>
    <n v="1"/>
    <s v="IBAGUE"/>
    <x v="1"/>
    <n v="49671.7"/>
    <n v="49671.7"/>
  </r>
  <r>
    <n v="25685"/>
    <s v="BARRIO CHAPINERO BOGOTA"/>
    <n v="52046837"/>
    <s v="2171795"/>
    <s v="3107677342"/>
    <s v="3107677342"/>
    <s v=" CL 72 20 B 74"/>
    <s v="4.6369386"/>
    <s v="-74.0693848"/>
    <s v="CUNDINAMARCA"/>
    <s v="BOGOTÁ"/>
    <s v="BOGOTÁ"/>
    <n v="11001"/>
    <s v="2025-09-19"/>
    <n v="1"/>
    <s v="BOGOTA"/>
    <x v="2"/>
    <n v="37313"/>
    <n v="37313"/>
  </r>
  <r>
    <n v="34173"/>
    <s v="BARRIO 12 DE OCTUBRE MEDELLIN 4"/>
    <n v="901125659"/>
    <s v="5075226"/>
    <s v="3117445676"/>
    <s v="3117445676"/>
    <s v=" CL 102 A 77 B 66"/>
    <s v="6.3025301"/>
    <s v="-75.5780145"/>
    <s v="ANTIOQUIA"/>
    <s v="MEDELLÍN"/>
    <s v="MEDELLÍN"/>
    <n v="5001"/>
    <s v="2025-09-19"/>
    <n v="2"/>
    <s v="MEDELLIN"/>
    <x v="0"/>
    <n v="37313"/>
    <n v="74626"/>
  </r>
  <r>
    <n v="31405"/>
    <s v="BARRIO MERCADO PUBLICO "/>
    <n v="1102863642"/>
    <s v="6058095"/>
    <s v="3013554769"/>
    <s v="3103605847"/>
    <s v=" CL 31  21 55 MI GA C29 Y C27"/>
    <s v="9.2943735"/>
    <s v="-75.39408228"/>
    <s v="SUCRE"/>
    <s v="SINCELEJO"/>
    <s v="SINCELEJO"/>
    <n v="70001"/>
    <s v="2025-09-19"/>
    <n v="1"/>
    <s v="SINCELEJO"/>
    <x v="5"/>
    <n v="49671.7"/>
    <n v="49671.7"/>
  </r>
  <r>
    <n v="32067"/>
    <s v="BARRIO CIUDADELA METROPOLITANA 4  SOLEDAD "/>
    <n v="900842329"/>
    <s v="3287097"/>
    <s v="3135058549"/>
    <s v="3135058549"/>
    <s v=" CR 17  80 B 30 LOS ALMEDROS 2DA ET"/>
    <s v="10.9165508"/>
    <s v="-74.8180691"/>
    <s v="ATLÁNTICO"/>
    <s v="SOLEDAD"/>
    <s v="SOLEDAD"/>
    <n v="8758"/>
    <s v="2025-09-19"/>
    <n v="1"/>
    <s v="BARRANQUILLA"/>
    <x v="5"/>
    <n v="37313"/>
    <n v="37313"/>
  </r>
  <r>
    <n v="33507"/>
    <s v="BARRIO PORVENIR BUCARAMANGA"/>
    <n v="1095914036"/>
    <s v="6807549"/>
    <s v="3155708587"/>
    <s v="3155708587"/>
    <s v=" CL 104 G 6 A 40  PORVENIR"/>
    <s v="7.0808741"/>
    <s v="-73.1319563"/>
    <s v="SANTANDER"/>
    <s v="BUCARAMANGA"/>
    <s v="BUCARAMANGA"/>
    <n v="68001"/>
    <s v="2025-09-19"/>
    <n v="1"/>
    <s v="BUCARAMANGA"/>
    <x v="4"/>
    <n v="37313"/>
    <n v="37313"/>
  </r>
  <r>
    <n v="26729"/>
    <s v="BARRIO GARUPAL ET 1 VALLEDUPAR"/>
    <n v="77173823"/>
    <s v="5724958"/>
    <s v="3162454866"/>
    <s v="3162454866"/>
    <s v=" MZ 54 CA 11 GAEUPAL ET 1"/>
    <s v="10.472403888"/>
    <s v="-73.266130555"/>
    <s v="CESAR"/>
    <s v="VALLEDUPAR"/>
    <s v="VALLEDUPAR"/>
    <n v="20001"/>
    <s v="2025-09-19"/>
    <n v="1"/>
    <s v="VALLEDUPAR"/>
    <x v="5"/>
    <n v="49671.7"/>
    <n v="49671.7"/>
  </r>
  <r>
    <n v="26578"/>
    <s v="BARRIO LA NORA VILLAVICENCIO"/>
    <n v="42547307"/>
    <s v="6622515"/>
    <s v="3212400034"/>
    <s v="3212400034"/>
    <s v=" CR 49 74 03  LA RA"/>
    <s v="4.0800524"/>
    <s v="-73.6967425"/>
    <s v="META"/>
    <s v="VILLAVICENCIO"/>
    <s v="VILLAVICENCIO"/>
    <n v="50001"/>
    <s v="2025-09-19"/>
    <n v="1"/>
    <s v="VILLAVICENCIO"/>
    <x v="1"/>
    <n v="49671.7"/>
    <n v="49671.7"/>
  </r>
  <r>
    <n v="30809"/>
    <s v="BARRIO GIRARDOT 3"/>
    <n v="37510202"/>
    <s v="6522822"/>
    <s v="3165364488"/>
    <s v="3165364488"/>
    <s v=" CR 6 29 06"/>
    <s v="7.12086161"/>
    <s v="-73.13428618"/>
    <s v="SANTANDER"/>
    <s v="BUCARAMANGA"/>
    <s v="BUCARAMANGA"/>
    <n v="68001"/>
    <s v="2025-09-19"/>
    <n v="1"/>
    <s v="BUCARAMANGA"/>
    <x v="4"/>
    <n v="37313"/>
    <n v="37313"/>
  </r>
  <r>
    <n v="33958"/>
    <s v="BARRIO  SAN JOSE BOGOTA"/>
    <n v="52868140"/>
    <s v="4969569"/>
    <s v="3162482286"/>
    <s v="3162482286"/>
    <s v=" CL 27 SUR 8 A 23"/>
    <s v="4.5712193"/>
    <s v="-74.0969851"/>
    <s v="CUNDINAMARCA"/>
    <s v="BOGOTÁ"/>
    <s v="BOGOTÁ"/>
    <n v="11001"/>
    <s v="2025-09-19"/>
    <n v="1"/>
    <s v="BOGOTA"/>
    <x v="2"/>
    <n v="37313"/>
    <n v="37313"/>
  </r>
  <r>
    <n v="26090"/>
    <s v="BARRIO VILLA LEONOR VALLEDUPAR"/>
    <n v="49736532"/>
    <s v="8713345"/>
    <s v="3215609537"/>
    <s v="3215609537"/>
    <s v=" CL 44 20 54 VALLEDUPAR  VALLEDUPAR  CESAE"/>
    <s v="10.44613873"/>
    <s v="-73.24767704"/>
    <s v="CESAR"/>
    <s v="VALLEDUPAR"/>
    <s v="VALLEDUPAR"/>
    <n v="20001"/>
    <s v="2025-09-19"/>
    <n v="1"/>
    <s v="VALLEDUPAR"/>
    <x v="5"/>
    <n v="49671.7"/>
    <n v="49671.7"/>
  </r>
  <r>
    <n v="10550"/>
    <s v="BARRIO LA CASTELLANA"/>
    <n v="15483059"/>
    <s v="2506927"/>
    <s v="3002665650"/>
    <s v="3002665650"/>
    <s v="CR 83 C 33-91 LA CASTELLANA"/>
    <s v="6.239420"/>
    <s v="-75.607811"/>
    <s v="ANTIOQUIA"/>
    <s v="MEDELLÍN"/>
    <s v="MEDELLÍN"/>
    <n v="5001"/>
    <s v="2025-09-19"/>
    <n v="1"/>
    <s v="MEDELLIN"/>
    <x v="0"/>
    <n v="37313"/>
    <n v="37313"/>
  </r>
  <r>
    <n v="18727"/>
    <s v="BARRIO EL CARMEN II DUITAMA"/>
    <n v="23551456"/>
    <s v="7658398"/>
    <s v="3123758072"/>
    <s v="3123758072"/>
    <s v="CR 17  # 10 104 LC 1"/>
    <s v="5.8248854"/>
    <s v="-73.0364088"/>
    <s v="BOYACÁ"/>
    <s v="DUITAMA"/>
    <s v="DUITAMA"/>
    <n v="15238"/>
    <s v="2025-09-19"/>
    <n v="2"/>
    <s v="TUNJA"/>
    <x v="4"/>
    <n v="49671.7"/>
    <n v="99343.4"/>
  </r>
  <r>
    <n v="24343"/>
    <s v="BARRIO LA ESPERANZA - DUITAMA"/>
    <n v="7321564"/>
    <s v="7605524"/>
    <s v="3102320799"/>
    <s v="3102320799"/>
    <s v=" CL 10 36 93 LC  LA ESPERANZA"/>
    <s v="5.810136"/>
    <s v="-73.02856378"/>
    <s v="BOYACÁ"/>
    <s v="DUITAMA"/>
    <s v="DUITAMA"/>
    <n v="15238"/>
    <s v="2025-09-19"/>
    <n v="2"/>
    <s v="TUNJA"/>
    <x v="4"/>
    <n v="49671.7"/>
    <n v="99343.4"/>
  </r>
  <r>
    <n v="26558"/>
    <s v="BARRIO SANTA MONICA 3 MEDELLIN"/>
    <n v="70430393"/>
    <s v="2523448"/>
    <s v="3017789524"/>
    <s v="3017789524"/>
    <s v=" CL 37 98 09"/>
    <s v="6.2504499"/>
    <s v="-75.6165943"/>
    <s v="ANTIOQUIA"/>
    <s v="MEDELLÍN"/>
    <s v="MEDELLÍN"/>
    <n v="5001"/>
    <s v="2025-09-19"/>
    <n v="1"/>
    <s v="MEDELLIN"/>
    <x v="0"/>
    <n v="37313"/>
    <n v="37313"/>
  </r>
  <r>
    <n v="33873"/>
    <s v="BARRIO ALCAZARES SANTA MARTA 1"/>
    <n v="22461006"/>
    <m/>
    <s v="3167588321"/>
    <s v="3167588321"/>
    <s v="CR 16 # 24 A 55"/>
    <s v="11.235190"/>
    <s v="-74.2003440"/>
    <s v="MAGDALENA"/>
    <s v="SANTA MARTA"/>
    <s v="SANTA MARTA"/>
    <n v="47001"/>
    <s v="2025-09-19"/>
    <n v="1"/>
    <s v="SANTA MARTA"/>
    <x v="5"/>
    <n v="49671.7"/>
    <n v="49671.7"/>
  </r>
  <r>
    <n v="44880"/>
    <s v="BARRIO LA FLORIDA TUNJA 1"/>
    <n v="4052520"/>
    <s v="3112522496"/>
    <s v="3112522496"/>
    <s v="3112522496"/>
    <s v="CL 2 8 A 28,LA FLORIDA"/>
    <s v="5.514"/>
    <s v="-73.369"/>
    <s v="BOYACÁ"/>
    <s v="TUNJA"/>
    <s v="TUNJA"/>
    <n v="15001"/>
    <s v="2025-09-19"/>
    <n v="1"/>
    <s v="TUNJA"/>
    <x v="4"/>
    <n v="49671.7"/>
    <n v="49671.7"/>
  </r>
  <r>
    <n v="45359"/>
    <s v="BARRIO MONTERREDONDO BUCARAMANGA 1"/>
    <n v="37862302"/>
    <s v="6955524"/>
    <s v="3012086831"/>
    <s v="3012086831"/>
    <s v="CR 17 W 64 41 APARTAMENTO 101,MONTERREDONDO"/>
    <s v="7.0922150"/>
    <s v="-73.1341030"/>
    <s v="SANTANDER"/>
    <s v="BUCARAMANGA"/>
    <s v="BUCARAMANGA"/>
    <n v="68001"/>
    <s v="2025-09-19"/>
    <n v="1"/>
    <s v="BUCARAMANGA"/>
    <x v="4"/>
    <n v="37313"/>
    <n v="37313"/>
  </r>
  <r>
    <n v="46126"/>
    <s v="BARRIO JORDAN TUNJA"/>
    <n v="40049751"/>
    <m/>
    <s v="3103376392"/>
    <s v="3103376392"/>
    <s v="CL 12 5 05,JORDAN"/>
    <s v="5.523"/>
    <s v="-73.360"/>
    <s v="BOYACÁ"/>
    <s v="TUNJA"/>
    <s v="TUNJA"/>
    <n v="15001"/>
    <s v="2025-09-19"/>
    <n v="1"/>
    <s v="TUNJA"/>
    <x v="4"/>
    <n v="49671.7"/>
    <n v="49671.7"/>
  </r>
  <r>
    <n v="37423"/>
    <s v="BARRIO MUTIS BUCARAMANGA 2"/>
    <n v="37723570"/>
    <s v="6882128"/>
    <s v="3024524580"/>
    <s v="3168141217"/>
    <s v=" CL 55 1 W 66 MUTIS"/>
    <s v="7.10270845"/>
    <s v="-73.1306056"/>
    <s v="SANTANDER"/>
    <s v="BUCARAMANGA"/>
    <s v="BUCARAMANGA"/>
    <n v="68001"/>
    <s v="2025-09-19"/>
    <n v="1"/>
    <s v="BUCARAMANGA"/>
    <x v="4"/>
    <n v="37313"/>
    <n v="37313"/>
  </r>
  <r>
    <n v="43422"/>
    <s v="BARRIO TOSCANA MEDELLIN 1"/>
    <n v="40993803"/>
    <m/>
    <s v="3183727911"/>
    <s v="3183727911"/>
    <s v="CR 64 111 E 84,TOSCANA"/>
    <s v="6.305451"/>
    <s v="-75.55833"/>
    <s v="ANTIOQUIA"/>
    <s v="MEDELLÍN"/>
    <s v="MEDELLÍN"/>
    <n v="5001"/>
    <s v="2025-09-19"/>
    <n v="1"/>
    <s v="MEDELLIN"/>
    <x v="0"/>
    <n v="37313"/>
    <n v="37313"/>
  </r>
  <r>
    <n v="48505"/>
    <s v="BARRIO AMBERES CARTAGENA DE INDIAS"/>
    <n v="73145480"/>
    <s v="0"/>
    <s v="3013194807"/>
    <s v="3128963624"/>
    <s v="CL 28 44 04 ,AMBERES"/>
    <s v="10.4050133"/>
    <s v="-75.5142727"/>
    <s v="BOLÍVAR"/>
    <s v="CARTAGENA DE INDIAS"/>
    <s v="CARTAGENA DE INDIAS"/>
    <n v="13001"/>
    <s v="2025-09-19"/>
    <n v="2"/>
    <s v="CARTAGENA"/>
    <x v="5"/>
    <n v="49671.7"/>
    <n v="99343.4"/>
  </r>
  <r>
    <n v="36428"/>
    <s v="BARRIO BELLO HORIZONTE MEDELLIN"/>
    <n v="10238200"/>
    <s v="2641763"/>
    <s v="3113181547"/>
    <s v="3113181547"/>
    <s v=" CR 85 B 77 CE 38"/>
    <s v="6.2828103"/>
    <s v="-75.5892113"/>
    <s v="ANTIOQUIA"/>
    <s v="MEDELLÍN"/>
    <s v="MEDELLÍN"/>
    <n v="5001"/>
    <s v="2025-09-19"/>
    <n v="1"/>
    <s v="MEDELLIN"/>
    <x v="0"/>
    <n v="37313"/>
    <n v="37313"/>
  </r>
  <r>
    <n v="41551"/>
    <s v="BARRIO CENTRO MONTERIA 19"/>
    <n v="900808858"/>
    <s v="7947371"/>
    <s v="3104946795"/>
    <s v="3126190502"/>
    <s v="CR 7 29 08 ,CENTRO"/>
    <s v="8.7545727"/>
    <s v="-75.8836749"/>
    <s v="CÓRDOBA"/>
    <s v="MONTERÍA"/>
    <s v="MONTERÍA"/>
    <n v="23001"/>
    <s v="2025-09-19"/>
    <n v="1"/>
    <s v="MONTERIA"/>
    <x v="5"/>
    <n v="37313"/>
    <n v="37313"/>
  </r>
  <r>
    <n v="45609"/>
    <s v="BARRIO PEREIRA RISARALDA 1"/>
    <n v="1088001050"/>
    <m/>
    <s v="3113962000"/>
    <s v="3113962000"/>
    <s v="AV PRINCIPAL ALTAGRACIA CL 86 92 - 15"/>
    <s v="4.738142"/>
    <s v="-75.7122682"/>
    <s v="RISARALDA"/>
    <s v="PEREIRA"/>
    <s v="PEREIRA"/>
    <n v="66001"/>
    <s v="2025-09-19"/>
    <n v="1"/>
    <s v="PEREIRA"/>
    <x v="6"/>
    <n v="37313"/>
    <n v="37313"/>
  </r>
  <r>
    <n v="40351"/>
    <s v="BARRIO CENTRO MONTERIA 12"/>
    <n v="1065003181"/>
    <s v="3148900147"/>
    <s v="3234946938"/>
    <s v="3216787735"/>
    <s v="CL 38 7 54,CENTRO"/>
    <s v="8.7596615"/>
    <s v="-75.8785487"/>
    <s v="CÓRDOBA"/>
    <s v="MONTERÍA"/>
    <s v="MONTERÍA"/>
    <n v="23001"/>
    <s v="2025-09-19"/>
    <n v="1"/>
    <s v="MONTERIA"/>
    <x v="5"/>
    <n v="37313"/>
    <n v="37313"/>
  </r>
  <r>
    <n v="49071"/>
    <s v="BARRO ROBLEDO PAJARITO MEDELLIN"/>
    <n v="32019071"/>
    <s v="3054223464"/>
    <s v="3054223464"/>
    <s v="3054223464"/>
    <s v="CR 99 65 265 TO 1 AP 0118,ROBLEDO PAJARITO"/>
    <s v="6.286431"/>
    <s v=" -75.611433"/>
    <s v="ANTIOQUIA"/>
    <s v="MEDELLÍN"/>
    <s v="MEDELLÍN"/>
    <n v="5001"/>
    <s v="2025-09-19"/>
    <n v="1"/>
    <s v="MEDELLIN"/>
    <x v="0"/>
    <n v="37313"/>
    <n v="37313"/>
  </r>
  <r>
    <n v="49231"/>
    <s v="BARRIO FLORIDA BLANCA YOPAL"/>
    <n v="1118547152"/>
    <s v="0"/>
    <s v="3202406045"/>
    <s v="3202406045"/>
    <s v="TV 7 31 A 28,FLORIDA BLANCA"/>
    <s v="5.3244980"/>
    <s v="-72.4027804"/>
    <s v="CASANARE"/>
    <s v="YOPAL"/>
    <s v="YOPAL"/>
    <n v="85001"/>
    <s v="2025-09-19"/>
    <n v="2"/>
    <s v="YOPAL"/>
    <x v="1"/>
    <n v="49671.7"/>
    <n v="99343.4"/>
  </r>
  <r>
    <n v="40656"/>
    <s v="BARRIO COMUNEROS BUCARAMANGA"/>
    <n v="63541199"/>
    <s v="3185146481"/>
    <s v="3184701992"/>
    <s v="3184701992"/>
    <s v="CR 17 9 18 EDIFICIO DEUSTO LOFT,COMUNEROS"/>
    <s v="7.1369029"/>
    <s v="-73.12947031"/>
    <s v="SANTANDER"/>
    <s v="BUCARAMANGA"/>
    <s v="BUCARAMANGA"/>
    <n v="68001"/>
    <s v="2025-09-19"/>
    <n v="1"/>
    <s v="BUCARAMANGA"/>
    <x v="4"/>
    <n v="37313"/>
    <n v="37313"/>
  </r>
  <r>
    <n v="50043"/>
    <s v="BARRIO ALTO JORDAN CALI"/>
    <n v="1130683821"/>
    <s v="0"/>
    <s v="3145196638"/>
    <s v="3145196638"/>
    <s v="CL 2 B OESTE93 BIS 32,ALTO JORDAN"/>
    <s v="3.3782200"/>
    <s v="-76.5566966"/>
    <s v="VALLE DEL CAUCA"/>
    <s v="CALI"/>
    <s v="SANTIAGO DE CALI"/>
    <n v="76001"/>
    <s v="2025-09-19"/>
    <n v="1"/>
    <s v="CALI"/>
    <x v="3"/>
    <n v="37313"/>
    <n v="37313"/>
  </r>
  <r>
    <n v="38073"/>
    <s v="BARRIO GIRARDOT BUCARMANGA"/>
    <n v="1098714159"/>
    <s v="6701825"/>
    <s v="3015032582"/>
    <s v="3118846199"/>
    <s v=" CL 27 5 41 LC 1 GIRAEDOT"/>
    <s v="7.1218225"/>
    <s v="-73.1350352"/>
    <s v="SANTANDER"/>
    <s v="BUCARAMANGA"/>
    <s v="BUCARAMANGA"/>
    <n v="68001"/>
    <s v="2025-09-19"/>
    <n v="1"/>
    <s v="BUCARAMANGA"/>
    <x v="4"/>
    <n v="37313"/>
    <n v="37313"/>
  </r>
  <r>
    <n v="39641"/>
    <s v="BARRIO QUITASOL BELLO "/>
    <n v="1036671531"/>
    <s v="4796853"/>
    <s v="3205706892"/>
    <s v="3205706892"/>
    <s v="diagonal 65 #40-18"/>
    <s v="6.3461082"/>
    <s v="-75.5473182"/>
    <s v="ANTIOQUIA"/>
    <s v="BELLO"/>
    <s v="BELLO"/>
    <n v="5088"/>
    <s v="2025-09-19"/>
    <n v="2"/>
    <s v="MEDELLIN"/>
    <x v="0"/>
    <n v="37313"/>
    <n v="74626"/>
  </r>
  <r>
    <n v="46031"/>
    <s v="BARRIO EL FARAON DUITAMA"/>
    <n v="1048690187"/>
    <s v="3203542211"/>
    <s v="3142356184"/>
    <s v="3142356184"/>
    <s v="CL 20 NO.29-53,EL FARAON"/>
    <s v="5.8207800"/>
    <s v="-73.0246205"/>
    <s v="BOYACÁ"/>
    <s v="DUITAMA"/>
    <s v="DUITAMA"/>
    <n v="15238"/>
    <s v="2025-09-19"/>
    <n v="1"/>
    <s v="TUNJA"/>
    <x v="4"/>
    <n v="49671.7"/>
    <n v="49671.7"/>
  </r>
  <r>
    <n v="45652"/>
    <s v="BARRIO LLERAS MANIZALES"/>
    <n v="1058818872"/>
    <m/>
    <s v="3156385523"/>
    <s v="3128419501"/>
    <s v="CL 48 26 20 ,LLERAS"/>
    <s v="5.062669"/>
    <s v="-75.501158"/>
    <s v="CALDAS"/>
    <s v="MANIZALES"/>
    <s v="MANIZALES"/>
    <n v="17001"/>
    <s v="2025-09-19"/>
    <n v="1"/>
    <s v="MANIZALES"/>
    <x v="6"/>
    <n v="49671.7"/>
    <n v="49671.7"/>
  </r>
  <r>
    <n v="46599"/>
    <s v="BARRIO SAN BERNARDO BOGOTA 1"/>
    <n v="51746037"/>
    <s v="1"/>
    <s v="3123466987"/>
    <s v="3123466987"/>
    <s v="CL 2 12 A 11,SAN BERNARDO"/>
    <s v="4.5930462"/>
    <s v="-74.0861274"/>
    <s v="CUNDINAMARCA"/>
    <s v="BOGOTÁ"/>
    <s v="BOGOTÁ"/>
    <n v="11001"/>
    <s v="2025-09-19"/>
    <n v="1"/>
    <s v="BOGOTA"/>
    <x v="2"/>
    <n v="37313"/>
    <n v="37313"/>
  </r>
  <r>
    <n v="38165"/>
    <s v="BARRIO MERCADO PUBLICO SINCELEJO 1"/>
    <n v="64584627"/>
    <s v="2820697"/>
    <s v="3043982275"/>
    <s v="3043982275"/>
    <s v=" CL 38 19 232 MA B3 B26 MERCADO PUBLICO"/>
    <s v="9.2943313"/>
    <s v="-75.3855103"/>
    <s v="SUCRE"/>
    <s v="SINCELEJO"/>
    <s v="SINCELEJO"/>
    <n v="70001"/>
    <s v="2025-09-19"/>
    <n v="1"/>
    <s v="SINCELEJO"/>
    <x v="5"/>
    <n v="49671.7"/>
    <n v="49671.7"/>
  </r>
  <r>
    <n v="50606"/>
    <s v="BARRIO LOS NARANJOS ITAGUI"/>
    <n v="1122125206"/>
    <s v="2095696"/>
    <s v="3183878841"/>
    <s v="3183878841"/>
    <s v="CR 49 53 55,LOS NARANJOS"/>
    <s v="6.172305"/>
    <s v="-75.606537"/>
    <s v="ANTIOQUIA"/>
    <s v="ITAGÜÍ"/>
    <s v="ITAGÜÍ"/>
    <n v="5360"/>
    <s v="2025-09-19"/>
    <n v="1"/>
    <s v="MEDELLIN"/>
    <x v="0"/>
    <n v="37313"/>
    <n v="37313"/>
  </r>
  <r>
    <n v="51714"/>
    <s v="BARRIO LA ROSITA 2 VILLAVICENCIO"/>
    <n v="40398000"/>
    <s v="3142874203"/>
    <s v="3142874203"/>
    <s v="3142874203"/>
    <s v="CL 12 SUR32 32 LA ROSITA 2,LA ROSITA 2"/>
    <s v="4.112225"/>
    <s v="-73.615584"/>
    <s v="META"/>
    <s v="VILLAVICENCIO"/>
    <s v="VILLAVICENCIO"/>
    <n v="50001"/>
    <s v="2025-09-19"/>
    <n v="1"/>
    <s v="VILLAVICENCIO"/>
    <x v="1"/>
    <n v="49671.7"/>
    <n v="49671.7"/>
  </r>
  <r>
    <n v="52800"/>
    <s v="BARRIO VILLA LILIANA ARMENIA 1"/>
    <n v="41959771"/>
    <s v="0"/>
    <s v="3155552340"/>
    <s v="3155552640"/>
    <s v="Carrera 40 # 43- 66, barrio villa Liliana"/>
    <s v="4.5352894"/>
    <s v="-75.6987992"/>
    <s v="QUINDÍO"/>
    <s v="ARMENIA"/>
    <s v="ARMENIA"/>
    <n v="63001"/>
    <s v="2025-09-19"/>
    <n v="1"/>
    <s v="PEREIRA"/>
    <x v="6"/>
    <n v="37313"/>
    <n v="37313"/>
  </r>
  <r>
    <n v="52611"/>
    <s v="BARRIO MUTIS BUCARAMANGA 3"/>
    <n v="63495660"/>
    <s v="6741291"/>
    <s v="3165288571"/>
    <s v="3165288571"/>
    <s v="CR 3 W 62 31,MUTIS"/>
    <s v="7.09830213"/>
    <s v="-73.12905817"/>
    <s v="SANTANDER"/>
    <s v="BUCARAMANGA"/>
    <s v="BUCARAMANGA"/>
    <n v="68001"/>
    <s v="2025-09-19"/>
    <n v="1"/>
    <s v="BUCARAMANGA"/>
    <x v="4"/>
    <n v="37313"/>
    <n v="37313"/>
  </r>
  <r>
    <n v="51904"/>
    <s v="BARRIO LOS CANELOS BUCARAMANGA"/>
    <n v="63511705"/>
    <s v="3214690324"/>
    <s v="3103743529"/>
    <s v="3214690324"/>
    <s v="CR 3 A 65 B 01,LOS CANELOS"/>
    <s v="7.097878"/>
    <s v="-73.1227326"/>
    <s v="SANTANDER"/>
    <s v="BUCARAMANGA"/>
    <s v="BUCARAMANGA"/>
    <n v="68001"/>
    <s v="2025-09-19"/>
    <n v="1"/>
    <s v="BUCARAMANGA"/>
    <x v="4"/>
    <n v="37313"/>
    <n v="37313"/>
  </r>
  <r>
    <n v="50585"/>
    <s v="BARRIO REMANSO VILLAVICENCIO 2"/>
    <n v="22159402"/>
    <s v="0"/>
    <s v="3118107893"/>
    <s v="3118107893"/>
    <s v="CR 16 NRO. 18 -29 REMANSO,REMANSO"/>
    <s v="4.137379"/>
    <s v="-73.618021"/>
    <s v="META"/>
    <s v="VILLAVICENCIO"/>
    <s v="VILLAVICENCIO"/>
    <n v="50001"/>
    <s v="2025-09-19"/>
    <n v="2"/>
    <s v="VILLAVICENCIO"/>
    <x v="1"/>
    <n v="49671.7"/>
    <n v="99343.4"/>
  </r>
  <r>
    <n v="51766"/>
    <s v="BARRIO AMERICAS VILLAVICENCIO 2"/>
    <n v="86049755"/>
    <s v="3155558203"/>
    <s v="3155558205"/>
    <s v="3155558205"/>
    <s v=" CR 24 22 17 SUR MZ B CASA 9  "/>
    <s v="4.101236"/>
    <s v="-73.615334"/>
    <s v="META"/>
    <s v="VILLAVICENCIO"/>
    <s v="VILLAVICENCIO"/>
    <n v="50001"/>
    <s v="2025-09-19"/>
    <n v="1"/>
    <s v="VILLAVICENCIO"/>
    <x v="1"/>
    <n v="49671.7"/>
    <n v="49671.7"/>
  </r>
  <r>
    <n v="52961"/>
    <s v="BARRIO FLORESTA MEDELLIN 4"/>
    <n v="43570069"/>
    <s v="0"/>
    <s v="3192616125"/>
    <s v="3192616125"/>
    <s v="CR 96 B 49 C 5"/>
    <s v="6.2640319"/>
    <s v="-75.6082558"/>
    <s v="ANTIOQUIA"/>
    <s v="MEDELLÍN"/>
    <s v="MEDELLÍN"/>
    <n v="5001"/>
    <s v="2025-09-19"/>
    <n v="1"/>
    <s v="MEDELLIN"/>
    <x v="0"/>
    <n v="37313"/>
    <n v="37313"/>
  </r>
  <r>
    <n v="54426"/>
    <s v="BARRIO LOS CEDROS SOLEDAD 1"/>
    <n v="7922983"/>
    <s v="3014701881"/>
    <s v="3002028771"/>
    <s v="3014701881"/>
    <s v="CL 76 17 B 19,LOS CEDROS"/>
    <s v="10.9162248"/>
    <s v="-74.8089356"/>
    <s v="ATLÁNTICO"/>
    <s v="SOLEDAD"/>
    <s v="SOLEDAD"/>
    <n v="8758"/>
    <s v="2025-09-19"/>
    <n v="1"/>
    <s v="BARRANQUILLA"/>
    <x v="5"/>
    <n v="37313"/>
    <n v="37313"/>
  </r>
  <r>
    <n v="53649"/>
    <s v="BARRIO CIUDAD SALITRE SOLEDAD"/>
    <n v="78078945"/>
    <s v="3006131190"/>
    <s v="3006131190"/>
    <s v="3006131190"/>
    <s v="DG 1 C 68 75"/>
    <s v="10.8860471"/>
    <s v="-74.8077383"/>
    <s v="ATLÁNTICO"/>
    <s v="SOLEDAD"/>
    <s v="SOLEDAD"/>
    <n v="8758"/>
    <s v="2025-09-19"/>
    <n v="1"/>
    <s v="BARRANQUILLA"/>
    <x v="5"/>
    <n v="37313"/>
    <n v="37313"/>
  </r>
  <r>
    <n v="55722"/>
    <s v="BARRIO PUEBLO NUEVO MONTERIA"/>
    <n v="1067843287"/>
    <s v="3148028900"/>
    <s v="3148028900"/>
    <s v="3148028900"/>
    <s v="CL 24 13 65 LOCAL 1,PUEBLO NUEVO"/>
    <s v="8.7485868"/>
    <s v="-75.8806320"/>
    <s v="CÓRDOBA"/>
    <s v="MONTERÍA"/>
    <s v="MONTERÍA"/>
    <n v="23001"/>
    <s v="2025-09-19"/>
    <n v="1"/>
    <s v="MONTERIA"/>
    <x v="5"/>
    <n v="37313"/>
    <n v="37313"/>
  </r>
  <r>
    <n v="51517"/>
    <s v="BARRIO CIUDADELA METROPOLITANA SOLEDAD 4"/>
    <n v="33107171"/>
    <s v="3015769728"/>
    <s v="3015769728"/>
    <s v="3015769728"/>
    <s v="CL 56 E 6 E 98,CIUDADELA METROPOLITANA"/>
    <s v="10.9007981"/>
    <s v="-74.7926584"/>
    <s v="ATLÁNTICO"/>
    <s v="SOLEDAD"/>
    <s v="SOLEDAD"/>
    <n v="8758"/>
    <s v="2025-09-19"/>
    <n v="1"/>
    <s v="BARRANQUILLA"/>
    <x v="5"/>
    <n v="37313"/>
    <n v="37313"/>
  </r>
  <r>
    <n v="56927"/>
    <s v="BARRIO MARIA MILENA 3 YOPAL"/>
    <n v="52731341"/>
    <s v="0"/>
    <s v="3118690710"/>
    <s v="3118690710"/>
    <s v="CL   37  13  13"/>
    <s v="5.0030879"/>
    <s v="-72.6885759"/>
    <s v="CASANARE"/>
    <s v="YOPAL"/>
    <s v="YOPAL"/>
    <n v="85001"/>
    <s v="2025-09-19"/>
    <n v="1"/>
    <s v="YOPAL"/>
    <x v="1"/>
    <n v="49671.7"/>
    <n v="49671.7"/>
  </r>
  <r>
    <n v="57061"/>
    <s v="BARRIO LA PAJUELA SINCELEJO 3"/>
    <n v="92537612"/>
    <s v="6052791043"/>
    <s v="3218065928"/>
    <s v="3218065928"/>
    <s v="CL 21 NRO 14 - 08,LA PAJUELA"/>
    <s v="9.3028388"/>
    <s v="-75.3977860"/>
    <s v="SUCRE"/>
    <s v="SINCELEJO"/>
    <s v="SINCELEJO"/>
    <n v="70001"/>
    <s v="2025-09-19"/>
    <n v="1"/>
    <s v="SINCELEJO"/>
    <x v="5"/>
    <n v="49671.7"/>
    <n v="49671.7"/>
  </r>
  <r>
    <n v="57195"/>
    <s v="BARRIO SANTA MARIA ITAGUI 7"/>
    <n v="43440125"/>
    <s v="3113373972"/>
    <s v="3113373972"/>
    <s v="3113373972"/>
    <s v="CR 50 72 A 05"/>
    <s v="6.1827796"/>
    <s v="-75.5966531"/>
    <s v="ANTIOQUIA"/>
    <s v="ITAGÜÍ"/>
    <s v="ITAGÜÍ"/>
    <n v="5360"/>
    <s v="2025-09-19"/>
    <n v="2"/>
    <s v="MEDELLIN"/>
    <x v="0"/>
    <n v="37313"/>
    <n v="74626"/>
  </r>
  <r>
    <n v="57784"/>
    <s v="BARRIO SANTA HELENA MANIZALES"/>
    <n v="24341148"/>
    <s v="8759309"/>
    <s v="3206966034"/>
    <s v="3234410305"/>
    <s v="CARRERA 22 44 101 ,SANTA HELENA"/>
    <s v="5.0664028"/>
    <s v="-75.5019736"/>
    <s v="CALDAS"/>
    <s v="MANIZALES"/>
    <s v="MANIZALES"/>
    <n v="17001"/>
    <s v="2025-09-19"/>
    <n v="1"/>
    <s v="MANIZALES"/>
    <x v="6"/>
    <n v="49671.7"/>
    <n v="49671.7"/>
  </r>
  <r>
    <n v="58298"/>
    <s v="BARRIO SANTA MARIA ITAGUI 8"/>
    <n v="1040748766"/>
    <s v="5574193"/>
    <s v="3041221008"/>
    <s v="3041221008"/>
    <s v="CR 52 NO 76-14,SANTA MARÍA"/>
    <s v="6.1858455"/>
    <s v="-75.5956208"/>
    <s v="ANTIOQUIA"/>
    <s v="ITAGÜÍ"/>
    <s v="ITAGÜÍ"/>
    <n v="5360"/>
    <s v="2025-09-19"/>
    <n v="1"/>
    <s v="MEDELLIN"/>
    <x v="0"/>
    <n v="37313"/>
    <n v="37313"/>
  </r>
  <r>
    <n v="56393"/>
    <s v="BARRIO VILLA LEONOR VALLEDUPAR 1"/>
    <n v="901254092"/>
    <s v="3002674241"/>
    <s v="3205647446"/>
    <s v="3205647446"/>
    <s v="CR 20 39 46,VILLA LEONOR"/>
    <s v="10.44829479"/>
    <s v="-73.24782505"/>
    <s v="CESAR"/>
    <s v="VALLEDUPAR"/>
    <s v="VALLEDUPAR"/>
    <n v="20001"/>
    <s v="2025-09-19"/>
    <n v="2"/>
    <s v="VALLEDUPAR"/>
    <x v="5"/>
    <n v="49671.7"/>
    <n v="99343.4"/>
  </r>
  <r>
    <n v="57053"/>
    <s v="BARRIO CENTRO AIPE 4"/>
    <n v="1075541769"/>
    <s v="0"/>
    <s v="0"/>
    <s v="3118709281"/>
    <s v="CR 4 3 09 local 102"/>
    <s v="2.254957"/>
    <s v="-75.769982"/>
    <s v="HUILA"/>
    <s v="AIPE"/>
    <s v="AIPE"/>
    <n v="41016"/>
    <s v="2025-09-19"/>
    <n v="1"/>
    <s v="NEIVA"/>
    <x v="1"/>
    <n v="49671.7"/>
    <n v="49671.7"/>
  </r>
  <r>
    <n v="55481"/>
    <s v="BARRIO MEJORAS PUBLICAS BUCARAMANGA 6"/>
    <n v="37838672"/>
    <s v="6451402"/>
    <s v="3002141992"/>
    <s v="3002141992"/>
    <s v="CL 34 32 93, MEJORAS PUBLICAS"/>
    <s v="7.1254604"/>
    <s v="-73.1129223"/>
    <s v="SANTANDER"/>
    <s v="BUCARAMANGA"/>
    <s v="BUCARAMANGA"/>
    <n v="68001"/>
    <s v="2025-09-19"/>
    <n v="1"/>
    <s v="BUCARAMANGA"/>
    <x v="4"/>
    <n v="37313"/>
    <n v="37313"/>
  </r>
  <r>
    <n v="56908"/>
    <s v="BARRIO ROBLEDO MEDELLIN 17"/>
    <n v="1152684562"/>
    <s v="5032227"/>
    <s v="3015758491"/>
    <s v="3207742359"/>
    <s v="CR 103 A 61 AA 76"/>
    <s v="6.2763555"/>
    <s v="-75.6124145"/>
    <s v="ANTIOQUIA"/>
    <s v="MEDELLÍN"/>
    <s v="MEDELLÍN"/>
    <n v="5001"/>
    <s v="2025-09-19"/>
    <n v="1"/>
    <s v="MEDELLIN"/>
    <x v="0"/>
    <n v="37313"/>
    <n v="37313"/>
  </r>
  <r>
    <n v="59520"/>
    <s v="BARRIO ALTAGRACIA PEREIRA"/>
    <n v="1088313832"/>
    <s v="3104269968"/>
    <s v="3104269968"/>
    <s v="3103936939"/>
    <s v="CL PRINCIPAL ALTAGRACIA ESTACION DE GASOLINA BIOMAX LC 3"/>
    <s v="4.7366813"/>
    <s v="-75.7134929"/>
    <s v="RISARALDA"/>
    <s v="PEREIRA"/>
    <s v="PEREIRA"/>
    <n v="66001"/>
    <s v="2025-09-19"/>
    <n v="1"/>
    <s v="PEREIRA"/>
    <x v="6"/>
    <n v="37313"/>
    <n v="37313"/>
  </r>
  <r>
    <n v="60623"/>
    <s v="BARRIO LA ESPERANZA BOGOTA 2"/>
    <n v="1094945069"/>
    <s v="3116859885"/>
    <s v="3116859885"/>
    <s v="3116859885"/>
    <s v="CL 66 # 15 - 19,LA ESPERANZA"/>
    <s v="4.6537494"/>
    <s v="-74.0651821"/>
    <s v="CUNDINAMARCA"/>
    <s v="BOGOTÁ"/>
    <s v="BOGOTÁ"/>
    <n v="11001"/>
    <s v="2025-09-19"/>
    <n v="1"/>
    <s v="BOGOTA"/>
    <x v="2"/>
    <n v="37313"/>
    <n v="37313"/>
  </r>
  <r>
    <n v="60357"/>
    <s v="BARRIO GRAN COLOMBIA VILLA DEL ROSARIO"/>
    <n v="60411666"/>
    <s v="3177056335"/>
    <s v="3107683063"/>
    <s v="3177056335"/>
    <s v="CR 10 NRO 24-56,GRAN COLOMBIA"/>
    <s v="7.8161636"/>
    <s v="-72.47548477"/>
    <s v="NORTE DE SANTANDER"/>
    <s v="VILLA DEL ROSARIO"/>
    <s v="VILLA DEL ROSARIO"/>
    <n v="54874"/>
    <s v="2025-09-19"/>
    <n v="1"/>
    <s v="CUCUTA"/>
    <x v="4"/>
    <n v="49671.7"/>
    <n v="49671.7"/>
  </r>
  <r>
    <n v="60344"/>
    <s v="BARRIO SAN RAFAEL CUCUTA 2"/>
    <n v="60387930"/>
    <s v="0"/>
    <s v="3233210219"/>
    <s v="3233210219"/>
    <s v="AV 1 31-79 LC 2 BR SAN RAFAEL"/>
    <s v="7.52134"/>
    <s v="-72.30895"/>
    <s v="NORTE DE SANTANDER"/>
    <s v="CÚCUTA"/>
    <s v="CÚCUTA"/>
    <n v="54001"/>
    <s v="2025-09-19"/>
    <n v="1"/>
    <s v="CUCUTA"/>
    <x v="4"/>
    <n v="49671.7"/>
    <n v="49671.7"/>
  </r>
  <r>
    <n v="60874"/>
    <s v="BARRIO KENNEDY TEQUENDAMA BOGOTA"/>
    <n v="80733823"/>
    <s v="0"/>
    <s v="3232479520"/>
    <s v="3144653173"/>
    <s v="CL 39 A SUR NO. 78 P 33"/>
    <s v="4.6235426"/>
    <s v="-74.1571373"/>
    <s v="CUNDINAMARCA"/>
    <s v="BOGOTÁ"/>
    <s v="BOGOTÁ"/>
    <n v="11001"/>
    <s v="2025-09-19"/>
    <n v="1"/>
    <s v="BOGOTA"/>
    <x v="2"/>
    <n v="37313"/>
    <n v="37313"/>
  </r>
  <r>
    <n v="61246"/>
    <s v="BARRIO SAN FELIPE BOGOTA 2"/>
    <n v="20795898"/>
    <s v="0"/>
    <s v="3227533309"/>
    <s v="3227533309"/>
    <s v="CALLE 73 20 A 71"/>
    <s v="4.6618441"/>
    <s v="-74.0631912"/>
    <s v="CUNDINAMARCA"/>
    <s v="BOGOTÁ"/>
    <s v="BOGOTÁ"/>
    <n v="11001"/>
    <s v="2025-09-19"/>
    <n v="1"/>
    <s v="BOGOTA"/>
    <x v="2"/>
    <n v="37313"/>
    <n v="37313"/>
  </r>
  <r>
    <n v="58978"/>
    <s v="BARRIO POLICARPA BOGOTA 6"/>
    <n v="79472963"/>
    <s v="3914429"/>
    <s v="3134969001"/>
    <s v="3134969001"/>
    <s v="CR 11 3 -55 SUR"/>
    <s v="4.5867017"/>
    <s v="-74.08857"/>
    <s v="CUNDINAMARCA"/>
    <s v="BOGOTÁ"/>
    <s v="BOGOTÁ"/>
    <n v="11001"/>
    <s v="2025-09-19"/>
    <n v="1"/>
    <s v="BOGOTA"/>
    <x v="2"/>
    <n v="37313"/>
    <n v="37313"/>
  </r>
  <r>
    <n v="62209"/>
    <s v="BARRIO RINCON BOGOTA 4"/>
    <n v="52496283"/>
    <s v="311 4602565"/>
    <s v="3114602565"/>
    <s v="3114602565"/>
    <s v="CL 129 B 95 15,RINCÓN"/>
    <s v="4.726571"/>
    <s v="-74.094533"/>
    <s v="CUNDINAMARCA"/>
    <s v="BOGOTÁ"/>
    <s v="BOGOTÁ"/>
    <n v="11001"/>
    <s v="2025-09-19"/>
    <n v="1"/>
    <s v="BOGOTA"/>
    <x v="2"/>
    <n v="37313"/>
    <n v="37313"/>
  </r>
  <r>
    <n v="59686"/>
    <s v="BARRIO LA FLORESTA DUITAMA 2"/>
    <n v="1057573693"/>
    <s v="3124173299"/>
    <s v="3124173299"/>
    <s v="3138169427"/>
    <s v="CL 10 NO.30-11 ,BARRIO LA FLORESTA"/>
    <s v="5.815400"/>
    <s v="-73.030899"/>
    <s v="BOYACÁ"/>
    <s v="DUITAMA"/>
    <s v="DUITAMA"/>
    <n v="15238"/>
    <s v="2025-09-19"/>
    <n v="1"/>
    <s v="TUNJA"/>
    <x v="4"/>
    <n v="49671.7"/>
    <n v="49671.7"/>
  </r>
  <r>
    <n v="59713"/>
    <s v="BARRIO NUEVO MONTEVIDEO ARMENIA"/>
    <n v="7560853"/>
    <s v="3107097532"/>
    <s v="3107097532"/>
    <s v="3137898394"/>
    <s v="MZ 10 CASA 2,BRR NUEVO MONTEVIDEO"/>
    <s v="4.5359172"/>
    <s v="-75.6960913"/>
    <s v="QUINDÍO"/>
    <s v="ARMENIA"/>
    <s v="ARMENIA"/>
    <n v="63001"/>
    <s v="2025-09-19"/>
    <n v="1"/>
    <s v="PEREIRA"/>
    <x v="6"/>
    <n v="37313"/>
    <n v="37313"/>
  </r>
  <r>
    <n v="61951"/>
    <s v="BARRIO NIEVES TUNJA 1"/>
    <n v="33375291"/>
    <s v="3132969175"/>
    <s v="3132969175"/>
    <s v="3132969175"/>
    <s v="calle 25 no 7-92"/>
    <s v="5.53701336"/>
    <s v="-73.35832468"/>
    <s v="BOYACÁ"/>
    <s v="TUNJA"/>
    <s v="TUNJA"/>
    <n v="15001"/>
    <s v="2025-09-19"/>
    <n v="1"/>
    <s v="TUNJA"/>
    <x v="4"/>
    <n v="49671.7"/>
    <n v="49671.7"/>
  </r>
  <r>
    <n v="38939"/>
    <s v="BARRIO COELLO COCORA IBAGUE"/>
    <n v="1105611519"/>
    <m/>
    <s v="3124885846"/>
    <s v="3124885846"/>
    <s v="KM 7 VIA CAJAMARCA CASA 8"/>
    <s v="4.4003891"/>
    <s v="-75.2902162"/>
    <s v="TOLIMA"/>
    <s v="IBAGUÉ"/>
    <s v="IBAGUÉ"/>
    <n v="73001"/>
    <s v="2025-09-19"/>
    <n v="1"/>
    <s v="IBAGUE"/>
    <x v="1"/>
    <n v="49671.7"/>
    <n v="49671.7"/>
  </r>
  <r>
    <n v="59742"/>
    <s v="BARRIO SAN JOSE BOGOTA 5"/>
    <n v="41505030"/>
    <s v="0"/>
    <s v="3229319702"/>
    <s v="3229319702"/>
    <s v="CL 27 SUR12 H 14 B SAN JOS,SAN JOSE"/>
    <s v="4.5770242"/>
    <s v="-74.1042268"/>
    <s v="CUNDINAMARCA"/>
    <s v="BOGOTÁ"/>
    <s v="BOGOTÁ"/>
    <n v="11001"/>
    <s v="2025-09-19"/>
    <n v="1"/>
    <s v="BOGOTA"/>
    <x v="2"/>
    <n v="37313"/>
    <n v="37313"/>
  </r>
  <r>
    <n v="59643"/>
    <s v="BARRIO VEREDA BELLAVISTA CUCUTA"/>
    <n v="1090520904"/>
    <s v="0"/>
    <s v="0"/>
    <s v="3225103799"/>
    <s v="MZ 7A LOTE 4 APPO 2,VEREDA BELLAVISTA"/>
    <s v="8.16203261"/>
    <s v="-72.46170358"/>
    <s v="NORTE DE SANTANDER"/>
    <s v="CÚCUTA"/>
    <s v="CÚCUTA"/>
    <n v="54001"/>
    <s v="2025-09-19"/>
    <n v="1"/>
    <s v="CUCUTA"/>
    <x v="4"/>
    <n v="49671.7"/>
    <n v="49671.7"/>
  </r>
  <r>
    <n v="66131"/>
    <s v="BARRIO BRISAS DE SEVILLA SOLEDAD"/>
    <n v="1143339035"/>
    <s v="3058192532"/>
    <s v="3058192532"/>
    <s v="3058192532"/>
    <s v="CR 14 C 70 A 25 TORRE 3 APT. A101 BRISAS DE SEVILLA,BRISAS DE SEVILLA"/>
    <s v="10.9123767"/>
    <s v="-74.8051017"/>
    <s v="ATLÁNTICO"/>
    <s v="SOLEDAD"/>
    <s v="SOLEDAD"/>
    <n v="8758"/>
    <s v="2025-09-19"/>
    <n v="1"/>
    <s v="BARRANQUILLA"/>
    <x v="5"/>
    <n v="37313"/>
    <n v="37313"/>
  </r>
  <r>
    <n v="60190"/>
    <s v="BARRIO PORVENIR SANTA MARTA 2"/>
    <n v="900893317"/>
    <s v="0"/>
    <s v="3016209896"/>
    <s v="3016209896"/>
    <s v="CR 19 B 15-02 LOC 15,PORVENIR"/>
    <s v="11.24015977"/>
    <s v="-74.21245999"/>
    <s v="MAGDALENA"/>
    <s v="SANTA MARTA"/>
    <s v="SANTA MARTA"/>
    <n v="47001"/>
    <s v="2025-09-19"/>
    <n v="1"/>
    <s v="SANTA MARTA"/>
    <x v="5"/>
    <n v="49671.7"/>
    <n v="49671.7"/>
  </r>
  <r>
    <n v="69311"/>
    <s v="BARRIO EL CENTRO MONTERIA 1"/>
    <n v="10777047"/>
    <s v="3146209339"/>
    <s v="3146209339"/>
    <s v="3146209339"/>
    <s v="CR 1 0034 108,EL CENTRO"/>
    <s v="8.761383"/>
    <s v="-75.884275"/>
    <s v="CÓRDOBA"/>
    <s v="MONTERÍA"/>
    <s v="MONTERÍA"/>
    <n v="23001"/>
    <s v="2025-09-19"/>
    <n v="1"/>
    <s v="MONTERIA"/>
    <x v="5"/>
    <n v="37313"/>
    <n v="37313"/>
  </r>
  <r>
    <n v="71816"/>
    <s v="FLORENCIA VILLAS DEL RECREO"/>
    <n v="1119580370"/>
    <s v="3135831466"/>
    <s v="3106397397"/>
    <s v="3135831466"/>
    <s v="CL 3 A 35 20 VILLAS DEL RECREO,VILLAS DEL RECREO"/>
    <s v="1.630597"/>
    <s v="-75.610236"/>
    <s v="CAQUETÁ"/>
    <s v="FLORENCIA"/>
    <s v="FLORENCIA"/>
    <n v="18001"/>
    <s v="2025-09-19"/>
    <n v="1"/>
    <s v="NEIVA"/>
    <x v="1"/>
    <n v="49671.7"/>
    <n v="49671.7"/>
  </r>
  <r>
    <n v="70086"/>
    <s v="BARRIO MEJORAS PUBLICAS BUCARAMANGA 8"/>
    <n v="1124861316"/>
    <s v="3156242085"/>
    <s v="3156242085"/>
    <s v="3156242085"/>
    <s v="CL 37 32 19,MEJORAS PUBLICAS"/>
    <s v="7.1230119"/>
    <s v="-73.1154293"/>
    <s v="SANTANDER"/>
    <s v="BUCARAMANGA"/>
    <s v="BUCARAMANGA"/>
    <n v="68001"/>
    <s v="2025-09-19"/>
    <n v="1"/>
    <s v="BUCARAMANGA"/>
    <x v="4"/>
    <n v="37313"/>
    <n v="37313"/>
  </r>
  <r>
    <n v="47529"/>
    <s v="BARRIO LA GLORIA ITAGUI 1"/>
    <n v="24814411"/>
    <s v="2091357"/>
    <s v="3146079470"/>
    <s v="3146079470"/>
    <s v="CR 48 45 13,LA GLORIA"/>
    <s v="6.1687399"/>
    <s v="-75.612391"/>
    <s v="ANTIOQUIA"/>
    <s v="ITAGÜÍ"/>
    <s v="ITAGÜÍ"/>
    <n v="5360"/>
    <s v="2025-09-19"/>
    <n v="1"/>
    <s v="MEDELLIN"/>
    <x v="0"/>
    <n v="37313"/>
    <n v="37313"/>
  </r>
  <r>
    <n v="50989"/>
    <s v="BARRIO RETIRO VILLAVICENCIO 2"/>
    <n v="1121964053"/>
    <s v="3108090846"/>
    <s v="3223694658"/>
    <s v="3223694658"/>
    <s v="MZ 4 LOTE 4 Brr LA ANTONIA"/>
    <s v="4.1160654"/>
    <s v="-73.5614265"/>
    <s v="META"/>
    <s v="VILLAVICENCIO"/>
    <s v="VILLAVICENCIO"/>
    <n v="50001"/>
    <s v="2025-09-19"/>
    <n v="1"/>
    <s v="VILLAVICENCIO"/>
    <x v="1"/>
    <n v="49671.7"/>
    <n v="49671.7"/>
  </r>
  <r>
    <n v="63732"/>
    <s v="BARRIO CENTRO MEDELLIN 90"/>
    <n v="1064980957"/>
    <s v="6042641609"/>
    <s v="3013168025"/>
    <s v="3043169522"/>
    <s v="CR 86 49- 3"/>
    <s v="6.2610987"/>
    <s v="-75.6042615"/>
    <s v="ANTIOQUIA"/>
    <s v="MEDELLÍN"/>
    <s v="MEDELLÍN"/>
    <n v="5001"/>
    <s v="2025-09-19"/>
    <n v="1"/>
    <s v="MEDELLIN"/>
    <x v="0"/>
    <n v="37313"/>
    <n v="37313"/>
  </r>
  <r>
    <n v="63848"/>
    <s v="BARRIO CERVANTES BOGOTA 1"/>
    <n v="1030598292"/>
    <s v="3215057603"/>
    <s v="3028424647"/>
    <s v="3125352432"/>
    <s v="CL 26 SUR 73 14.CERVANTES"/>
    <s v="4.621204"/>
    <s v="-74.143028"/>
    <s v="CUNDINAMARCA"/>
    <s v="BOGOTÁ"/>
    <s v="BOGOTÁ"/>
    <n v="11001"/>
    <s v="2025-09-19"/>
    <n v="1"/>
    <s v="BOGOTA"/>
    <x v="2"/>
    <n v="37313"/>
    <n v="37313"/>
  </r>
  <r>
    <n v="65069"/>
    <s v="BARRIO PLAZA SATELITE BUCARAMANGA"/>
    <n v="52068468"/>
    <s v="3182517578"/>
    <s v="3182517578"/>
    <s v="3182517578"/>
    <s v="DG 105 31 12 LOCAL 1012 EDIFICIO PLAZA SATÉLITE DEL SUR PISO 1,PLAZA SATELITE"/>
    <s v="7.0920023"/>
    <s v="-73.1058502"/>
    <s v="SANTANDER"/>
    <s v="BUCARAMANGA"/>
    <s v="BUCARAMANGA"/>
    <n v="68001"/>
    <s v="2025-09-19"/>
    <n v="1"/>
    <s v="BUCARAMANGA"/>
    <x v="4"/>
    <n v="37313"/>
    <n v="37313"/>
  </r>
  <r>
    <n v="67411"/>
    <s v="BARRIO PAJARITO MEDELLIN 1"/>
    <n v="901693430"/>
    <s v="0"/>
    <s v="3207040164"/>
    <s v="3207040164"/>
    <s v="CL 67 99 183,PAJARITO"/>
    <s v="6.287440"/>
    <s v=" -75.611402"/>
    <s v="ANTIOQUIA"/>
    <s v="MEDELLÍN"/>
    <s v="MEDELLÍN"/>
    <n v="5001"/>
    <s v="2025-09-19"/>
    <n v="1"/>
    <s v="MEDELLIN"/>
    <x v="0"/>
    <n v="37313"/>
    <n v="37313"/>
  </r>
  <r>
    <n v="62661"/>
    <s v="BARRIO LA GLORIA ITAGUI 2"/>
    <n v="1058842285"/>
    <s v="6046022163"/>
    <s v="3113082395"/>
    <s v="3113082395"/>
    <s v="CR 47 NO 44 40,LA GLORIA"/>
    <s v="6.1677723"/>
    <s v="-75.6123466"/>
    <s v="ANTIOQUIA"/>
    <s v="ITAGÜÍ"/>
    <s v="ITAGÜÍ"/>
    <n v="5360"/>
    <s v="2025-09-19"/>
    <n v="2"/>
    <s v="MEDELLIN"/>
    <x v="0"/>
    <n v="37313"/>
    <n v="74626"/>
  </r>
  <r>
    <n v="71586"/>
    <s v="BARRIO JORDAN TUNJA 2"/>
    <n v="33379379"/>
    <s v="3184041791"/>
    <s v="3184041791"/>
    <s v="3184041791"/>
    <s v="AV ORIENTAL, CALLE 12 6 89,JORDAN"/>
    <s v="5.5243501"/>
    <s v="-73.3619634"/>
    <s v="BOYACÁ"/>
    <s v="TUNJA"/>
    <s v="TUNJA"/>
    <n v="15001"/>
    <s v="2025-09-19"/>
    <n v="1"/>
    <s v="TUNJA"/>
    <x v="4"/>
    <n v="49671.7"/>
    <n v="49671.7"/>
  </r>
  <r>
    <n v="72298"/>
    <s v="BARRIO VILLA CAROLINA ARMENIA 1"/>
    <n v="1094933383"/>
    <s v="3156327704"/>
    <s v="3156327704"/>
    <s v="3156327704"/>
    <s v="BRR VILLA CAROLINA MZ O CA 15 ETAPA 1,BRR VILLA CAROLINA"/>
    <s v="4.5383770"/>
    <s v="-75.6931032"/>
    <s v="QUINDÍO"/>
    <s v="ARMENIA"/>
    <s v="ARMENIA"/>
    <n v="63001"/>
    <s v="2025-09-19"/>
    <n v="1"/>
    <s v="PEREIRA"/>
    <x v="6"/>
    <n v="37313"/>
    <n v="37313"/>
  </r>
  <r>
    <n v="69487"/>
    <s v="BARRIO LA PAZ LOCALIDAD BARRIOS UNIDOS"/>
    <n v="1024480302"/>
    <s v="3204193277"/>
    <s v="3104852315"/>
    <s v="3204193277"/>
    <s v="CL 66 N° 29-44,LA PAZ LOCALIDAD BARRIOS UNIDOS"/>
    <s v="4.6610033"/>
    <s v="-74.0759567"/>
    <s v="CUNDINAMARCA"/>
    <s v="BOGOTÁ"/>
    <s v="BOGOTÁ"/>
    <n v="11001"/>
    <s v="2025-09-19"/>
    <n v="1"/>
    <s v="BOGOTA"/>
    <x v="2"/>
    <n v="37313"/>
    <n v="37313"/>
  </r>
  <r>
    <n v="69554"/>
    <s v="BARRIO POPULAR TUNJA 4"/>
    <n v="1049639144"/>
    <s v="3017614281"/>
    <s v="3017614281"/>
    <s v="3017614281"/>
    <s v="CR 14 20 00,POPULAR"/>
    <s v="5.53447939"/>
    <s v="-73.36585378"/>
    <s v="BOYACÁ"/>
    <s v="TUNJA"/>
    <s v="TUNJA"/>
    <n v="15001"/>
    <s v="2025-09-19"/>
    <n v="1"/>
    <s v="TUNJA"/>
    <x v="4"/>
    <n v="49671.7"/>
    <n v="49671.7"/>
  </r>
  <r>
    <n v="70362"/>
    <s v="BARRIO FRANCISCO ANTONIO ZEA 2"/>
    <n v="43262137"/>
    <s v="6045385785"/>
    <s v="3183484269"/>
    <s v="3183484269"/>
    <s v="CL 92 65 58,FRANCISCO ANTONIO ZEA"/>
    <s v="6.2846087"/>
    <s v="-75.5718802"/>
    <s v="ANTIOQUIA"/>
    <s v="MEDELLÍN"/>
    <s v="MEDELLÍN"/>
    <n v="5001"/>
    <s v="2025-09-19"/>
    <n v="1"/>
    <s v="MEDELLIN"/>
    <x v="0"/>
    <n v="37313"/>
    <n v="37313"/>
  </r>
  <r>
    <n v="70621"/>
    <s v="BUENOS AIRES FLORENCIA 1"/>
    <n v="1117930423"/>
    <s v="3238200567"/>
    <s v="3238200756"/>
    <s v="3135831466"/>
    <s v="CL 20 NRO. 4C 63 67 - Buenos Aires Alto"/>
    <s v="1.620981"/>
    <s v="-75.608408"/>
    <s v="CAQUETÁ"/>
    <s v="FLORENCIA"/>
    <s v="FLORENCIA"/>
    <n v="18001"/>
    <s v="2025-09-19"/>
    <n v="1"/>
    <s v="NEIVA"/>
    <x v="1"/>
    <n v="49671.7"/>
    <n v="49671.7"/>
  </r>
  <r>
    <n v="78025"/>
    <s v="BARRIO KENNEDY TUNJA"/>
    <n v="7164699"/>
    <s v="3214455110"/>
    <s v="3214455110"/>
    <s v="3214455110"/>
    <s v="TV 16 20 39,KENNEDY"/>
    <s v="5.5355836"/>
    <s v="-73.3682171"/>
    <s v="BOYACÁ"/>
    <s v="TUNJA"/>
    <s v="TUNJA"/>
    <n v="15001"/>
    <s v="2025-09-19"/>
    <n v="1"/>
    <s v="TUNJA"/>
    <x v="4"/>
    <n v="49671.7"/>
    <n v="49671.7"/>
  </r>
  <r>
    <n v="63561"/>
    <s v="BARRIO BRILLANTE VILLAVICENCIO 1"/>
    <n v="1121948145"/>
    <s v="3223171035"/>
    <s v="3223171035"/>
    <s v="3505097211"/>
    <s v="calle 37a #17b 80"/>
    <s v="4.149824"/>
    <s v="-73.618265"/>
    <s v="META"/>
    <s v="VILLAVICENCIO"/>
    <s v="VILLAVICENCIO"/>
    <n v="50001"/>
    <s v="2025-09-19"/>
    <n v="1"/>
    <s v="VILLAVICENCIO"/>
    <x v="1"/>
    <n v="49671.7"/>
    <n v="49671.7"/>
  </r>
  <r>
    <n v="63789"/>
    <s v="BARRIO VEREDA BELLA SUIZA"/>
    <n v="52934713"/>
    <s v="3133272662"/>
    <s v="3133272662"/>
    <s v="3214002237"/>
    <s v="MZ 5 CASA 10 VEREDA BELLA SUIZA,VEREDA BELLA SUIZA"/>
    <s v="4.064111"/>
    <s v="-73.50398"/>
    <s v="META"/>
    <s v="VILLAVICENCIO"/>
    <s v="VILLAVICENCIO"/>
    <n v="50001"/>
    <s v="2025-09-19"/>
    <n v="1"/>
    <s v="VILLAVICENCIO"/>
    <x v="1"/>
    <n v="49671.7"/>
    <n v="49671.7"/>
  </r>
  <r>
    <n v="67254"/>
    <s v="BARRIO CALAZANS MEDELLIN 7"/>
    <n v="1039446632"/>
    <s v="3188275558"/>
    <s v="3188275558"/>
    <s v="3188275558"/>
    <s v="CL 50 81 C 03 LOCAL 102,CALAZANS"/>
    <s v="6.2642063"/>
    <s v="-75.5999090"/>
    <s v="ANTIOQUIA"/>
    <s v="MEDELLÍN"/>
    <s v="MEDELLÍN"/>
    <n v="5001"/>
    <s v="2025-09-19"/>
    <n v="1"/>
    <s v="MEDELLIN"/>
    <x v="0"/>
    <n v="37313"/>
    <n v="37313"/>
  </r>
  <r>
    <n v="75950"/>
    <s v="BARRIO SANTA TERESITA MEDELLIN"/>
    <n v="43070452"/>
    <s v="0"/>
    <s v="3027859945"/>
    <s v="3016026114"/>
    <s v="CL 34 C 87 A 07,SANTA TERESITA"/>
    <s v="6.2435315"/>
    <s v="-75.6122186"/>
    <s v="ANTIOQUIA"/>
    <s v="MEDELLÍN"/>
    <s v="MEDELLÍN"/>
    <n v="5001"/>
    <s v="2025-09-19"/>
    <n v="1"/>
    <s v="MEDELLIN"/>
    <x v="0"/>
    <n v="37313"/>
    <n v="37313"/>
  </r>
  <r>
    <n v="78333"/>
    <s v="BARRIO EL BRILLANTE VILLAVICENCIO 1"/>
    <n v="40444564"/>
    <s v="3214594430"/>
    <s v="3133190402"/>
    <s v="3133190402"/>
    <s v="MZ 9 CS 27 BRR EL BRILLANTE,EL BRILLANTE"/>
    <s v="4.116860"/>
    <s v="-73.559096"/>
    <s v="META"/>
    <s v="VILLAVICENCIO"/>
    <s v="VILLAVICENCIO"/>
    <n v="50001"/>
    <s v="2025-09-19"/>
    <n v="1"/>
    <s v="VILLAVICENCIO"/>
    <x v="1"/>
    <n v="49671.7"/>
    <n v="49671.7"/>
  </r>
  <r>
    <n v="78409"/>
    <s v="BARRIO VILLA LILIANA ARMENIA 2"/>
    <n v="1094909998"/>
    <s v="3135915676"/>
    <s v="3103614805"/>
    <s v="3135915676"/>
    <s v="CR 40 42 44 BRR VILLA LILIANA,VILLA LILIANA"/>
    <s v="4.5359358"/>
    <s v="-75.6976132"/>
    <s v="QUINDÍO"/>
    <s v="ARMENIA"/>
    <s v="ARMENIA"/>
    <n v="63001"/>
    <s v="2025-09-19"/>
    <n v="1"/>
    <s v="PEREIRA"/>
    <x v="6"/>
    <n v="37313"/>
    <n v="37313"/>
  </r>
  <r>
    <n v="62687"/>
    <s v="BARRIO LA CAMPIÑA MONTERIA"/>
    <n v="1067917763"/>
    <s v="3135113939"/>
    <s v="3135113939"/>
    <s v="3135113939"/>
    <s v="MZ 8 SECTOR 1 SECTOR CAMPIÑA,LA CAMPIÑA"/>
    <s v="8.7299373"/>
    <s v="-75.8902013"/>
    <s v="CÓRDOBA"/>
    <s v="MONTERÍA"/>
    <s v="MONTERÍA"/>
    <n v="23001"/>
    <s v="2025-09-19"/>
    <n v="1"/>
    <s v="MONTERIA"/>
    <x v="5"/>
    <n v="37313"/>
    <n v="37313"/>
  </r>
  <r>
    <n v="70553"/>
    <s v="BARRIO TORASSO ALTO FLORENCIA"/>
    <n v="40783865"/>
    <s v="3227553836"/>
    <s v="3227553836"/>
    <s v="3203279797"/>
    <s v="CL 27 8 61 TORASSO ALTO,TORASSO ALTO"/>
    <s v="1.623879"/>
    <s v="-75.612986"/>
    <s v="CAQUETÁ"/>
    <s v="FLORENCIA"/>
    <s v="FLORENCIA"/>
    <n v="18001"/>
    <s v="2025-09-19"/>
    <n v="1"/>
    <s v="NEIVA"/>
    <x v="1"/>
    <n v="49671.7"/>
    <n v="49671.7"/>
  </r>
  <r>
    <n v="65328"/>
    <s v="BARRIO 7 DE AGOSTO YOPAL"/>
    <n v="1118549079"/>
    <s v="0"/>
    <s v="3144757537"/>
    <s v="3144757537"/>
    <s v="CL 38 2E - 22, 7 DE AGOSTO"/>
    <s v="5.3192458"/>
    <s v="-72.4088599"/>
    <s v="CASANARE"/>
    <s v="YOPAL"/>
    <s v="YOPAL"/>
    <n v="85001"/>
    <s v="2025-09-19"/>
    <n v="1"/>
    <s v="YOPAL"/>
    <x v="1"/>
    <n v="49671.7"/>
    <n v="49671.7"/>
  </r>
  <r>
    <n v="73743"/>
    <s v="BARRIO SIETE DE AGOSTO BOGOTA 6"/>
    <n v="75102827"/>
    <s v="3207660658"/>
    <s v="3207660658"/>
    <s v="3207660658"/>
    <s v="CR 27 A # 63D - 59,SIETE DE AGOSTO"/>
    <s v="4.6557841"/>
    <s v="-74.0743325"/>
    <s v="CUNDINAMARCA"/>
    <s v="BOGOTÁ"/>
    <s v="BOGOTÁ"/>
    <n v="11001"/>
    <s v="2025-09-19"/>
    <n v="1"/>
    <s v="BOGOTA"/>
    <x v="2"/>
    <n v="37313"/>
    <n v="37313"/>
  </r>
  <r>
    <n v="70552"/>
    <s v="BARRIO ABBAS TURBAY FLORENICA"/>
    <n v="17644258"/>
    <s v="3118359917"/>
    <s v="3118359917"/>
    <s v="3118359917"/>
    <s v="CR 2 K 13 55 - ABASS TURBAY,ABBAS TURBAY"/>
    <s v="1.6197004"/>
    <s v="-75.6015540"/>
    <s v="CAQUETÁ"/>
    <s v="FLORENCIA"/>
    <s v="FLORENCIA"/>
    <n v="18001"/>
    <s v="2025-09-19"/>
    <n v="1"/>
    <s v="NEIVA"/>
    <x v="1"/>
    <n v="49671.7"/>
    <n v="49671.7"/>
  </r>
  <r>
    <n v="73717"/>
    <s v="BARRIO ROBLEDO PAJARITO MEDELLIN "/>
    <n v="71778546"/>
    <s v="3187169805"/>
    <s v="3187169802"/>
    <s v="3008700145"/>
    <s v="CL 65 97 AE 20 AP 117,ROBLEDO PAJARITO"/>
    <s v="6.285085"/>
    <s v=" -75.609634"/>
    <s v="ANTIOQUIA"/>
    <s v="MEDELLÍN"/>
    <s v="MEDELLÍN"/>
    <n v="5001"/>
    <s v="2025-09-19"/>
    <n v="1"/>
    <s v="MEDELLIN"/>
    <x v="0"/>
    <n v="37313"/>
    <n v="37313"/>
  </r>
  <r>
    <n v="70464"/>
    <s v="BARRIO CAMPANOS 2 SOLEDAD"/>
    <n v="1052075193"/>
    <s v="3155407191"/>
    <s v="3043806844"/>
    <s v="3043806844"/>
    <s v="CL 73 C 13 C 05,CAMPANOS 2"/>
    <s v="10.932058"/>
    <s v="-74.768027"/>
    <s v="ATLÁNTICO"/>
    <s v="SOLEDAD"/>
    <s v="SOLEDAD"/>
    <n v="8758"/>
    <s v="2025-09-19"/>
    <n v="1"/>
    <s v="BARRANQUILLA"/>
    <x v="5"/>
    <n v="37313"/>
    <n v="37313"/>
  </r>
  <r>
    <n v="78114"/>
    <s v="BARRIO VILLA SELENE SOLEDAD"/>
    <n v="33353745"/>
    <s v="3147889694"/>
    <s v="3147889694"/>
    <s v="3106900458"/>
    <s v="TV 2 S 76 03,VILLA SELENE"/>
    <s v="10.931908"/>
    <s v="-74.768235"/>
    <s v="ATLÁNTICO"/>
    <s v="SOLEDAD"/>
    <s v="SOLEDAD"/>
    <n v="8758"/>
    <s v="2025-09-19"/>
    <n v="1"/>
    <s v="BARRANQUILLA"/>
    <x v="5"/>
    <n v="37313"/>
    <n v="37313"/>
  </r>
  <r>
    <n v="78164"/>
    <s v="BARRIO JUAN 23 MEDELLIN 1"/>
    <n v="44005172"/>
    <s v="3006613016"/>
    <s v="3245173630"/>
    <s v="3013525194"/>
    <s v="CL 49A 99CD 82,JUAN 23"/>
    <s v="6.2660622"/>
    <s v="-75.6131276"/>
    <s v="ANTIOQUIA"/>
    <s v="MEDELLÍN"/>
    <s v="MEDELLÍN"/>
    <n v="5001"/>
    <s v="2025-09-19"/>
    <n v="1"/>
    <s v="MEDELLIN"/>
    <x v="0"/>
    <n v="37313"/>
    <n v="37313"/>
  </r>
  <r>
    <n v="78167"/>
    <s v="BARRIO CARLOS HOLGUIN MEDELLIN"/>
    <n v="1020427057"/>
    <s v="3104587290"/>
    <s v="3104587290"/>
    <s v="3024308339"/>
    <s v="CR 66 109 A 14,CARLOS HOLGUIN"/>
    <s v="6.3054791"/>
    <s v="-75.5655051"/>
    <s v="ANTIOQUIA"/>
    <s v="MEDELLÍN"/>
    <s v="MEDELLÍN"/>
    <n v="5001"/>
    <s v="2025-09-19"/>
    <n v="1"/>
    <s v="MEDELLIN"/>
    <x v="0"/>
    <n v="37313"/>
    <n v="37313"/>
  </r>
  <r>
    <n v="72494"/>
    <s v="LOS PATIOS LLANITOS"/>
    <n v="1093780006"/>
    <s v="3228864376"/>
    <s v="3228864376"/>
    <s v="3146505730"/>
    <s v="CL 15 KDX 133 A,LLANITOS"/>
    <s v="7.8013458750443805"/>
    <s v=" -72.51707904568417"/>
    <s v="NORTE DE SANTANDER"/>
    <s v="LOS PATIOS"/>
    <s v="LOS PATIOS"/>
    <n v="54405"/>
    <s v="2025-09-19"/>
    <n v="1"/>
    <s v="CUCUTA"/>
    <x v="4"/>
    <n v="49671.7"/>
    <n v="49671.7"/>
  </r>
  <r>
    <n v="71574"/>
    <s v="MEDELLIN FLORESTA 1"/>
    <n v="1037572918"/>
    <s v="3107038553"/>
    <s v="3107038553"/>
    <s v="3107038553"/>
    <s v="CARRERA 87 45 C 15,FLORESTA"/>
    <s v="6.2555905"/>
    <s v="-75.6028127"/>
    <s v="ANTIOQUIA"/>
    <s v="MEDELLÍN"/>
    <s v="MEDELLÍN"/>
    <n v="5001"/>
    <s v="2025-09-19"/>
    <n v="1"/>
    <s v="MEDELLIN"/>
    <x v="0"/>
    <n v="37313"/>
    <n v="37313"/>
  </r>
  <r>
    <n v="71719"/>
    <s v="BARRIO ALCIBIA CARTEGENA DE INDIAS "/>
    <n v="3809321"/>
    <s v="6581809"/>
    <s v="3043671492"/>
    <s v="3218470238"/>
    <s v="AV PEDRO ROMERO CLL 31 33 -18 APT 1,ALCIBIA"/>
    <s v="10.4119476"/>
    <s v="-75.5186390"/>
    <s v="BOLÍVAR"/>
    <s v="CARTAGENA DE INDIAS"/>
    <s v="CARTAGENA DE INDIAS"/>
    <n v="13001"/>
    <s v="2025-09-19"/>
    <n v="1"/>
    <s v="CARTAGENA"/>
    <x v="5"/>
    <n v="49671.7"/>
    <n v="49671.7"/>
  </r>
  <r>
    <n v="78254"/>
    <s v="BARRIO SAN JORGE MANIZALES  4"/>
    <n v="1144215281"/>
    <s v="3107971057"/>
    <s v="3107971057"/>
    <s v="3107971057"/>
    <s v="CR 22 48C 06 - SAN JORGE,SAN JORGE"/>
    <s v="5.0656320"/>
    <s v="-75.4993624"/>
    <s v="CALDAS"/>
    <s v="MANIZALES"/>
    <s v="MANIZALES"/>
    <n v="17001"/>
    <s v="2025-09-19"/>
    <n v="1"/>
    <s v="MANIZALES"/>
    <x v="6"/>
    <n v="49671.7"/>
    <n v="49671.7"/>
  </r>
  <r>
    <n v="80317"/>
    <s v="BARRIO CASTILLA MEDELLIN MEDELLIN"/>
    <n v="43608283"/>
    <s v="3117125606"/>
    <s v="3117125606"/>
    <s v="3117125606"/>
    <s v="CR 68 93 117,CASTILLA MEDELLIN"/>
    <s v="6.2884725"/>
    <s v="-75.5729255"/>
    <s v="ANTIOQUIA"/>
    <s v="MEDELLÍN"/>
    <s v="MEDELLÍN"/>
    <n v="5001"/>
    <s v="2025-09-19"/>
    <n v="1"/>
    <s v="MEDELLIN"/>
    <x v="0"/>
    <n v="37313"/>
    <n v="37313"/>
  </r>
  <r>
    <n v="68298"/>
    <s v="MELENDEZ CALI 4"/>
    <n v="15620629"/>
    <s v="0"/>
    <s v="3145920392"/>
    <s v="3126913203"/>
    <s v="CL 4# 88 - 41 BARRIO MELENDEZ CALI,MELENDEZ"/>
    <s v="3.3786060"/>
    <s v="-76.5464946"/>
    <s v="VALLE DEL CAUCA"/>
    <s v="CALI"/>
    <s v="SANTIAGO DE CALI"/>
    <n v="76001"/>
    <s v="2025-09-19"/>
    <n v="1"/>
    <s v="CALI"/>
    <x v="3"/>
    <n v="37313"/>
    <n v="37313"/>
  </r>
  <r>
    <n v="76049"/>
    <s v="BARRIO LA FORTUNA VALLEDUPAR"/>
    <n v="22548153"/>
    <s v="3003822404"/>
    <s v="3023385062"/>
    <s v="3003822404"/>
    <s v="CR 41 2C 04 BRR LA FORTUNA,LA FORTUNA"/>
    <s v="10.48410401"/>
    <s v="-73.28287088"/>
    <s v="CESAR"/>
    <s v="VALLEDUPAR"/>
    <s v="VALLEDUPAR"/>
    <n v="20001"/>
    <s v="2025-09-19"/>
    <n v="1"/>
    <s v="VALLEDUPAR"/>
    <x v="5"/>
    <n v="49671.7"/>
    <n v="49671.7"/>
  </r>
  <r>
    <n v="76228"/>
    <s v="BARRIO ALTO MELENDEZ CALI"/>
    <n v="1130621799"/>
    <s v="3206409393"/>
    <s v="3215090566"/>
    <s v="3206409393"/>
    <s v="CL 2 OESTE # 90 09,ALTO MELENDEZ"/>
    <s v="3.3805777"/>
    <s v="-76.5576271"/>
    <s v="VALLE DEL CAUCA"/>
    <s v="CALI"/>
    <s v="SANTIAGO DE CALI"/>
    <n v="76001"/>
    <s v="2025-09-19"/>
    <n v="1"/>
    <s v="CALI"/>
    <x v="3"/>
    <n v="37313"/>
    <n v="37313"/>
  </r>
  <r>
    <n v="76535"/>
    <s v="BARRIO RINCON BOGOTA 7"/>
    <n v="35502686"/>
    <s v="3106744094"/>
    <s v="3106744094"/>
    <s v="3209671597"/>
    <s v="CL 127 C 93 05,RINCON"/>
    <s v="4.7205533"/>
    <s v="-74.0940450"/>
    <s v="CUNDINAMARCA"/>
    <s v="BOGOTÁ"/>
    <s v="BOGOTÁ"/>
    <n v="11001"/>
    <s v="2025-09-19"/>
    <n v="1"/>
    <s v="BOGOTA"/>
    <x v="2"/>
    <n v="37313"/>
    <n v="37313"/>
  </r>
  <r>
    <n v="72492"/>
    <s v="EL SOL,  LOS PATIOS "/>
    <n v="1090386539"/>
    <s v="3214141615"/>
    <s v="3212014841"/>
    <s v="3214141615"/>
    <s v="AV 5 # 7 - 80,EL SOL"/>
    <s v="7.819802573596654"/>
    <s v=" -72.51178034798787"/>
    <s v="NORTE DE SANTANDER"/>
    <s v="LOS PATIOS"/>
    <s v="LOS PATIOS"/>
    <n v="54405"/>
    <s v="2025-09-19"/>
    <n v="1"/>
    <s v="CUCUTA"/>
    <x v="4"/>
    <n v="49671.7"/>
    <n v="49671.7"/>
  </r>
  <r>
    <n v="72619"/>
    <s v="PAPELERÍA Y VARIEDADES DONDE LEIDY"/>
    <n v="1093749212"/>
    <s v="3124875145"/>
    <s v="3124875145"/>
    <s v="3124875145"/>
    <s v="CL 33 # 5 E - 41,JUANA PAULA"/>
    <s v="7.838916416125541"/>
    <s v="-72.49461002197435"/>
    <s v="NORTE DE SANTANDER"/>
    <s v="LOS PATIOS"/>
    <s v="LOS PATIOS"/>
    <n v="54405"/>
    <s v="2025-09-19"/>
    <n v="1"/>
    <s v="CUCUTA"/>
    <x v="4"/>
    <n v="49671.7"/>
    <n v="49671.7"/>
  </r>
  <r>
    <n v="73331"/>
    <s v="BARRIO POPULAR TUNJA 5"/>
    <n v="23316046"/>
    <s v="3125929064"/>
    <s v="3125929064"/>
    <s v="3125929064"/>
    <s v="CL 21 14 16,POPULAR LC 2"/>
    <s v="5.53548353"/>
    <s v="-73.3660078"/>
    <s v="BOYACÁ"/>
    <s v="TUNJA"/>
    <s v="TUNJA"/>
    <n v="15001"/>
    <s v="2025-09-19"/>
    <n v="1"/>
    <s v="TUNJA"/>
    <x v="4"/>
    <n v="49671.7"/>
    <n v="49671.7"/>
  </r>
  <r>
    <n v="76291"/>
    <s v="BARRIO MONTECARLO YOPAL"/>
    <n v="47438899"/>
    <s v="3053139134"/>
    <s v="3053139134"/>
    <s v="3053139134"/>
    <s v="CR 7 45 12,MONTECARLO"/>
    <s v="5.3139796"/>
    <s v="-72.4020053"/>
    <s v="CASANARE"/>
    <s v="YOPAL"/>
    <s v="YOPAL"/>
    <n v="85001"/>
    <s v="2025-09-19"/>
    <n v="1"/>
    <s v="YOPAL"/>
    <x v="1"/>
    <n v="49671.7"/>
    <n v="49671.7"/>
  </r>
  <r>
    <n v="64343"/>
    <s v="BARRIO PRIMAVERA VILLAVICENCIO 1"/>
    <n v="1121863676"/>
    <s v="3233939589"/>
    <s v="3233939589"/>
    <s v="3233939589"/>
    <s v="CL 8 A N 21 A - 26 PRIMAVERA"/>
    <s v="4.1294267"/>
    <s v="-73.6221744"/>
    <s v="META"/>
    <s v="VILLAVICENCIO"/>
    <s v="VILLAVICENCIO"/>
    <n v="50001"/>
    <s v="2025-09-19"/>
    <n v="1"/>
    <s v="VILLAVICENCIO"/>
    <x v="1"/>
    <n v="49671.7"/>
    <n v="49671.7"/>
  </r>
  <r>
    <n v="73784"/>
    <s v="BARRIO CASTILLA MEDELLIN 11"/>
    <n v="42901352"/>
    <s v="3013382758"/>
    <s v="3013382758"/>
    <s v="3042922454"/>
    <s v="CARRERA 68 97 60,CASTILLA"/>
    <s v="6.2929365"/>
    <s v="-75.5714609"/>
    <s v="ANTIOQUIA"/>
    <s v="MEDELLÍN"/>
    <s v="MEDELLÍN"/>
    <n v="5001"/>
    <s v="2025-09-19"/>
    <n v="1"/>
    <s v="MEDELLIN"/>
    <x v="0"/>
    <n v="37313"/>
    <n v="37313"/>
  </r>
  <r>
    <n v="78837"/>
    <s v="BARRIO POPULAR TUNJA 6"/>
    <n v="1193135040"/>
    <s v="3115647992"/>
    <s v="3115647992"/>
    <s v="3115647992"/>
    <s v="CR 15 A 21 89,POPULAR"/>
    <s v="5.5368266"/>
    <s v="-73.3667443"/>
    <s v="BOYACÁ"/>
    <s v="TUNJA"/>
    <s v="TUNJA"/>
    <n v="15001"/>
    <s v="2025-09-19"/>
    <n v="1"/>
    <s v="TUNJA"/>
    <x v="4"/>
    <n v="49671.7"/>
    <n v="49671.7"/>
  </r>
  <r>
    <n v="78826"/>
    <s v="BARRIO CIUDAD CAMELOT SOLEDAD"/>
    <n v="1066083553"/>
    <s v="3014249398"/>
    <s v="3014249398"/>
    <s v="3014249398"/>
    <s v="CR 7 A 65 46,CIUDAD CAMELOT"/>
    <s v="10.8970482"/>
    <s v="-74.8064819"/>
    <s v="ATLÁNTICO"/>
    <s v="SOLEDAD"/>
    <s v="SOLEDAD"/>
    <n v="8758"/>
    <s v="2025-09-19"/>
    <n v="1"/>
    <s v="BARRANQUILLA"/>
    <x v="5"/>
    <n v="37313"/>
    <n v="37313"/>
  </r>
  <r>
    <n v="78795"/>
    <s v="BARRIO EL PRADO CARTAGENA DE INDIAS 2"/>
    <n v="1047408224"/>
    <s v="3103497170"/>
    <s v="3103497170"/>
    <m/>
    <s v="CR 37TV 36-66 TO 4 P1 AP13,BRR EL PRADO"/>
    <s v="10.4083654"/>
    <s v="-75.5172961"/>
    <s v="BOLÍVAR"/>
    <s v="CARTAGENA DE INDIAS"/>
    <s v="CARTAGENA DE INDIAS"/>
    <n v="13001"/>
    <s v="2025-09-19"/>
    <n v="1"/>
    <s v="CARTAGENA"/>
    <x v="5"/>
    <n v="49671.7"/>
    <n v="49671.7"/>
  </r>
  <r>
    <n v="78870"/>
    <s v="BARRIO LA ESPERANZA DUITAMA 2"/>
    <n v="7228518"/>
    <s v="3242358944"/>
    <s v="3242358944"/>
    <m/>
    <s v="CR 36 NO.9-30 LOCAL 1,LA ESPERANZA"/>
    <s v="5.8106784"/>
    <s v="-73.0290543"/>
    <s v="BOYACÁ"/>
    <s v="DUITAMA"/>
    <s v="DUITAMA"/>
    <n v="15238"/>
    <s v="2025-09-19"/>
    <n v="1"/>
    <s v="TUNJA"/>
    <x v="4"/>
    <n v="49671.7"/>
    <n v="49671.7"/>
  </r>
  <r>
    <n v="79193"/>
    <s v="BARRIO CENTRO MONTERIA  1OK"/>
    <n v="901250232"/>
    <s v="3107240650"/>
    <s v="3107240650"/>
    <s v="3107240650"/>
    <s v="CR 1 32 60 P 2 APT 02,CENTRO"/>
    <s v="8.7592780"/>
    <s v="-75.8853166"/>
    <s v="CÓRDOBA"/>
    <s v="MONTERÍA"/>
    <s v="MONTERÍA"/>
    <n v="23001"/>
    <s v="2025-09-19"/>
    <n v="1"/>
    <s v="MONTERIA"/>
    <x v="5"/>
    <n v="37313"/>
    <n v="37313"/>
  </r>
  <r>
    <n v="79167"/>
    <s v="BARRIO CASTILLA MEDELLIN 16"/>
    <n v="71369379"/>
    <s v="3218451725"/>
    <s v="3218451725"/>
    <s v="3218451725"/>
    <s v="CR 68 94 16,CASTILLA"/>
    <s v="6.2888480"/>
    <s v="-75.5727577"/>
    <s v="ANTIOQUIA"/>
    <s v="MEDELLÍN"/>
    <s v="MEDELLÍN"/>
    <n v="5001"/>
    <s v="2025-09-19"/>
    <n v="1"/>
    <s v="MEDELLIN"/>
    <x v="0"/>
    <n v="37313"/>
    <n v="37313"/>
  </r>
  <r>
    <n v="79045"/>
    <s v="BARRIO LA VICTORIA BUCARAMANGA 6"/>
    <n v="1005338695"/>
    <s v="3207377420"/>
    <s v="3207377420"/>
    <s v="3207377420"/>
    <s v="CR 14 67 105,LA VICTORIA"/>
    <s v="7.0980118"/>
    <s v="-73.1172601"/>
    <s v="SANTANDER"/>
    <s v="BUCARAMANGA"/>
    <s v="BUCARAMANGA"/>
    <n v="68001"/>
    <s v="2025-09-19"/>
    <n v="1"/>
    <s v="BUCARAMANGA"/>
    <x v="4"/>
    <n v="37313"/>
    <n v="37313"/>
  </r>
  <r>
    <n v="79184"/>
    <s v="BARRIO COPACABANA COPACABANA  11"/>
    <n v="1000761978"/>
    <s v="3146893813"/>
    <s v="3137672673"/>
    <s v="3146893813"/>
    <s v="CL 40 84-18,COPACABANA"/>
    <s v="6.3337036"/>
    <s v="-75.5337333"/>
    <s v="ANTIOQUIA"/>
    <s v="COPACABANA"/>
    <s v="COPACABANA"/>
    <n v="5212"/>
    <s v="2025-09-19"/>
    <n v="1"/>
    <s v="MEDELLIN"/>
    <x v="0"/>
    <n v="37313"/>
    <n v="37313"/>
  </r>
  <r>
    <n v="79217"/>
    <s v="BARRIO CHUCHURUBI MONTERIA 8"/>
    <n v="1070962599"/>
    <s v="3214753682"/>
    <s v="3214753682"/>
    <s v="3214753682"/>
    <s v="CL 22 7 A 12,CHUCHURUBI"/>
    <s v="8.7504923"/>
    <s v="-75.8863892"/>
    <s v="CÓRDOBA"/>
    <s v="MONTERÍA"/>
    <s v="MONTERÍA"/>
    <n v="23001"/>
    <s v="2025-09-19"/>
    <n v="1"/>
    <s v="MONTERIA"/>
    <x v="5"/>
    <n v="37313"/>
    <n v="37313"/>
  </r>
  <r>
    <n v="73849"/>
    <s v="BARRIO RINCO BOGOTA"/>
    <n v="1032408320"/>
    <s v="3102331616"/>
    <s v="3102331616"/>
    <s v="3102331616"/>
    <s v="CL 128 C 95 B 35,RINCON"/>
    <s v="4.7257286"/>
    <s v="-74.0961086"/>
    <s v="CUNDINAMARCA"/>
    <s v="BOGOTÁ"/>
    <s v="BOGOTÁ"/>
    <n v="11001"/>
    <s v="2025-09-19"/>
    <n v="1"/>
    <s v="BOGOTA"/>
    <x v="2"/>
    <n v="37313"/>
    <n v="37313"/>
  </r>
  <r>
    <n v="74082"/>
    <s v="BARRIO PARAISO TUNJA"/>
    <n v="40033437"/>
    <s v="3204272848"/>
    <s v="3204272848"/>
    <s v="3204272848"/>
    <s v="CR 15 9 A 43,PARAÍSO"/>
    <s v="5.5252269"/>
    <s v="-73.37038916"/>
    <s v="BOYACÁ"/>
    <s v="TUNJA"/>
    <s v="TUNJA"/>
    <n v="15001"/>
    <s v="2025-09-19"/>
    <n v="1"/>
    <s v="TUNJA"/>
    <x v="4"/>
    <n v="49671.7"/>
    <n v="49671.7"/>
  </r>
  <r>
    <n v="76809"/>
    <s v="BARRIO MERCADO NUEVO SINCELEJO 1"/>
    <n v="92504653"/>
    <s v="3116856124"/>
    <s v="3107171781"/>
    <s v="3107171781"/>
    <s v="CL 34 NRO 21-35,MERCADO NUEVO"/>
    <s v="9.2954630"/>
    <s v="-75.3873141"/>
    <s v="SUCRE"/>
    <s v="SINCELEJO"/>
    <s v="SINCELEJO"/>
    <n v="70001"/>
    <s v="2025-09-19"/>
    <n v="1"/>
    <s v="SINCELEJO"/>
    <x v="5"/>
    <n v="49671.7"/>
    <n v="49671.7"/>
  </r>
  <r>
    <n v="74558"/>
    <s v="BARRIO 20 DE JULIO MEDELLIN 2"/>
    <n v="70434952"/>
    <s v="3117819357"/>
    <s v="3113594831"/>
    <s v="3117819357"/>
    <s v="CL 39 BF 113B 105,20 DE JULIO"/>
    <s v="6.2524236"/>
    <s v="-75.6257666"/>
    <s v="ANTIOQUIA"/>
    <s v="MEDELLÍN"/>
    <s v="MEDELLÍN"/>
    <n v="5001"/>
    <s v="2025-09-19"/>
    <n v="1"/>
    <s v="MEDELLIN"/>
    <x v="0"/>
    <n v="37313"/>
    <n v="37313"/>
  </r>
  <r>
    <n v="75328"/>
    <s v="BARRIO CHAPINERO CUCUTA 11"/>
    <n v="19207394"/>
    <s v="3108585656"/>
    <s v="3108585656"/>
    <s v="3108585656"/>
    <s v="CL 2 NRO 4-03,CHAPINERO"/>
    <s v="7.9101197"/>
    <s v="-72.5118350"/>
    <s v="NORTE DE SANTANDER"/>
    <s v="CÚCUTA"/>
    <s v="CÚCUTA"/>
    <n v="54001"/>
    <s v="2025-09-19"/>
    <n v="1"/>
    <s v="CUCUTA"/>
    <x v="4"/>
    <n v="49671.7"/>
    <n v="49671.7"/>
  </r>
  <r>
    <n v="76943"/>
    <s v="BARRIO KENNEDY AYACUCHO BOGOTA 1"/>
    <n v="35329358"/>
    <s v="3212732873"/>
    <s v="3212732873"/>
    <s v="3508134163"/>
    <s v="CR 78 L 6 04 SUR LC 1.KENNEDY AYACUCHO"/>
    <s v="4.628368"/>
    <s v="-74.149918"/>
    <s v="CUNDINAMARCA"/>
    <s v="BOGOTÁ"/>
    <s v="BOGOTÁ"/>
    <n v="11001"/>
    <s v="2025-09-19"/>
    <n v="1"/>
    <s v="BOGOTA"/>
    <x v="2"/>
    <n v="37313"/>
    <n v="37313"/>
  </r>
  <r>
    <n v="74804"/>
    <s v="BARRIO PAMPAS DEL MIRADOR CALI"/>
    <n v="66725518"/>
    <s v="3007549725"/>
    <s v="3007549725"/>
    <s v="3007549725"/>
    <s v="CL 2D OESTE 91 BIS 1 -12,PAMPAS DEL MIRADOR"/>
    <s v="3.3787487"/>
    <s v="-76.5588936"/>
    <s v="VALLE DEL CAUCA"/>
    <s v="CALI"/>
    <s v="SANTIAGO DE CALI"/>
    <n v="76001"/>
    <s v="2025-09-19"/>
    <n v="1"/>
    <s v="CALI"/>
    <x v="3"/>
    <n v="37313"/>
    <n v="37313"/>
  </r>
  <r>
    <n v="79048"/>
    <s v="BARRIO LAS PALMAS CALI"/>
    <n v="1144094206"/>
    <s v="3183718608"/>
    <s v="3183718608"/>
    <s v="3183718608"/>
    <s v="CL 4 OESTE 90 89,LAS PALMAS"/>
    <s v="3.3788917"/>
    <s v="-76.5614457"/>
    <s v="VALLE DEL CAUCA"/>
    <s v="CALI"/>
    <s v="SANTIAGO DE CALI"/>
    <n v="76001"/>
    <s v="2025-09-19"/>
    <n v="1"/>
    <s v="CALI"/>
    <x v="3"/>
    <n v="37313"/>
    <n v="37313"/>
  </r>
  <r>
    <n v="75414"/>
    <s v="BARRIO MIRAFLORES SANTA MARTA"/>
    <n v="1082925331"/>
    <s v="3004124988"/>
    <s v="3004124988"/>
    <s v="3004124988"/>
    <s v="CL 10 12A 46,MIRAFLORES"/>
    <s v="11.24638162"/>
    <s v="-74.20244529"/>
    <s v="MAGDALENA"/>
    <s v="SANTA MARTA"/>
    <s v="SANTA MARTA"/>
    <n v="47001"/>
    <s v="2025-09-19"/>
    <n v="1"/>
    <s v="SANTA MARTA"/>
    <x v="5"/>
    <n v="49671.7"/>
    <n v="49671.7"/>
  </r>
  <r>
    <n v="75854"/>
    <s v="BARRIO LA CEIBA MONTERIA 1"/>
    <n v="1068416740"/>
    <s v="3044120195"/>
    <s v="3044120195"/>
    <s v="3044120195"/>
    <s v="CR 7 35 51,LA CEIBA"/>
    <s v="8.758639"/>
    <s v="-75.880247"/>
    <s v="CÓRDOBA"/>
    <s v="MONTERÍA"/>
    <s v="MONTERÍA"/>
    <n v="23001"/>
    <s v="2025-09-19"/>
    <n v="1"/>
    <s v="MONTERIA"/>
    <x v="5"/>
    <n v="37313"/>
    <n v="37313"/>
  </r>
  <r>
    <n v="79505"/>
    <s v="BARRIO DAN FRANCISCO CARTAGENA DE INDIAS"/>
    <n v="35116105"/>
    <s v="3187520850"/>
    <s v="3207825054"/>
    <s v="3207825054"/>
    <s v="CR 34 MZ 7 LT 1,BRR DAN FRANCISCO"/>
    <s v="10.4355607"/>
    <s v="-75.5153819"/>
    <s v="BOLÍVAR"/>
    <s v="CARTAGENA DE INDIAS"/>
    <s v="CARTAGENA DE INDIAS"/>
    <n v="13001"/>
    <s v="2025-09-19"/>
    <n v="1"/>
    <s v="CARTAGENA"/>
    <x v="5"/>
    <n v="49671.7"/>
    <n v="49671.7"/>
  </r>
  <r>
    <n v="79211"/>
    <s v="BARRIO QUINTA ORIENTAL CUCUTA 12"/>
    <n v="60442929"/>
    <s v="3158029544"/>
    <s v="3158029544"/>
    <m/>
    <s v="CL 2 N NRO 10E-55,QUINTA ORIENTAL"/>
    <s v="7.9003816"/>
    <s v="-72.4914861"/>
    <s v="NORTE DE SANTANDER"/>
    <s v="CÚCUTA"/>
    <s v="CÚCUTA"/>
    <n v="54001"/>
    <s v="2025-09-19"/>
    <n v="1"/>
    <s v="CUCUTA"/>
    <x v="4"/>
    <n v="49671.7"/>
    <n v="49671.7"/>
  </r>
  <r>
    <n v="79441"/>
    <s v="BARRIO ANTONIO NARIÑO MEDELLIN"/>
    <n v="70953537"/>
    <s v="3045269664"/>
    <s v="3217652296"/>
    <m/>
    <s v="CL 45 A 107 B 39 INT 102,ANTONIO NARIÑO"/>
    <s v="6.2579897"/>
    <s v="-75.6217280"/>
    <s v="ANTIOQUIA"/>
    <s v="MEDELLÍN"/>
    <s v="MEDELLÍN"/>
    <n v="5001"/>
    <s v="2025-09-19"/>
    <n v="1"/>
    <s v="MEDELLIN"/>
    <x v="0"/>
    <n v="37313"/>
    <n v="37313"/>
  </r>
  <r>
    <n v="75487"/>
    <s v="BARRIO MEJORAS PUBLICAS BUCARAMANGA 9"/>
    <n v="37841887"/>
    <s v="3167447847"/>
    <s v="3167447847"/>
    <s v="3167447847"/>
    <s v="CL 36 # 31 - 39 LC 103,MEJORAS PUBLICAS"/>
    <s v="7.1236139"/>
    <s v="-73.1959637"/>
    <s v="SANTANDER"/>
    <s v="BUCARAMANGA"/>
    <s v="BUCARAMANGA"/>
    <n v="68001"/>
    <s v="2025-09-19"/>
    <n v="1"/>
    <s v="BUCARAMANGA"/>
    <x v="4"/>
    <n v="37313"/>
    <n v="37313"/>
  </r>
  <r>
    <n v="74557"/>
    <s v="BARRIO PROVIVIENDA YOPAL 8"/>
    <n v="52015296"/>
    <s v="3108822910"/>
    <s v="3108822910"/>
    <s v="3108822910"/>
    <s v="CL 24 18 02,PROVIVIENDA"/>
    <s v="5.3350673"/>
    <s v="-72.3951652"/>
    <s v="CASANARE"/>
    <s v="YOPAL"/>
    <s v="YOPAL"/>
    <n v="85001"/>
    <s v="2025-09-19"/>
    <n v="1"/>
    <s v="YOPAL"/>
    <x v="1"/>
    <n v="49671.7"/>
    <n v="49671.7"/>
  </r>
  <r>
    <n v="74570"/>
    <s v="BARRIO PBRERO TUNJA"/>
    <n v="1056799202"/>
    <s v="3204128677"/>
    <s v="3204128677"/>
    <s v="3204128677"/>
    <s v="CR 11 3 98,OBRERO"/>
    <s v="5.51812186"/>
    <s v="-73.36741039"/>
    <s v="BOYACÁ"/>
    <s v="TUNJA"/>
    <s v="TUNJA"/>
    <n v="15001"/>
    <s v="2025-09-19"/>
    <n v="1"/>
    <s v="TUNJA"/>
    <x v="4"/>
    <n v="49671.7"/>
    <n v="49671.7"/>
  </r>
  <r>
    <n v="74847"/>
    <s v="BARRIO FUENTE HIGUERA 2S TUNJA"/>
    <n v="1029640946"/>
    <s v="3175420513"/>
    <s v="3175420513"/>
    <s v="3175420513"/>
    <s v="CR 2 ESTE 23 09,FUENTE HIGUERAS"/>
    <s v="5.5343279"/>
    <s v="-73.3513958"/>
    <s v="BOYACÁ"/>
    <s v="TUNJA"/>
    <s v="TUNJA"/>
    <n v="15001"/>
    <s v="2025-09-19"/>
    <n v="1"/>
    <s v="TUNJA"/>
    <x v="4"/>
    <n v="49671.7"/>
    <n v="49671.7"/>
  </r>
  <r>
    <n v="75088"/>
    <s v="BARRIO VRD MORELIA PEREIRA"/>
    <n v="901696072"/>
    <s v="3136241363"/>
    <s v="3105292669"/>
    <s v="3148919137"/>
    <s v="KM 5 VIA PEREIRA ALCALA VRD MORELIA"/>
    <s v="4.7727412"/>
    <s v="-75.7591189"/>
    <s v="RISARALDA"/>
    <s v="PEREIRA"/>
    <s v="PEREIRA"/>
    <n v="66001"/>
    <s v="2025-09-19"/>
    <n v="1"/>
    <s v="PEREIRA"/>
    <x v="6"/>
    <n v="37313"/>
    <n v="37313"/>
  </r>
  <r>
    <n v="75065"/>
    <s v="BARRIO CENTRO MONTERIA 55"/>
    <n v="1088241482"/>
    <s v="3137105344"/>
    <s v="3137105344"/>
    <s v="3137105344"/>
    <s v="CL 33 3 32,CENTRO"/>
    <s v="8.7582452"/>
    <s v="-75.8840212"/>
    <s v="CÓRDOBA"/>
    <s v="MONTERÍA"/>
    <s v="MONTERÍA"/>
    <n v="23001"/>
    <s v="2025-09-19"/>
    <n v="1"/>
    <s v="MONTERIA"/>
    <x v="5"/>
    <n v="37313"/>
    <n v="37313"/>
  </r>
  <r>
    <n v="76771"/>
    <s v="BARRIO BELLO HORIZONTE FLORENCIA 1"/>
    <n v="1117495613"/>
    <s v="3124249325"/>
    <s v="3028262981"/>
    <s v="3028262981"/>
    <s v="CL 16 9 A 09 ESTE,BELLO HORIZONTE"/>
    <s v="1.629831"/>
    <s v="-75.593629"/>
    <s v="CAQUETÁ"/>
    <s v="FLORENCIA"/>
    <s v="FLORENCIA"/>
    <n v="18001"/>
    <s v="2025-09-19"/>
    <n v="1"/>
    <s v="NEIVA"/>
    <x v="1"/>
    <n v="49671.7"/>
    <n v="49671.7"/>
  </r>
  <r>
    <n v="76871"/>
    <s v="BARRIO  ROJAS PINILLA ET 2 ARMENIA"/>
    <n v="1094881383"/>
    <s v="3117629229"/>
    <s v="3117629229"/>
    <s v="3214369503"/>
    <s v="BRR ROJAS PINILLA ET 2 MZ 15 8,ROJAS PINILLA ET 2"/>
    <s v="4.5365584"/>
    <s v="-75.6908357"/>
    <s v="QUINDÍO"/>
    <s v="ARMENIA"/>
    <s v="ARMENIA"/>
    <n v="63001"/>
    <s v="2025-09-19"/>
    <n v="1"/>
    <s v="PEREIRA"/>
    <x v="6"/>
    <n v="37313"/>
    <n v="37313"/>
  </r>
  <r>
    <n v="77558"/>
    <s v="BARRIO ALEJANDRIA CUBA PEREIRA"/>
    <n v="1144213778"/>
    <s v="3128627488"/>
    <s v="3128627488"/>
    <s v="3176872892"/>
    <s v="MZ D CA 20 BRR ALEJANDRIA CUBA"/>
    <s v="4.7919517"/>
    <s v="-75.7306086"/>
    <s v="RISARALDA"/>
    <s v="PEREIRA"/>
    <s v="PEREIRA"/>
    <n v="66001"/>
    <s v="2025-09-19"/>
    <n v="1"/>
    <s v="PEREIRA"/>
    <x v="6"/>
    <n v="37313"/>
    <n v="37313"/>
  </r>
  <r>
    <n v="77901"/>
    <s v="BARRIO AVENIDA SANTANDER MANIZALES"/>
    <n v="1053806156"/>
    <s v="3218005385"/>
    <s v="3103579265"/>
    <s v="3103579265"/>
    <s v="CR 23 40 110 LC 4 - AV SANTANDER,AVENIDA SANTANDER"/>
    <s v="5.0658459"/>
    <s v="-75.5050735"/>
    <s v="CALDAS"/>
    <s v="MANIZALES"/>
    <s v="MANIZALES"/>
    <n v="17001"/>
    <s v="2025-09-19"/>
    <n v="1"/>
    <s v="MANIZALES"/>
    <x v="6"/>
    <n v="49671.7"/>
    <n v="49671.7"/>
  </r>
  <r>
    <n v="79935"/>
    <s v="BARRIO LAS MERCEDES BUCARAMANGA"/>
    <n v="47436283"/>
    <s v="3203995383"/>
    <s v="3203995383"/>
    <m/>
    <s v="CR 28 # 58 - 95,LAS MERCEDES"/>
    <s v="7.1075823"/>
    <s v="-73.1129056"/>
    <s v="SANTANDER"/>
    <s v="BUCARAMANGA"/>
    <s v="BUCARAMANGA"/>
    <n v="68001"/>
    <s v="2025-09-19"/>
    <n v="1"/>
    <s v="BUCARAMANGA"/>
    <x v="4"/>
    <n v="37313"/>
    <n v="37313"/>
  </r>
  <r>
    <n v="77813"/>
    <s v="BARRIO LAGUITO YOPAL"/>
    <n v="47439598"/>
    <s v="3115796007"/>
    <s v="3115796007"/>
    <s v="3115796007"/>
    <s v="CL 46 11A 02 P3,LAGUITO"/>
    <s v="5.3133590"/>
    <s v="-72.3979100"/>
    <s v="CASANARE"/>
    <s v="YOPAL"/>
    <s v="YOPAL"/>
    <n v="85001"/>
    <s v="2025-09-19"/>
    <n v="1"/>
    <s v="YOPAL"/>
    <x v="1"/>
    <n v="49671.7"/>
    <n v="49671.7"/>
  </r>
  <r>
    <n v="77255"/>
    <s v="BARRIO MERCADO SANTA MARTA  2"/>
    <n v="1082842035"/>
    <s v="3023851526"/>
    <s v="3013309999"/>
    <s v="3013309999"/>
    <s v="CL 13 NO 8-10 MERCADO,MERCADO"/>
    <s v="11.2445627"/>
    <s v="-74.2071697"/>
    <s v="MAGDALENA"/>
    <s v="SANTA MARTA"/>
    <s v="SANTA MARTA"/>
    <n v="47001"/>
    <s v="2025-09-19"/>
    <n v="1"/>
    <s v="SANTA MARTA"/>
    <x v="5"/>
    <n v="49671.7"/>
    <n v="49671.7"/>
  </r>
  <r>
    <n v="10525"/>
    <s v="CAMPOALEGRE II"/>
    <n v="1075233200"/>
    <s v="8381573"/>
    <s v="3133376208"/>
    <s v="3133376208"/>
    <s v=" CR 9  19-33 CENTRO"/>
    <s v="2.6855831"/>
    <s v="-75.3251561"/>
    <s v="HUILA"/>
    <s v="CAMPOALEGRE"/>
    <s v="CAMPOALEGRE"/>
    <n v="41132"/>
    <s v="2025-09-22"/>
    <n v="1"/>
    <s v="NEIVA"/>
    <x v="1"/>
    <n v="49671.7"/>
    <n v="49671.7"/>
  </r>
  <r>
    <n v="21960"/>
    <s v="BARRIO ROBLEDO XI - MEDELLÍN"/>
    <n v="43275096"/>
    <s v="4198387"/>
    <s v="3003486625"/>
    <s v="3003486625"/>
    <s v=" CR 90 65 C 10 LC 9709"/>
    <s v="6.2782378"/>
    <s v="-75.5981815"/>
    <s v="ANTIOQUIA"/>
    <s v="MEDELLÍN"/>
    <s v="MEDELLÍN"/>
    <n v="5001"/>
    <s v="2025-09-22"/>
    <n v="1"/>
    <s v="MEDELLIN"/>
    <x v="0"/>
    <n v="37313"/>
    <n v="37313"/>
  </r>
  <r>
    <n v="20553"/>
    <s v="BARRIO ROBLEDO MIRAMAR II MEDELLIN"/>
    <n v="1017146232"/>
    <s v="4614590"/>
    <s v="3004188546"/>
    <s v="3004188546"/>
    <s v="CR 72 20 E 17"/>
    <s v="6.311431"/>
    <s v="-75.578573"/>
    <s v="ANTIOQUIA"/>
    <s v="MEDELLÍN"/>
    <s v="MEDELLÍN"/>
    <n v="5001"/>
    <s v="2025-09-22"/>
    <n v="1"/>
    <s v="MEDELLIN"/>
    <x v="0"/>
    <n v="37313"/>
    <n v="37313"/>
  </r>
  <r>
    <n v="27603"/>
    <s v="BARRIO TRINIDAD 6 - MEDELLÍN"/>
    <n v="71782432"/>
    <s v="5070369"/>
    <s v="3116192297"/>
    <s v="3116192297"/>
    <s v=" CR 65 23 34"/>
    <s v="6.2252133"/>
    <s v="-75.5837533"/>
    <s v="ANTIOQUIA"/>
    <s v="MEDELLÍN"/>
    <s v="MEDELLÍN"/>
    <n v="5001"/>
    <s v="2025-09-22"/>
    <n v="1"/>
    <s v="MEDELLIN"/>
    <x v="0"/>
    <n v="37313"/>
    <n v="37313"/>
  </r>
  <r>
    <n v="56400"/>
    <s v="BARRIO SUCRE MONTERIA 1"/>
    <n v="10772008"/>
    <s v="3158369170"/>
    <s v="3158369170"/>
    <s v="3158369170"/>
    <s v="CL 44 1 A 05,SUCRE"/>
    <s v="8.7702037"/>
    <s v="-75.8788980"/>
    <s v="CÓRDOBA"/>
    <s v="MONTERÍA"/>
    <s v="MONTERÍA"/>
    <n v="23001"/>
    <s v="2025-09-22"/>
    <n v="1"/>
    <s v="MONTERIA"/>
    <x v="5"/>
    <n v="37313"/>
    <n v="37313"/>
  </r>
  <r>
    <n v="65918"/>
    <s v="BARRIO BRITALIA NORTE BOGOTA 3"/>
    <n v="40343284"/>
    <s v="0"/>
    <s v="3102400809"/>
    <s v="3102400809"/>
    <s v="CR 48 166-58 LC 1015"/>
    <s v="4.747838"/>
    <s v="-74.049105"/>
    <s v="CUNDINAMARCA"/>
    <s v="BOGOTÁ"/>
    <s v="BOGOTÁ"/>
    <n v="11001"/>
    <s v="2025-09-22"/>
    <n v="1"/>
    <s v="BOGOTA"/>
    <x v="2"/>
    <n v="37313"/>
    <n v="37313"/>
  </r>
  <r>
    <n v="41525"/>
    <s v="BARRIO GRANADA NORTE BOGOTA 1"/>
    <n v="608845"/>
    <s v="5264477"/>
    <s v="3212269028"/>
    <s v="3212269028"/>
    <s v="AC 167 A 47 19,GRANADA NORTE"/>
    <s v="4.7486782"/>
    <s v="-74.0489106"/>
    <s v="CUNDINAMARCA"/>
    <s v="BOGOTÁ"/>
    <s v="BOGOTÁ"/>
    <n v="11001"/>
    <s v="2025-09-22"/>
    <n v="1"/>
    <s v="BOGOTA"/>
    <x v="2"/>
    <n v="37313"/>
    <n v="37313"/>
  </r>
  <r>
    <n v="69884"/>
    <s v="BARRIO VILLA CATANGA SOLEDAD 1"/>
    <n v="1001865971"/>
    <s v="3011925398"/>
    <s v="3052125205"/>
    <s v="3052125206"/>
    <s v="CL 41 # 19 125 CA 254"/>
    <s v="10.9195386"/>
    <s v="-74.7820743"/>
    <s v="ATLÁNTICO"/>
    <s v="SOLEDAD"/>
    <s v="SOLEDAD"/>
    <n v="8758"/>
    <s v="2025-09-22"/>
    <n v="1"/>
    <s v="BARRANQUILLA"/>
    <x v="5"/>
    <n v="37313"/>
    <n v="37313"/>
  </r>
  <r>
    <n v="59896"/>
    <s v="BARRIO CANTALEJO BOGOTA 2"/>
    <n v="80166684"/>
    <s v="0"/>
    <s v="3204557081"/>
    <s v="3204557081"/>
    <s v="CARRERA 55 C # 160 - 86,CANTALEJO"/>
    <s v="4.7434635"/>
    <s v="-74.0578636"/>
    <s v="CUNDINAMARCA"/>
    <s v="BOGOTÁ"/>
    <s v="BOGOTÁ"/>
    <n v="11001"/>
    <s v="2025-09-22"/>
    <n v="1"/>
    <s v="BOGOTA"/>
    <x v="2"/>
    <n v="37313"/>
    <n v="37313"/>
  </r>
  <r>
    <n v="71144"/>
    <s v="BARRIO SAN FRANCISCO BUCARAMANGA 12"/>
    <n v="1094664367"/>
    <s v="323 4379786"/>
    <s v="3234379786"/>
    <s v="3234379786"/>
    <s v="CR 23 20 62 SAN FRANCISCO,SAN FRANCISCO"/>
    <s v="7.128333"/>
    <s v="-73.122708"/>
    <s v="SANTANDER"/>
    <s v="BUCARAMANGA"/>
    <s v="BUCARAMANGA"/>
    <n v="68001"/>
    <s v="2025-09-22"/>
    <n v="1"/>
    <s v="BUCARAMANGA"/>
    <x v="4"/>
    <n v="37313"/>
    <n v="37313"/>
  </r>
  <r>
    <n v="47362"/>
    <s v="BARRIO ROBLEDO LAS MARGARITAS MEDELLIN"/>
    <n v="901404050"/>
    <s v="4387503"/>
    <s v="3044830678"/>
    <s v="3044830678"/>
    <s v="CL 62 109 A 10,ROBLEDO LAS MARGARITAS"/>
    <s v="6.2743839"/>
    <s v="-75.6187760"/>
    <s v="ANTIOQUIA"/>
    <s v="MEDELLÍN"/>
    <s v="MEDELLÍN"/>
    <n v="5001"/>
    <s v="2025-09-22"/>
    <n v="1"/>
    <s v="MEDELLIN"/>
    <x v="0"/>
    <n v="37313"/>
    <n v="37313"/>
  </r>
  <r>
    <n v="63344"/>
    <s v="BARRIO MANZANILLO PARTE ALTA BELEN RINCON MEDELLIN"/>
    <n v="43064096"/>
    <s v="3866189"/>
    <s v="3113043528"/>
    <s v="3113043528"/>
    <s v="VRD SAN JOSE DE MANZANILLO,MANZANILLO PARTE ALTA BELÉN RINCÓN"/>
    <s v="6.2059258"/>
    <s v="-75.6149500"/>
    <s v="ANTIOQUIA"/>
    <s v="MEDELLÍN"/>
    <s v="MEDELLÍN"/>
    <n v="5001"/>
    <s v="2025-09-22"/>
    <n v="1"/>
    <s v="MEDELLIN"/>
    <x v="0"/>
    <n v="37313"/>
    <n v="37313"/>
  </r>
  <r>
    <n v="69913"/>
    <s v="BARRIO KENEDY ABASTOS BOGOTA"/>
    <n v="1013098897"/>
    <s v="3004873393"/>
    <s v="3126168060"/>
    <s v="3004873393"/>
    <s v="DG 2 # 80-10,KENEDY ABASTOS"/>
    <s v="4.6321677"/>
    <s v="-74.1541750"/>
    <s v="CUNDINAMARCA"/>
    <s v="BOGOTÁ"/>
    <s v="BOGOTÁ"/>
    <n v="11001"/>
    <s v="2025-09-22"/>
    <n v="1"/>
    <s v="BOGOTA"/>
    <x v="2"/>
    <n v="37313"/>
    <n v="37313"/>
  </r>
  <r>
    <n v="70673"/>
    <s v="SAN ROQUE SINCELEJO"/>
    <n v="1102819467"/>
    <s v="3106328615"/>
    <s v="3106328615"/>
    <s v="3106328615"/>
    <s v="CR 14 B  5 F -85 BRR San Roque"/>
    <s v="9.3135171"/>
    <s v="-75.4027706"/>
    <s v="SUCRE"/>
    <s v="SINCELEJO"/>
    <s v="SINCELEJO"/>
    <n v="70001"/>
    <s v="2025-09-22"/>
    <n v="1"/>
    <s v="SINCELEJO"/>
    <x v="5"/>
    <n v="49671.7"/>
    <n v="49671.7"/>
  </r>
  <r>
    <n v="71976"/>
    <s v="YOPAL LAGUITO"/>
    <n v="1118548585"/>
    <s v="3213115620"/>
    <s v="3213115620"/>
    <s v="3213115620"/>
    <s v="CR 11 41A 04,LAGUITO"/>
    <s v="5.3172655"/>
    <s v="-72.3988040"/>
    <s v="CASANARE"/>
    <s v="YOPAL"/>
    <s v="YOPAL"/>
    <n v="85001"/>
    <s v="2025-09-22"/>
    <n v="1"/>
    <s v="YOPAL"/>
    <x v="1"/>
    <n v="49671.7"/>
    <n v="49671.7"/>
  </r>
  <r>
    <n v="78163"/>
    <s v="BARRIO RODEO ALTO MEDELLIN  2"/>
    <n v="43066364"/>
    <s v="3006738713"/>
    <s v="3003511548"/>
    <s v="3006738713"/>
    <s v="CL 9 SUR 79 C - 139 LC 109,RODEO ALTO"/>
    <s v="6.2028825"/>
    <s v="-75.6031286"/>
    <s v="ANTIOQUIA"/>
    <s v="MEDELLÍN"/>
    <s v="MEDELLÍN"/>
    <n v="5001"/>
    <s v="2025-09-22"/>
    <n v="1"/>
    <s v="MEDELLIN"/>
    <x v="0"/>
    <n v="37313"/>
    <n v="37313"/>
  </r>
  <r>
    <n v="73848"/>
    <s v="BARRIO MARIA PAZ KENNEDY BOGOTA 1"/>
    <n v="1022399005"/>
    <s v="3223341180"/>
    <s v="3223341180"/>
    <s v="3017531701"/>
    <s v="DG 38 SUR # 80 H 12 LOCAL 164,MARIA PAZ KENNEDY"/>
    <s v="4.6331890"/>
    <s v="-74.1560864"/>
    <s v="CUNDINAMARCA"/>
    <s v="BOGOTÁ"/>
    <s v="BOGOTÁ"/>
    <n v="11001"/>
    <s v="2025-09-22"/>
    <n v="1"/>
    <s v="BOGOTA"/>
    <x v="2"/>
    <n v="37313"/>
    <n v="37313"/>
  </r>
  <r>
    <n v="77372"/>
    <s v="BARRIO CHADIR BITAR SINCELEJO"/>
    <n v="1108760821"/>
    <s v="3006941625"/>
    <s v="3006941625"/>
    <s v="3006941625"/>
    <s v="CL 15 9A 16,CHADIR BITAR"/>
    <s v="9.3084389"/>
    <s v="-75.4078889"/>
    <s v="SUCRE"/>
    <s v="SINCELEJO"/>
    <s v="SINCELEJO"/>
    <n v="70001"/>
    <s v="2025-09-22"/>
    <n v="1"/>
    <s v="SINCELEJO"/>
    <x v="5"/>
    <n v="49671.7"/>
    <n v="49671.7"/>
  </r>
  <r>
    <n v="74003"/>
    <s v="BARRIO GRANADA NORTE BOGOTA 3"/>
    <n v="901791020"/>
    <s v="3196025938"/>
    <s v="3196025938"/>
    <s v="3196025938"/>
    <s v="CR 45 A NO. 168 -15,GRANADA NORTE"/>
    <s v="4.7497433"/>
    <s v="-74.0476775"/>
    <s v="CUNDINAMARCA"/>
    <s v="BOGOTÁ"/>
    <s v="BOGOTÁ"/>
    <n v="11001"/>
    <s v="2025-09-22"/>
    <n v="1"/>
    <s v="BOGOTA"/>
    <x v="2"/>
    <n v="37313"/>
    <n v="37313"/>
  </r>
  <r>
    <n v="75143"/>
    <s v="BARRIO TEJELO MEDELLIN 1"/>
    <n v="92517994"/>
    <s v="0"/>
    <s v="3242760845"/>
    <s v="3163134737"/>
    <s v="CR 70 108 31,TEJELO"/>
    <s v="6.3065056"/>
    <s v="-75.5688915"/>
    <s v="ANTIOQUIA"/>
    <s v="MEDELLÍN"/>
    <s v="MEDELLÍN"/>
    <n v="5001"/>
    <s v="2025-09-22"/>
    <n v="1"/>
    <s v="MEDELLIN"/>
    <x v="0"/>
    <n v="37313"/>
    <n v="37313"/>
  </r>
  <r>
    <n v="74538"/>
    <s v="BARRIO DOCE DE OCTUBRE VILLAVICENCIO  3"/>
    <n v="1121924113"/>
    <s v="313 8382517"/>
    <s v="3107984174"/>
    <s v="3107984174"/>
    <s v="CL 44 46 A 43 LC 2 BRR DOCE DE OCTUBRE "/>
    <s v="4.157058"/>
    <s v="-73.651319"/>
    <s v="META"/>
    <s v="VILLAVICENCIO"/>
    <s v="VILLAVICENCIO"/>
    <n v="50001"/>
    <s v="2025-09-23"/>
    <n v="1"/>
    <s v="VILLAVICENCIO"/>
    <x v="1"/>
    <n v="49671.7"/>
    <n v="49671.7"/>
  </r>
  <r>
    <n v="38476"/>
    <s v="BARRIO VEINTE DE JULIO BOGOTA"/>
    <n v="3224986"/>
    <s v="8033089"/>
    <s v="3154863907"/>
    <s v="3152439755"/>
    <s v="CR 6 24- 60 SUR LC 21 -22"/>
    <s v="4.5703216"/>
    <s v="-74.0935557"/>
    <s v="CUNDINAMARCA"/>
    <s v="BOGOTÁ"/>
    <s v="BOGOTÁ"/>
    <n v="11001"/>
    <s v="2025-09-24"/>
    <n v="1"/>
    <s v="BOGOTA"/>
    <x v="2"/>
    <n v="37313"/>
    <n v="37313"/>
  </r>
  <r>
    <n v="12668"/>
    <s v="BARRIO GUATAPE II - VILLAVICENCIO"/>
    <n v="80878694"/>
    <s v="6691796"/>
    <s v="3204997539"/>
    <s v="3204997539"/>
    <s v=" CL 28 SUR  37-14 GUATAPE II"/>
    <s v="4.099140"/>
    <s v="-73.645540"/>
    <s v="META"/>
    <s v="VILLAVICENCIO"/>
    <s v="VILLAVICENCIO"/>
    <n v="50001"/>
    <s v="2025-09-25"/>
    <n v="1"/>
    <s v="VILLAVICENCIO"/>
    <x v="1"/>
    <n v="49671.7"/>
    <n v="49671.7"/>
  </r>
  <r>
    <n v="17027"/>
    <s v="BARRIO CHIPRE IV MANIZALES"/>
    <n v="75072215"/>
    <s v="8909428"/>
    <s v="3136329405"/>
    <s v="3136329405"/>
    <s v="CL 12 # 10-113 LC ED Alejandra"/>
    <s v="5.0742441"/>
    <s v="-75.5248892"/>
    <s v="CALDAS"/>
    <s v="MANIZALES"/>
    <s v="MANIZALES"/>
    <n v="17001"/>
    <s v="2025-09-25"/>
    <n v="2"/>
    <s v="MANIZALES"/>
    <x v="6"/>
    <n v="49671.7"/>
    <n v="99343.4"/>
  </r>
  <r>
    <n v="21321"/>
    <s v="BARRIO CENTRO LI - NEIVA"/>
    <n v="1075237399"/>
    <s v="8734059"/>
    <s v="3013743797"/>
    <s v="3013743797"/>
    <s v=" CR 4 2 A 12"/>
    <s v="2.922379"/>
    <s v="-75.288177"/>
    <s v="HUILA"/>
    <s v="NEIVA"/>
    <s v="NEIVA"/>
    <n v="41001"/>
    <s v="2025-09-25"/>
    <n v="1"/>
    <s v="NEIVA"/>
    <x v="1"/>
    <n v="49671.7"/>
    <n v="49671.7"/>
  </r>
  <r>
    <n v="21347"/>
    <s v="EXXON BARRIO PROVENZA IV BUCARAMANGA"/>
    <n v="890211035"/>
    <s v="6370165"/>
    <s v="3153074717"/>
    <s v="3153074717"/>
    <s v=" CL 105 16 A 32"/>
    <s v="7.0835546"/>
    <s v="-73.202018"/>
    <s v="SANTANDER"/>
    <s v="BUCARAMANGA"/>
    <s v="BUCARAMANGA"/>
    <n v="68001"/>
    <s v="2025-09-25"/>
    <n v="1"/>
    <s v="BUCARAMANGA"/>
    <x v="4"/>
    <n v="37313"/>
    <n v="37313"/>
  </r>
  <r>
    <n v="23644"/>
    <s v="BARRIO BELMONTE - PEREIRA"/>
    <n v="1088262785"/>
    <s v="3131289"/>
    <s v="3195858510"/>
    <s v="3195858510"/>
    <s v="  BELMONTE MZA 6A CA 13 BELMONTE BAJO PEREIRA RISAEALDA"/>
    <s v="4.8092653"/>
    <s v="-75.7609546"/>
    <s v="RISARALDA"/>
    <s v="PEREIRA"/>
    <s v="PEREIRA"/>
    <n v="66001"/>
    <s v="2025-09-25"/>
    <n v="1"/>
    <s v="PEREIRA"/>
    <x v="6"/>
    <n v="37313"/>
    <n v="37313"/>
  </r>
  <r>
    <n v="25124"/>
    <s v="CENTRO MORELIA - CAQUETA"/>
    <n v="1075541654"/>
    <s v="8721600"/>
    <s v="3102404869"/>
    <s v="3102404869"/>
    <s v=" CR 2 2 59  CENTRO"/>
    <s v="1.4878389"/>
    <s v="-75.7259308"/>
    <s v="CAQUETÁ"/>
    <s v="MORELIA"/>
    <s v="MORELIA"/>
    <n v="18479"/>
    <s v="2025-09-25"/>
    <n v="1"/>
    <s v="NEIVA"/>
    <x v="1"/>
    <n v="49671.7"/>
    <n v="49671.7"/>
  </r>
  <r>
    <n v="25134"/>
    <s v="URB TORCOROMA SIGLO XXI - CÚCUTA"/>
    <n v="37397594"/>
    <s v="5768561"/>
    <s v="3215461937"/>
    <s v="3215461937"/>
    <s v=" AV 18  7 06 SIGLO XX1 CUCUTA CUCUTA NORTE DE SANTANDER"/>
    <s v="7.8951909"/>
    <s v="-72.4697168"/>
    <s v="NORTE DE SANTANDER"/>
    <s v="CÚCUTA"/>
    <s v="CÚCUTA"/>
    <n v="54001"/>
    <s v="2025-09-25"/>
    <n v="2"/>
    <s v="CUCUTA"/>
    <x v="4"/>
    <n v="49671.7"/>
    <n v="99343.4"/>
  </r>
  <r>
    <n v="13531"/>
    <s v="BARRIO LA GABRIELA III - BELLO"/>
    <n v="98485553"/>
    <s v="4610728"/>
    <s v="3137039864"/>
    <s v="3137039864"/>
    <s v=" CL 31  44A-05 LA GABRIELA BELLO"/>
    <s v="6.3194941"/>
    <s v="-75.5523608"/>
    <s v="ANTIOQUIA"/>
    <s v="BELLO"/>
    <s v="BELLO"/>
    <n v="5088"/>
    <s v="2025-09-25"/>
    <n v="2"/>
    <s v="MEDELLIN"/>
    <x v="0"/>
    <n v="37313"/>
    <n v="74626"/>
  </r>
  <r>
    <n v="17122"/>
    <s v="BARRIO PORVENIR II BUCARAMANGA"/>
    <n v="37932734"/>
    <s v="7009773"/>
    <s v="3173887335"/>
    <s v="3173887335"/>
    <s v=" CR 8C  104F-12 PORVENIR"/>
    <s v="7.08138533"/>
    <s v="-73.12917047"/>
    <s v="SANTANDER"/>
    <s v="BUCARAMANGA"/>
    <s v="BUCARAMANGA"/>
    <n v="68001"/>
    <s v="2025-09-25"/>
    <n v="1"/>
    <s v="BUCARAMANGA"/>
    <x v="4"/>
    <n v="37313"/>
    <n v="37313"/>
  </r>
  <r>
    <n v="17012"/>
    <s v="BARRIO LOS COMUNEROS II BUCARAMANGA"/>
    <n v="91259781"/>
    <s v="6718186"/>
    <s v="3105702623"/>
    <s v="3105702623"/>
    <s v=" CL 9  18-05 COMUNEROS"/>
    <s v="7.1371167"/>
    <s v="-73.1286267"/>
    <s v="SANTANDER"/>
    <s v="BUCARAMANGA"/>
    <s v="BUCARAMANGA"/>
    <n v="68001"/>
    <s v="2025-09-25"/>
    <n v="2"/>
    <s v="BUCARAMANGA"/>
    <x v="4"/>
    <n v="37313"/>
    <n v="74626"/>
  </r>
  <r>
    <n v="19081"/>
    <s v="BARRIO AUTOPISTA NORTE COPACABANA"/>
    <n v="1128276698"/>
    <s v="4533037"/>
    <s v="3122593721"/>
    <s v="3122593721"/>
    <s v=" AU NORTE KM 16"/>
    <s v="6.3626628"/>
    <s v="-75.4930795"/>
    <s v="ANTIOQUIA"/>
    <s v="COPACABANA"/>
    <s v="COPACABANA"/>
    <n v="5212"/>
    <s v="2025-09-25"/>
    <n v="1"/>
    <s v="MEDELLIN"/>
    <x v="0"/>
    <n v="37313"/>
    <n v="37313"/>
  </r>
  <r>
    <n v="23511"/>
    <s v="BARRIO EL NORAL - COPACABANA "/>
    <n v="900622361"/>
    <s v="4083187"/>
    <s v="3206830680"/>
    <s v="3206830680"/>
    <s v="Autopista Norte Km 16 Nro 23 A 195"/>
    <s v="6.3617996"/>
    <s v="-75.4942524"/>
    <s v="ANTIOQUIA"/>
    <s v="COPACABANA"/>
    <s v="COPACABANA"/>
    <n v="5212"/>
    <s v="2025-09-25"/>
    <n v="1"/>
    <s v="MEDELLIN"/>
    <x v="0"/>
    <n v="37313"/>
    <n v="37313"/>
  </r>
  <r>
    <n v="25077"/>
    <s v="BARRIO CIUDAD PORFIA V - VILLAVICENCIO"/>
    <n v="479622"/>
    <s v="6704198"/>
    <s v="3102207047"/>
    <s v="3102207047"/>
    <s v=" CL 75 SUR  42 87 LC 3"/>
    <s v="4.07406718"/>
    <s v="-73.66928004"/>
    <s v="META"/>
    <s v="VILLAVICENCIO"/>
    <s v="VILLAVICENCIO"/>
    <n v="50001"/>
    <s v="2025-09-25"/>
    <n v="1"/>
    <s v="VILLAVICENCIO"/>
    <x v="1"/>
    <n v="49671.7"/>
    <n v="49671.7"/>
  </r>
  <r>
    <n v="26926"/>
    <s v="BARRIO TRANSICION BUCARAMANGA"/>
    <n v="63555492"/>
    <s v="6406751"/>
    <s v="3176858798"/>
    <s v="3176858798"/>
    <s v="CRR 18b 1- 07 local 2  La Juventud"/>
    <s v="7.149577"/>
    <s v="-73.1182965"/>
    <s v="SANTANDER"/>
    <s v="BUCARAMANGA"/>
    <s v="BUCARAMANGA"/>
    <n v="68001"/>
    <s v="2025-09-25"/>
    <n v="1"/>
    <s v="BUCARAMANGA"/>
    <x v="4"/>
    <n v="37313"/>
    <n v="37313"/>
  </r>
  <r>
    <n v="28898"/>
    <s v="BARRIO LIMONAR NEIVA"/>
    <n v="36310258"/>
    <s v="8647906"/>
    <s v="3017992748"/>
    <s v="3017992748"/>
    <s v=" CR 39 SUR 21 09"/>
    <s v="2.9086971"/>
    <s v="-75.2621421"/>
    <s v="HUILA"/>
    <s v="NEIVA"/>
    <s v="NEIVA"/>
    <n v="41001"/>
    <s v="2025-09-25"/>
    <n v="1"/>
    <s v="NEIVA"/>
    <x v="1"/>
    <n v="49671.7"/>
    <n v="49671.7"/>
  </r>
  <r>
    <n v="12028"/>
    <s v="SARDINATA - NORTE DE SANTANDER"/>
    <n v="31163366"/>
    <s v="5665246"/>
    <s v="3148245539"/>
    <s v="3148245539"/>
    <s v="CL 6  N  6   04"/>
    <s v="8.08245586"/>
    <s v="-72.80137346"/>
    <s v="NORTE DE SANTANDER"/>
    <s v="SARDINATA"/>
    <s v="SARDINATA"/>
    <n v="54720"/>
    <s v="2025-09-25"/>
    <n v="1"/>
    <s v="CUCUTA"/>
    <x v="4"/>
    <n v="49671.7"/>
    <n v="49671.7"/>
  </r>
  <r>
    <n v="12826"/>
    <s v="BARRIO PARAÍSO II- TUNJA"/>
    <n v="40039609"/>
    <s v="7471638"/>
    <s v="3112564307"/>
    <s v="3112564307"/>
    <s v=" CR 15  12-29 PAR PARAISO TUNJA"/>
    <s v="5.5291965"/>
    <s v="-73.3692117"/>
    <s v="BOYACÁ"/>
    <s v="TUNJA"/>
    <s v="TUNJA"/>
    <n v="15001"/>
    <s v="2025-09-25"/>
    <n v="1"/>
    <s v="TUNJA"/>
    <x v="4"/>
    <n v="49671.7"/>
    <n v="49671.7"/>
  </r>
  <r>
    <n v="17204"/>
    <s v="BARRIO MAMONAL II CARTAGENA"/>
    <n v="900196737"/>
    <s v="5742584"/>
    <s v="3103788825"/>
    <s v="3103788825"/>
    <s v=" AV KM 15 VIA MAMONAL HACIA GAMBOTE"/>
    <s v="10.4154318"/>
    <s v="-75.5277888"/>
    <s v="BOLÍVAR"/>
    <s v="CARTAGENA DE INDIAS"/>
    <s v="CARTAGENA DE INDIAS"/>
    <n v="13001"/>
    <s v="2025-09-25"/>
    <n v="1"/>
    <s v="CARTAGENA"/>
    <x v="5"/>
    <n v="49671.7"/>
    <n v="49671.7"/>
  </r>
  <r>
    <n v="19072"/>
    <s v="BARRIO SANTA FE PASTO"/>
    <n v="30723898"/>
    <s v="7368954"/>
    <s v="3126405419"/>
    <s v="3126405419"/>
    <s v=" CL 18 B 5E 17"/>
    <s v="1.1975662"/>
    <s v="-77.2608159"/>
    <s v="NARIÑO"/>
    <s v="PASTO"/>
    <s v="SAN JUAN DE PASTO"/>
    <n v="52001"/>
    <s v="2025-09-25"/>
    <n v="1"/>
    <s v="PASTO"/>
    <x v="3"/>
    <n v="49671.7"/>
    <n v="49671.7"/>
  </r>
  <r>
    <n v="21164"/>
    <s v="BARRIO 11 DE NOVIEMBRE - NEIVA"/>
    <n v="36177887"/>
    <s v="8772583"/>
    <s v="3158757358"/>
    <s v="3158757358"/>
    <s v=" CR 50 21 B 31"/>
    <s v="2.943335"/>
    <s v="-75.251354"/>
    <s v="HUILA"/>
    <s v="NEIVA"/>
    <s v="NEIVA"/>
    <n v="41001"/>
    <s v="2025-09-25"/>
    <n v="1"/>
    <s v="NEIVA"/>
    <x v="1"/>
    <n v="49671.7"/>
    <n v="49671.7"/>
  </r>
  <r>
    <n v="23628"/>
    <s v="PARQUE PRINCIPAL MONTEBELLO - ANTIOQUIA"/>
    <n v="70855652"/>
    <s v="8480432"/>
    <s v="3137893541"/>
    <s v="3137893541"/>
    <s v=" CR 21  19 35 PAR PRINICPAL MONTEBELLO MONTEBELLO ANTIOQUIA"/>
    <s v="5.9456701"/>
    <s v="-75.5247114"/>
    <s v="ANTIOQUIA"/>
    <s v="MONTEBELLO"/>
    <s v="MONTEBELLO"/>
    <n v="5467"/>
    <s v="2025-09-25"/>
    <n v="1"/>
    <s v="MEDELLIN"/>
    <x v="0"/>
    <n v="37313"/>
    <n v="37313"/>
  </r>
  <r>
    <n v="23632"/>
    <s v="BARRIO COSTA HERMOSA V - SOLEDAD "/>
    <n v="70692618"/>
    <s v="3929129"/>
    <s v="3107319229"/>
    <s v="3107319229"/>
    <s v=" CR 44 27C 129"/>
    <s v="10.9320079"/>
    <s v="-74.7680919"/>
    <s v="ATLÁNTICO"/>
    <s v="SOLEDAD"/>
    <s v="SOLEDAD"/>
    <n v="8758"/>
    <s v="2025-09-25"/>
    <n v="1"/>
    <s v="BARRANQUILLA"/>
    <x v="5"/>
    <n v="37313"/>
    <n v="37313"/>
  </r>
  <r>
    <n v="24987"/>
    <s v="BARRIO MULTIFAMILIAR LOS CENTAUROS"/>
    <n v="41570131"/>
    <s v="6694450"/>
    <s v="3209848731"/>
    <s v="3209848731"/>
    <s v="CR 36 # 4-08 SUR Local 5"/>
    <s v="4.1024117"/>
    <s v="-73.6221687"/>
    <s v="META"/>
    <s v="VILLAVICENCIO"/>
    <s v="VILLAVICENCIO"/>
    <n v="50001"/>
    <s v="2025-09-25"/>
    <n v="1"/>
    <s v="VILLAVICENCIO"/>
    <x v="1"/>
    <n v="49671.7"/>
    <n v="49671.7"/>
  </r>
  <r>
    <n v="26901"/>
    <s v="BARRIO 13 DE MAYO VILLAVICENCIO"/>
    <n v="13958988"/>
    <s v="6050962"/>
    <s v="3107521350"/>
    <s v="3107521350"/>
    <s v=" MZ 55 CA 10  13 DE MAYO "/>
    <s v="4.1224664"/>
    <s v="-73.5388707"/>
    <s v="META"/>
    <s v="VILLAVICENCIO"/>
    <s v="VILLAVICENCIO"/>
    <n v="50001"/>
    <s v="2025-09-25"/>
    <n v="2"/>
    <s v="VILLAVICENCIO"/>
    <x v="1"/>
    <n v="49671.7"/>
    <n v="99343.4"/>
  </r>
  <r>
    <n v="17220"/>
    <s v="BARRIO CHUNIZA BOGOTA"/>
    <n v="52879268"/>
    <s v="3862612"/>
    <s v="3103458054"/>
    <s v="3103458054"/>
    <s v="CL 91 SUR 9 - 16"/>
    <s v="4.5050241"/>
    <s v="-74.1124937"/>
    <s v="CUNDINAMARCA"/>
    <s v="BOGOTÁ"/>
    <s v="BOGOTÁ"/>
    <n v="11001"/>
    <s v="2025-09-25"/>
    <n v="1"/>
    <s v="BOGOTA"/>
    <x v="2"/>
    <n v="37313"/>
    <n v="37313"/>
  </r>
  <r>
    <n v="23506"/>
    <s v="BARRIO SANTA LUCIA VIII - MEDELLÍN"/>
    <n v="1039287858"/>
    <s v="3298293"/>
    <s v="3105979937"/>
    <s v="3105979937"/>
    <s v=" CR 87 48 A 32"/>
    <s v="6.2600686"/>
    <s v="-75.6046843"/>
    <s v="ANTIOQUIA"/>
    <s v="MEDELLÍN"/>
    <s v="MEDELLÍN"/>
    <n v="5001"/>
    <s v="2025-09-25"/>
    <n v="1"/>
    <s v="MEDELLIN"/>
    <x v="0"/>
    <n v="37313"/>
    <n v="37313"/>
  </r>
  <r>
    <n v="26931"/>
    <s v="BARRIO CENTRO SINCELEJO"/>
    <n v="33172261"/>
    <s v="2748564"/>
    <s v="3008090502"/>
    <s v="3008090502"/>
    <s v=" CR 22  22 27"/>
    <s v="9.3024818"/>
    <s v="-75.3920828"/>
    <s v="SUCRE"/>
    <s v="SINCELEJO"/>
    <s v="SINCELEJO"/>
    <n v="70001"/>
    <s v="2025-09-25"/>
    <n v="1"/>
    <s v="SINCELEJO"/>
    <x v="5"/>
    <n v="49671.7"/>
    <n v="49671.7"/>
  </r>
  <r>
    <n v="27931"/>
    <s v="BARRIO TABLAZO - ITAGÜÍ"/>
    <n v="8466347"/>
    <s v="4993158"/>
    <s v="3126238349"/>
    <s v="3002645389"/>
    <s v=" CR 56 56 A 39"/>
    <s v="6.1783128"/>
    <s v="-75.6073407"/>
    <s v="ANTIOQUIA"/>
    <s v="ITAGÜÍ"/>
    <s v="ITAGÜÍ"/>
    <n v="5360"/>
    <s v="2025-09-25"/>
    <n v="2"/>
    <s v="MEDELLIN"/>
    <x v="0"/>
    <n v="37313"/>
    <n v="74626"/>
  </r>
  <r>
    <n v="28121"/>
    <s v="BARRIO CAROLA MANIZALES"/>
    <n v="14397146"/>
    <s v="7384031"/>
    <s v="3104551485"/>
    <s v="3104551485"/>
    <s v=" CR 10 57 E 02"/>
    <s v="5.0666633"/>
    <s v="-75.4873950"/>
    <s v="CALDAS"/>
    <s v="MANIZALES"/>
    <s v="MANIZALES"/>
    <n v="17001"/>
    <s v="2025-09-25"/>
    <n v="1"/>
    <s v="MANIZALES"/>
    <x v="6"/>
    <n v="49671.7"/>
    <n v="49671.7"/>
  </r>
  <r>
    <n v="28917"/>
    <s v="BARRIO BUCARICA 3 FLORIDABLANCA"/>
    <n v="19418089"/>
    <s v="6497102"/>
    <s v="3008525708"/>
    <s v="3008525708"/>
    <s v=" BL 22 15 1 13"/>
    <s v="7.067429"/>
    <s v="-73.081282"/>
    <s v="SANTANDER"/>
    <s v="FLORIDABLANCA"/>
    <s v="FLORIDABLANCA"/>
    <n v="68276"/>
    <s v="2025-09-25"/>
    <n v="1"/>
    <s v="BUCARAMANGA"/>
    <x v="4"/>
    <n v="37313"/>
    <n v="37313"/>
  </r>
  <r>
    <n v="29040"/>
    <s v="BARRIO EL CENTRO CHINÁCOTA"/>
    <n v="88002726"/>
    <s v="5720580"/>
    <s v="3124046154"/>
    <s v="3124046154"/>
    <s v=" AV 4 2 64 KDX 124 4"/>
    <s v="7.6092242"/>
    <s v="-72.6006676"/>
    <s v="NORTE DE SANTANDER"/>
    <s v="CHINÁCOTA"/>
    <s v="CHINÁCOTA"/>
    <n v="54172"/>
    <s v="2025-09-25"/>
    <n v="1"/>
    <s v="CUCUTA"/>
    <x v="4"/>
    <n v="49671.7"/>
    <n v="49671.7"/>
  </r>
  <r>
    <n v="14287"/>
    <s v="BARRIO CENTRO IX CALI"/>
    <n v="900252727"/>
    <s v="2876923"/>
    <s v="3135481625"/>
    <s v="3135481625"/>
    <s v=" CL 17  6-30 CENTRO CALI"/>
    <s v="3.45239027"/>
    <s v="-76.527430"/>
    <s v="VALLE DEL CAUCA"/>
    <s v="CALI"/>
    <s v="SANTIAGO DE CALI"/>
    <n v="76001"/>
    <s v="2025-09-25"/>
    <n v="1"/>
    <s v="CALI"/>
    <x v="3"/>
    <n v="37313"/>
    <n v="37313"/>
  </r>
  <r>
    <n v="16327"/>
    <s v="BARRIO TAGANGA II SANTA MARTA"/>
    <n v="70384183"/>
    <s v="4221645"/>
    <s v="3156931689"/>
    <s v="3156931689"/>
    <s v=" CR 1  11-25 TAGANGA"/>
    <s v="11.2680402"/>
    <s v="-74.1915774"/>
    <s v="MAGDALENA"/>
    <s v="SANTA MARTA"/>
    <s v="SANTA MARTA"/>
    <n v="47001"/>
    <s v="2025-09-25"/>
    <n v="1"/>
    <s v="SANTA MARTA"/>
    <x v="5"/>
    <n v="49671.7"/>
    <n v="49671.7"/>
  </r>
  <r>
    <n v="21965"/>
    <s v="BARRIO NIQUIA V - BELLO"/>
    <n v="43381577"/>
    <s v="5984526"/>
    <s v="3105902637"/>
    <s v="3105902637"/>
    <s v=" DG 59 32 05"/>
    <s v="6.3438213"/>
    <s v="-75.5408238"/>
    <s v="ANTIOQUIA"/>
    <s v="BELLO"/>
    <s v="BELLO"/>
    <n v="5088"/>
    <s v="2025-09-25"/>
    <n v="1"/>
    <s v="MEDELLIN"/>
    <x v="0"/>
    <n v="37313"/>
    <n v="37313"/>
  </r>
  <r>
    <n v="25943"/>
    <s v="CENTRO SAN JOSE DEL FRAGUA II - CAQUETA"/>
    <n v="17689328"/>
    <s v="3203430"/>
    <s v="3203430747"/>
    <s v="3203430747"/>
    <s v=" CL 5  5 29  EL CENTRO"/>
    <s v="1.33114975"/>
    <s v="-75.97461696"/>
    <s v="CAQUETÁ"/>
    <s v="SAN JOSÉ DEL FRAGUA"/>
    <s v="SAN JOSÉ DEL FRAGUA"/>
    <n v="18610"/>
    <s v="2025-09-25"/>
    <n v="1"/>
    <s v="NEIVA"/>
    <x v="1"/>
    <n v="49671.7"/>
    <n v="49671.7"/>
  </r>
  <r>
    <n v="31230"/>
    <s v="BARRIO CORREGIMIENTO LA CHAPARRERA 2"/>
    <n v="9433433"/>
    <s v="6050962"/>
    <s v="3124446101"/>
    <s v="3142863372"/>
    <s v=" VIA MAEGINAL 3 77"/>
    <s v="6.5067279"/>
    <s v="-74.4025462"/>
    <s v="CASANARE"/>
    <s v="YOPAL"/>
    <s v="YOPAL"/>
    <n v="85001"/>
    <s v="2025-09-25"/>
    <n v="1"/>
    <s v="YOPAL"/>
    <x v="1"/>
    <n v="49671.7"/>
    <n v="49671.7"/>
  </r>
  <r>
    <n v="10121"/>
    <s v="BARRIO BELENCITO"/>
    <n v="94518139"/>
    <s v="4795517"/>
    <s v="3235317817"/>
    <s v="3235317817"/>
    <s v=" CL 34B  94-97 BELENCITO"/>
    <s v="6.2451404"/>
    <s v="-75.62067974"/>
    <s v="ANTIOQUIA"/>
    <s v="MEDELLÍN"/>
    <s v="MEDELLÍN"/>
    <n v="5001"/>
    <s v="2025-09-25"/>
    <n v="1"/>
    <s v="MEDELLIN"/>
    <x v="0"/>
    <n v="37313"/>
    <n v="37313"/>
  </r>
  <r>
    <n v="16036"/>
    <s v="BARRIO CATUMARE VILLAVICENCIO"/>
    <n v="40403501"/>
    <s v="6706355"/>
    <s v="3115170938"/>
    <s v="3115170938"/>
    <s v=" CL 19 SUR  46-16 CATUMAEE"/>
    <s v="4.1081322"/>
    <s v="-73.6531379"/>
    <s v="META"/>
    <s v="VILLAVICENCIO"/>
    <s v="VILLAVICENCIO"/>
    <n v="50001"/>
    <s v="2025-09-25"/>
    <n v="1"/>
    <s v="VILLAVICENCIO"/>
    <x v="1"/>
    <n v="49671.7"/>
    <n v="49671.7"/>
  </r>
  <r>
    <n v="16290"/>
    <s v="BARRIO HEROES VILLAVICENCIO"/>
    <n v="40393258"/>
    <s v="5110356"/>
    <s v="3214687751"/>
    <s v="3214687751"/>
    <s v=" CL 10A SUR   54-28 HEROES"/>
    <s v="4.1226672"/>
    <s v="-73.6508464"/>
    <s v="META"/>
    <s v="VILLAVICENCIO"/>
    <s v="VILLAVICENCIO"/>
    <n v="50001"/>
    <s v="2025-09-25"/>
    <n v="1"/>
    <s v="VILLAVICENCIO"/>
    <x v="1"/>
    <n v="49671.7"/>
    <n v="49671.7"/>
  </r>
  <r>
    <n v="21688"/>
    <s v="PLAZA ENVIGADO - ANTIOQUIA"/>
    <n v="71799325"/>
    <s v="2762006"/>
    <s v="3148129346"/>
    <s v="3148129346"/>
    <s v=" CL 38 S  40 A 10"/>
    <s v="6.1688773"/>
    <s v="-75.5864448"/>
    <s v="ANTIOQUIA"/>
    <s v="ENVIGADO"/>
    <s v="ENVIGADO"/>
    <n v="5266"/>
    <s v="2025-09-25"/>
    <n v="2"/>
    <s v="MEDELLIN"/>
    <x v="0"/>
    <n v="37313"/>
    <n v="74626"/>
  </r>
  <r>
    <n v="25672"/>
    <s v="BARRIO LA GRECIA III - ARMENIA"/>
    <n v="94377595"/>
    <s v="7489961"/>
    <s v="3168478333"/>
    <s v="3168478333"/>
    <s v=" CA 1 MZ5"/>
    <s v="4.5296923"/>
    <s v="-75.7117853"/>
    <s v="QUINDÍO"/>
    <s v="ARMENIA"/>
    <s v="ARMENIA"/>
    <n v="63001"/>
    <s v="2025-09-25"/>
    <n v="1"/>
    <s v="PEREIRA"/>
    <x v="6"/>
    <n v="37313"/>
    <n v="37313"/>
  </r>
  <r>
    <n v="25829"/>
    <s v="BARRIO CENTRO 2  IBAGUE"/>
    <n v="1108998595"/>
    <s v="2623857"/>
    <s v="3204453791"/>
    <s v="3204453791"/>
    <s v=" CL 14 3 63"/>
    <s v="4.443236"/>
    <s v="-75.238741"/>
    <s v="TOLIMA"/>
    <s v="IBAGUÉ"/>
    <s v="IBAGUÉ"/>
    <n v="73001"/>
    <s v="2025-09-25"/>
    <n v="2"/>
    <s v="IBAGUE"/>
    <x v="1"/>
    <n v="49671.7"/>
    <n v="99343.4"/>
  </r>
  <r>
    <n v="29041"/>
    <s v="BARRIO SAN MATEO CHINÁCOTA"/>
    <n v="88001624"/>
    <s v="5864855"/>
    <s v="3123975420"/>
    <s v="3123975420"/>
    <s v=" CR 3 1 37"/>
    <s v="7.61013332"/>
    <s v="-72.60066954"/>
    <s v="NORTE DE SANTANDER"/>
    <s v="CHINÁCOTA"/>
    <s v="CHINÁCOTA"/>
    <n v="54172"/>
    <s v="2025-09-25"/>
    <n v="1"/>
    <s v="CUCUTA"/>
    <x v="4"/>
    <n v="49671.7"/>
    <n v="49671.7"/>
  </r>
  <r>
    <n v="19788"/>
    <s v="CENTRO AGUAZUL - CASANARE"/>
    <n v="33448911"/>
    <s v="8214124"/>
    <s v="3132106931"/>
    <s v="3132106931"/>
    <s v=" CL 3  7 07"/>
    <s v="5.2312389"/>
    <s v="-72.6388119"/>
    <s v="CASANARE"/>
    <s v="AGUAZUL"/>
    <s v="AGUAZUL"/>
    <n v="85010"/>
    <s v="2025-09-25"/>
    <n v="1"/>
    <s v="YOPAL"/>
    <x v="1"/>
    <n v="49671.7"/>
    <n v="49671.7"/>
  </r>
  <r>
    <n v="19815"/>
    <s v="BARRIO HIPODROMO SOLEDAD"/>
    <n v="8508757"/>
    <s v="3931899"/>
    <s v="3008855410"/>
    <s v="3008855410"/>
    <s v=" CR 30 26 111LC 1 Y 2"/>
    <s v="10.9272845"/>
    <s v="-74.7728979"/>
    <s v="ATLÁNTICO"/>
    <s v="SOLEDAD"/>
    <s v="SOLEDAD"/>
    <n v="8758"/>
    <s v="2025-09-25"/>
    <n v="1"/>
    <s v="BARRANQUILLA"/>
    <x v="5"/>
    <n v="37313"/>
    <n v="37313"/>
  </r>
  <r>
    <n v="14801"/>
    <s v="BARRIO LA ROCHELA VILLAVICENCIO"/>
    <n v="41214198"/>
    <s v="6693473"/>
    <s v="3107647306"/>
    <s v="3107647306"/>
    <s v=" CL 23B  SUR 44-03 LA ROCHELA"/>
    <s v="4.103592"/>
    <s v="-73.652681"/>
    <s v="META"/>
    <s v="VILLAVICENCIO"/>
    <s v="VILLAVICENCIO"/>
    <n v="50001"/>
    <s v="2025-09-25"/>
    <n v="1"/>
    <s v="VILLAVICENCIO"/>
    <x v="1"/>
    <n v="49671.7"/>
    <n v="49671.7"/>
  </r>
  <r>
    <n v="22033"/>
    <s v="CENTRO BOCHALEMA - NORTE DE SANTANDER"/>
    <n v="5415904"/>
    <s v="5811870"/>
    <s v="3123660418"/>
    <s v="3123660418"/>
    <s v=" CL 5  3 85/89 LOS PIS"/>
    <s v="7.6111615"/>
    <s v="-72.6481956"/>
    <s v="NORTE DE SANTANDER"/>
    <s v="BOCHALEMA"/>
    <s v="BOCHALEMA"/>
    <n v="54099"/>
    <s v="2025-09-25"/>
    <n v="1"/>
    <s v="CUCUTA"/>
    <x v="4"/>
    <n v="49671.7"/>
    <n v="49671.7"/>
  </r>
  <r>
    <n v="23879"/>
    <s v="BARRIO ROBLEDO LA CAMPIÑA III - MEDELLÍN"/>
    <n v="71763343"/>
    <s v="6031615"/>
    <s v="3117486641"/>
    <s v="3117486641"/>
    <s v="CR 94 B 64 FF 07"/>
    <s v="6.28239408"/>
    <s v="-75.60376931"/>
    <s v="ANTIOQUIA"/>
    <s v="MEDELLÍN"/>
    <s v="MEDELLÍN"/>
    <n v="5001"/>
    <s v="2025-09-25"/>
    <n v="1"/>
    <s v="MEDELLIN"/>
    <x v="0"/>
    <n v="37313"/>
    <n v="37313"/>
  </r>
  <r>
    <n v="27163"/>
    <s v="BARRIO _x0009_PORTAL DE LAS AVENIDAS SANTA MARTA"/>
    <n v="85460242"/>
    <s v="4334619"/>
    <s v="3008711627"/>
    <s v="3008711627"/>
    <s v=" MZ H CA 10"/>
    <s v="11.2230913"/>
    <s v="-74.1756467"/>
    <s v="MAGDALENA"/>
    <s v="SANTA MARTA"/>
    <s v="SANTA MARTA"/>
    <n v="47001"/>
    <s v="2025-09-25"/>
    <n v="1"/>
    <s v="SANTA MARTA"/>
    <x v="5"/>
    <n v="49671.7"/>
    <n v="49671.7"/>
  </r>
  <r>
    <n v="27260"/>
    <s v="BARRIO ROSA BLANCA 2  VILLAVICENCIO"/>
    <n v="1121875231"/>
    <s v="6784662"/>
    <s v="3202212065"/>
    <s v="3202212065"/>
    <s v=" CL 5  32 04 AP 101"/>
    <s v="4.1217404"/>
    <s v="-73.6293997"/>
    <s v="META"/>
    <s v="VILLAVICENCIO"/>
    <s v="VILLAVICENCIO"/>
    <n v="50001"/>
    <s v="2025-09-25"/>
    <n v="1"/>
    <s v="VILLAVICENCIO"/>
    <x v="1"/>
    <n v="49671.7"/>
    <n v="49671.7"/>
  </r>
  <r>
    <n v="28179"/>
    <s v="BARRIO CABECERA 3 BUCARAMANGA"/>
    <n v="37938504"/>
    <s v="6454975"/>
    <s v="3153855194"/>
    <s v="3153855194"/>
    <s v=" CR 29 42 49 LC 103"/>
    <s v="7.11994467"/>
    <s v="-73.1128928"/>
    <s v="SANTANDER"/>
    <s v="BUCARAMANGA"/>
    <s v="BUCARAMANGA"/>
    <n v="68001"/>
    <s v="2025-09-25"/>
    <n v="1"/>
    <s v="BUCARAMANGA"/>
    <x v="4"/>
    <n v="37313"/>
    <n v="37313"/>
  </r>
  <r>
    <n v="14698"/>
    <s v="BARRIO CENTRO XX PASTO"/>
    <n v="12991155"/>
    <s v="7294962"/>
    <s v="3183450718"/>
    <s v="3183450718"/>
    <s v=" CR 27  12A-71 SAN FELIPE"/>
    <s v="1.2147266"/>
    <s v="-77.2842709"/>
    <s v="NARIÑO"/>
    <s v="PASTO"/>
    <s v="SAN JUAN DE PASTO"/>
    <n v="52001"/>
    <s v="2025-09-25"/>
    <n v="1"/>
    <s v="PASTO"/>
    <x v="3"/>
    <n v="49671.7"/>
    <n v="49671.7"/>
  </r>
  <r>
    <n v="17698"/>
    <s v="BARRIO CAMPO VALDES X MEDELLÍN"/>
    <n v="21708055"/>
    <s v="5822449"/>
    <s v="3104117715"/>
    <s v="3104117715"/>
    <s v=" CR 48 A 68-61 CAMPO VALDES"/>
    <s v="6.2650020"/>
    <s v="-75.5584725"/>
    <s v="ANTIOQUIA"/>
    <s v="MEDELLÍN"/>
    <s v="MEDELLÍN"/>
    <n v="5001"/>
    <s v="2025-09-25"/>
    <n v="2"/>
    <s v="MEDELLIN"/>
    <x v="0"/>
    <n v="37313"/>
    <n v="74626"/>
  </r>
  <r>
    <n v="23934"/>
    <s v="BARRIO VILLA CORELCA - VALLEDUPAR"/>
    <n v="60398268"/>
    <s v="5704708"/>
    <s v="3113725602"/>
    <s v="3113725602"/>
    <s v=" TV 25 A DG 16B 22 LC 101"/>
    <s v="10.4601200"/>
    <s v="-73.2680573"/>
    <s v="CESAR"/>
    <s v="VALLEDUPAR"/>
    <s v="VALLEDUPAR"/>
    <n v="20001"/>
    <s v="2025-09-25"/>
    <n v="1"/>
    <s v="VALLEDUPAR"/>
    <x v="5"/>
    <n v="49671.7"/>
    <n v="49671.7"/>
  </r>
  <r>
    <n v="25882"/>
    <s v="BARRIO PRADO MEDELLIN"/>
    <n v="890905730"/>
    <s v="5124243"/>
    <s v="3154107006"/>
    <s v="3154107006"/>
    <s v=" CL 59 51D 41 MEDELLIN ANTIOQUIA"/>
    <s v="6.2572589"/>
    <s v="-75.5678796"/>
    <s v="ANTIOQUIA"/>
    <s v="MEDELLÍN"/>
    <s v="MEDELLÍN"/>
    <n v="5001"/>
    <s v="2025-09-25"/>
    <n v="1"/>
    <s v="MEDELLIN"/>
    <x v="0"/>
    <n v="37313"/>
    <n v="37313"/>
  </r>
  <r>
    <n v="29171"/>
    <s v="BARRIO GUATAPE LL VILLAVICENCIO"/>
    <n v="40332253"/>
    <s v="6617381"/>
    <s v="3058657285"/>
    <s v="3058657285"/>
    <s v=" CL 28 SUR   37 43 LC 7"/>
    <s v="4.0993364"/>
    <s v="-73.6464225"/>
    <s v="META"/>
    <s v="VILLAVICENCIO"/>
    <s v="VILLAVICENCIO"/>
    <n v="50001"/>
    <s v="2025-09-25"/>
    <n v="1"/>
    <s v="VILLAVICENCIO"/>
    <x v="1"/>
    <n v="49671.7"/>
    <n v="49671.7"/>
  </r>
  <r>
    <n v="29318"/>
    <s v="BARRIO CENTRO 2 SAMACÁ"/>
    <n v="1056798912"/>
    <s v="7851112"/>
    <s v="3105585558"/>
    <s v="3105585558"/>
    <s v=" CR 6 5 52"/>
    <s v="5.49225104"/>
    <s v="-73.48617233"/>
    <s v="BOYACÁ"/>
    <s v="SAMACÁ"/>
    <s v="SAMACÁ"/>
    <n v="15646"/>
    <s v="2025-09-25"/>
    <n v="1"/>
    <s v="TUNJA"/>
    <x v="4"/>
    <n v="49671.7"/>
    <n v="49671.7"/>
  </r>
  <r>
    <n v="29791"/>
    <s v="BARRIO VAREDA SAN LORENZO DE DUITAMA"/>
    <n v="800234618"/>
    <s v="3748607"/>
    <s v="3123749794"/>
    <s v="3123749794"/>
    <s v=" TV KM 1 VIA PANTA DE VAEGAS"/>
    <s v="5.7862636"/>
    <s v="-73.0493306"/>
    <s v="BOYACÁ"/>
    <s v="DUITAMA"/>
    <s v="DUITAMA"/>
    <n v="15238"/>
    <s v="2025-09-25"/>
    <n v="1"/>
    <s v="TUNJA"/>
    <x v="4"/>
    <n v="49671.7"/>
    <n v="49671.7"/>
  </r>
  <r>
    <n v="34191"/>
    <s v="BARRIO SAN FERNANDO SUR"/>
    <n v="12277551"/>
    <m/>
    <s v="3148075492"/>
    <s v="3148075492"/>
    <s v=" CL 25 29 04"/>
    <s v="2.4414709"/>
    <s v="-76.6315623"/>
    <s v="CAUCA"/>
    <s v="POPAYÁN"/>
    <s v="POPAYÁN"/>
    <n v="19001"/>
    <s v="2025-09-25"/>
    <n v="1"/>
    <s v="CALI"/>
    <x v="3"/>
    <n v="37313"/>
    <n v="37313"/>
  </r>
  <r>
    <n v="20570"/>
    <s v="BARRIO CENTRO XLVIII PASTO"/>
    <n v="59832437"/>
    <s v="7334684"/>
    <s v="3156883669"/>
    <s v="3156883669"/>
    <s v=" CL 16 23 35 CE PASEO EL DORADO LC 25"/>
    <s v="1.21266479"/>
    <s v="-77.27997414"/>
    <s v="NARIÑO"/>
    <s v="PASTO"/>
    <s v="SAN JUAN DE PASTO"/>
    <n v="52001"/>
    <s v="2025-09-25"/>
    <n v="1"/>
    <s v="PASTO"/>
    <x v="3"/>
    <n v="49671.7"/>
    <n v="49671.7"/>
  </r>
  <r>
    <n v="11689"/>
    <s v="BARRIO LA PAZ"/>
    <n v="43065474"/>
    <s v="2763169"/>
    <s v="3137754000"/>
    <s v="3137754000"/>
    <s v="CR 42B 45A SUR-20"/>
    <s v="6.163280"/>
    <s v="-75.593575"/>
    <s v="ANTIOQUIA"/>
    <s v="ENVIGADO"/>
    <s v="ENVIGADO"/>
    <n v="5266"/>
    <s v="2025-09-25"/>
    <n v="1"/>
    <s v="MEDELLIN"/>
    <x v="0"/>
    <n v="37313"/>
    <n v="37313"/>
  </r>
  <r>
    <n v="15010"/>
    <s v="BARRIO LA VICTORIA VALLEDUPAR"/>
    <n v="4237496"/>
    <s v="5847953"/>
    <s v="3218246735"/>
    <s v="3218246735"/>
    <s v="cll 18 A2  43 65 mz 10 casa 9  B. Populandia"/>
    <s v="10.4489890"/>
    <s v="-73.2791968"/>
    <s v="CESAR"/>
    <s v="VALLEDUPAR"/>
    <s v="VALLEDUPAR"/>
    <n v="20001"/>
    <s v="2025-09-25"/>
    <n v="1"/>
    <s v="VALLEDUPAR"/>
    <x v="5"/>
    <n v="49671.7"/>
    <n v="49671.7"/>
  </r>
  <r>
    <n v="24254"/>
    <s v="BARRIO SECTOR PLAZA DE FLORES - MEDELLÍN "/>
    <n v="1017134656"/>
    <s v="2395420"/>
    <s v="3004505113"/>
    <s v="3004505113"/>
    <s v="Cra 50 C  79 - 68"/>
    <s v="6.2739746"/>
    <s v="-75.5612624"/>
    <s v="ANTIOQUIA"/>
    <s v="MEDELLÍN"/>
    <s v="MEDELLÍN"/>
    <n v="5001"/>
    <s v="2025-09-25"/>
    <n v="1"/>
    <s v="MEDELLIN"/>
    <x v="0"/>
    <n v="37313"/>
    <n v="37313"/>
  </r>
  <r>
    <n v="28433"/>
    <s v="BARRIO BOMBONA 3 PASTO"/>
    <n v="30711824"/>
    <s v="7310882"/>
    <s v="3128653052"/>
    <s v="3128653052"/>
    <s v=" CL 15 28 10  BOMBONA DE PASTO "/>
    <s v="1.2164172"/>
    <s v="-77.2827390"/>
    <s v="NARIÑO"/>
    <s v="PASTO"/>
    <s v="SAN JUAN DE PASTO"/>
    <n v="52001"/>
    <s v="2025-09-25"/>
    <n v="2"/>
    <s v="PASTO"/>
    <x v="3"/>
    <n v="49671.7"/>
    <n v="99343.4"/>
  </r>
  <r>
    <n v="30273"/>
    <s v="BARRIO JAMUNDI - JAMUNDÍ "/>
    <n v="16839912"/>
    <s v="3269361"/>
    <s v="3146790944"/>
    <s v="3146790944"/>
    <s v=" CL 11 12 93"/>
    <s v="3.26331912"/>
    <s v="-76.54181909"/>
    <s v="VALLE DEL CAUCA"/>
    <s v="JAMUNDÍ"/>
    <s v="JAMUNDÍ"/>
    <n v="76364"/>
    <s v="2025-09-25"/>
    <n v="1"/>
    <s v="CALI"/>
    <x v="3"/>
    <n v="37313"/>
    <n v="37313"/>
  </r>
  <r>
    <n v="14994"/>
    <s v="BARRIO VILLA LUZ BOGOTA 3"/>
    <n v="79865349"/>
    <s v="2645457"/>
    <s v="3112177131"/>
    <s v="3112177131"/>
    <s v=" CR 77A  63B-49 ARMANDIA BOGOTA"/>
    <s v="4.6801887"/>
    <s v="-74.1083674"/>
    <s v="CUNDINAMARCA"/>
    <s v="BOGOTÁ"/>
    <s v="BOGOTÁ"/>
    <n v="11001"/>
    <s v="2025-09-25"/>
    <n v="1"/>
    <s v="BOGOTA"/>
    <x v="2"/>
    <n v="37313"/>
    <n v="37313"/>
  </r>
  <r>
    <n v="16799"/>
    <s v="BARRIO LA FUENTE DUITAMA"/>
    <n v="23551456"/>
    <s v="7604635"/>
    <s v="3123758072"/>
    <s v="3123758072"/>
    <s v=" CR 16  8 A-39"/>
    <s v="6.2395408"/>
    <s v="-75.5739552"/>
    <s v="BOYACÁ"/>
    <s v="DUITAMA"/>
    <s v="DUITAMA"/>
    <n v="15238"/>
    <s v="2025-09-25"/>
    <n v="2"/>
    <s v="TUNJA"/>
    <x v="4"/>
    <n v="49671.7"/>
    <n v="99343.4"/>
  </r>
  <r>
    <n v="18670"/>
    <s v="BARRIO AMBALA V IBAGUE"/>
    <n v="1110465600"/>
    <s v="2752809"/>
    <s v="3506853314"/>
    <s v="3506853314"/>
    <s v=" CL 65 20 A 18 AMBALA"/>
    <s v="4.4486087"/>
    <s v="-75.200612"/>
    <s v="TOLIMA"/>
    <s v="IBAGUÉ"/>
    <s v="IBAGUÉ"/>
    <n v="73001"/>
    <s v="2025-09-25"/>
    <n v="1"/>
    <s v="IBAGUE"/>
    <x v="1"/>
    <n v="49671.7"/>
    <n v="49671.7"/>
  </r>
  <r>
    <n v="24248"/>
    <s v="BARRIO DINDALITO BOGOTA 12"/>
    <n v="65815809"/>
    <s v="5675337"/>
    <s v="3204563636"/>
    <s v="3204563636"/>
    <s v="CL 42A SUR 96A 21 BARRIO DINDALITO "/>
    <s v="4.6450320"/>
    <s v="-74.1762703"/>
    <s v="CUNDINAMARCA"/>
    <s v="BOGOTÁ"/>
    <s v="BOGOTÁ"/>
    <n v="11001"/>
    <s v="2025-09-25"/>
    <n v="1"/>
    <s v="BOGOTA"/>
    <x v="2"/>
    <n v="37313"/>
    <n v="37313"/>
  </r>
  <r>
    <n v="30461"/>
    <s v="BARRIO BELLAVISTA 2  BOGOTA"/>
    <n v="1024477196"/>
    <s v="8065946"/>
    <s v="3209997817"/>
    <s v="3209997817"/>
    <s v=" CL 87 B SUR  3 A 24"/>
    <s v="4.50500454"/>
    <s v="-74.10667401"/>
    <s v="CUNDINAMARCA"/>
    <s v="BOGOTÁ"/>
    <s v="BOGOTÁ"/>
    <n v="11001"/>
    <s v="2025-09-25"/>
    <n v="1"/>
    <s v="BOGOTA"/>
    <x v="2"/>
    <n v="37313"/>
    <n v="37313"/>
  </r>
  <r>
    <n v="30455"/>
    <s v="BARRIO YOMASA 9 - BOGOTÁ "/>
    <n v="49765420"/>
    <s v="7643399"/>
    <s v="3183763105"/>
    <s v="3183763105"/>
    <s v=" CL 81 SUR  9 A 51"/>
    <s v="4.5095041"/>
    <s v="-74.1132173"/>
    <s v="CUNDINAMARCA"/>
    <s v="BOGOTÁ"/>
    <s v="BOGOTÁ"/>
    <n v="11001"/>
    <s v="2025-09-25"/>
    <n v="1"/>
    <s v="BOGOTA"/>
    <x v="2"/>
    <n v="37313"/>
    <n v="37313"/>
  </r>
  <r>
    <n v="33879"/>
    <s v="BARRIO SAN DIEGO NORTE PASTO"/>
    <n v="36952411"/>
    <s v="7200398"/>
    <s v="3108251063"/>
    <s v="3108251063"/>
    <s v=" MZ C CA 7  SAN DIEGO NORTE "/>
    <s v="1.2177151"/>
    <s v="-77.2660080"/>
    <s v="NARIÑO"/>
    <s v="PASTO"/>
    <s v="SAN JUAN DE PASTO"/>
    <n v="52001"/>
    <s v="2025-09-25"/>
    <n v="1"/>
    <s v="PASTO"/>
    <x v="3"/>
    <n v="49671.7"/>
    <n v="49671.7"/>
  </r>
  <r>
    <n v="34343"/>
    <s v="BARRIO CENTRO SAN JOSE DEL FRAGUA"/>
    <n v="17615996"/>
    <s v="3108030000"/>
    <s v="3108030350"/>
    <s v="3115775821"/>
    <s v=" VIA A CURILLO FRENTE A LA ESTACION DE SERVICIO DE TERPEL"/>
    <s v="1.3264350"/>
    <s v="-75.9740558"/>
    <s v="CAQUETÁ"/>
    <s v="SAN JOSÉ DEL FRAGUA"/>
    <s v="SAN JOSÉ DEL FRAGUA"/>
    <n v="18610"/>
    <s v="2025-09-25"/>
    <n v="1"/>
    <s v="NEIVA"/>
    <x v="1"/>
    <n v="49671.7"/>
    <n v="49671.7"/>
  </r>
  <r>
    <n v="10068"/>
    <s v="BOCHALEMA - NORTE DE SANTANDER"/>
    <n v="27632817"/>
    <s v="3009373"/>
    <s v="3118093055"/>
    <s v="3118093055"/>
    <s v=" CL 3  4-28"/>
    <s v="10.92139"/>
    <s v="-74.79937"/>
    <s v="NORTE DE SANTANDER"/>
    <s v="BOCHALEMA"/>
    <s v="BOCHALEMA"/>
    <n v="54099"/>
    <s v="2025-09-25"/>
    <n v="1"/>
    <s v="CUCUTA"/>
    <x v="4"/>
    <n v="49671.7"/>
    <n v="49671.7"/>
  </r>
  <r>
    <n v="14514"/>
    <s v="BARRIO LAS AMERICAS V PASTO"/>
    <n v="98388378"/>
    <s v="7224665"/>
    <s v="3146205287"/>
    <s v="3146205287"/>
    <s v=" CR 32 N 16A 18  BRR MARIRIAS"/>
    <s v="1.2194566"/>
    <s v="-77.2835641"/>
    <s v="NARIÑO"/>
    <s v="PASTO"/>
    <s v="SAN JUAN DE PASTO"/>
    <n v="52001"/>
    <s v="2025-09-25"/>
    <n v="1"/>
    <s v="PASTO"/>
    <x v="3"/>
    <n v="49671.7"/>
    <n v="49671.7"/>
  </r>
  <r>
    <n v="17382"/>
    <s v="BARRIO CADILLAC II- POPAYAN"/>
    <n v="25277008"/>
    <s v="8369540"/>
    <s v="3206792120"/>
    <s v="3206792120"/>
    <s v=" CR 14 IN 17 CADILLAL"/>
    <s v="2.4464395"/>
    <s v="-76.6120238"/>
    <s v="CAUCA"/>
    <s v="POPAYÁN"/>
    <s v="POPAYÁN"/>
    <n v="19001"/>
    <s v="2025-09-25"/>
    <n v="1"/>
    <s v="CALI"/>
    <x v="3"/>
    <n v="37313"/>
    <n v="37313"/>
  </r>
  <r>
    <n v="19436"/>
    <s v="BARRIO GUAYABAL V MEDELLIN"/>
    <n v="890923389"/>
    <s v="3616565"/>
    <s v="3105254238"/>
    <s v="3105254238"/>
    <s v=" CL 7 SUR 51 A 21 LC 170"/>
    <s v="6.20229927"/>
    <s v="-75.58770741"/>
    <s v="ANTIOQUIA"/>
    <s v="MEDELLÍN"/>
    <s v="MEDELLÍN"/>
    <n v="5001"/>
    <s v="2025-09-25"/>
    <n v="1"/>
    <s v="MEDELLIN"/>
    <x v="0"/>
    <n v="37313"/>
    <n v="37313"/>
  </r>
  <r>
    <n v="21056"/>
    <s v="EXXON ANTONIA SANTOS BUCARAMANGA"/>
    <n v="900456302"/>
    <s v="6423845"/>
    <s v="3164626679"/>
    <s v="3164626679"/>
    <s v=" CL 31 21 45"/>
    <s v="7.12412592"/>
    <s v="-73.12244088"/>
    <s v="SANTANDER"/>
    <s v="BUCARAMANGA"/>
    <s v="BUCARAMANGA"/>
    <n v="68001"/>
    <s v="2025-09-25"/>
    <n v="2"/>
    <s v="BUCARAMANGA"/>
    <x v="4"/>
    <n v="37313"/>
    <n v="74626"/>
  </r>
  <r>
    <n v="23381"/>
    <s v="BARRIO CENTRO XXIII - MANIZALES"/>
    <n v="810005987"/>
    <s v="8836785"/>
    <s v="3136466887"/>
    <s v="3136466887"/>
    <s v=" CL 18 24 14 MANIZALES MANIZALES CALDAS"/>
    <s v="5.0660117"/>
    <s v="-75.5202283"/>
    <s v="CALDAS"/>
    <s v="MANIZALES"/>
    <s v="MANIZALES"/>
    <n v="17001"/>
    <s v="2025-09-25"/>
    <n v="1"/>
    <s v="MANIZALES"/>
    <x v="6"/>
    <n v="49671.7"/>
    <n v="49671.7"/>
  </r>
  <r>
    <n v="29299"/>
    <s v="BARRIO CENTRO 2 SARDINATA"/>
    <n v="13197646"/>
    <s v="5713363"/>
    <s v="3118541754"/>
    <s v="3118541754"/>
    <s v=" CL 5 5 50"/>
    <s v="8.0826709"/>
    <s v="-72.8016640"/>
    <s v="NORTE DE SANTANDER"/>
    <s v="SARDINATA"/>
    <s v="SARDINATA"/>
    <n v="54720"/>
    <s v="2025-09-25"/>
    <n v="1"/>
    <s v="CUCUTA"/>
    <x v="4"/>
    <n v="49671.7"/>
    <n v="49671.7"/>
  </r>
  <r>
    <n v="29438"/>
    <s v="BARRIO CENTRO 24 IBAGUÉ"/>
    <n v="14225685"/>
    <s v="2621972"/>
    <s v="3208032774"/>
    <s v="3208032774"/>
    <s v=" CR 3 11 64 LC 102"/>
    <s v="4.44373946"/>
    <s v="-75.24102568"/>
    <s v="TOLIMA"/>
    <s v="IBAGUÉ"/>
    <s v="IBAGUÉ"/>
    <n v="73001"/>
    <s v="2025-09-25"/>
    <n v="1"/>
    <s v="IBAGUE"/>
    <x v="1"/>
    <n v="49671.7"/>
    <n v="49671.7"/>
  </r>
  <r>
    <n v="34234"/>
    <s v="BARRIO SAN DIEGO IBAGUE"/>
    <n v="51889525"/>
    <s v="2737971"/>
    <s v="3138804819"/>
    <s v="3138804819"/>
    <s v=" CR 13  5 15"/>
    <s v="4.454227"/>
    <s v="-75.241737"/>
    <s v="TOLIMA"/>
    <s v="IBAGUÉ"/>
    <s v="IBAGUÉ"/>
    <n v="73001"/>
    <s v="2025-09-25"/>
    <n v="1"/>
    <s v="IBAGUE"/>
    <x v="1"/>
    <n v="49671.7"/>
    <n v="49671.7"/>
  </r>
  <r>
    <n v="36398"/>
    <s v="BARRIO SEVILLA SINCELEJO"/>
    <n v="53032738"/>
    <m/>
    <s v="3132297994"/>
    <s v="3132297994"/>
    <s v=" CL 12 10 E 74"/>
    <s v="9.311434"/>
    <s v="-75.4042"/>
    <s v="SUCRE"/>
    <s v="SINCELEJO"/>
    <s v="SINCELEJO"/>
    <n v="70001"/>
    <s v="2025-09-25"/>
    <n v="1"/>
    <s v="SINCELEJO"/>
    <x v="5"/>
    <n v="49671.7"/>
    <n v="49671.7"/>
  </r>
  <r>
    <n v="10317"/>
    <s v="MONTEBELLO - ANTIOQUIA"/>
    <n v="39200665"/>
    <m/>
    <s v="311741661"/>
    <s v="3136146438"/>
    <s v="MONTEBELLO - ANTIOQUIA"/>
    <s v="5.9457396"/>
    <s v="-75.5237709"/>
    <s v="ANTIOQUIA"/>
    <s v="MONTEBELLO"/>
    <s v="MONTEBELLO"/>
    <n v="5467"/>
    <s v="2025-09-25"/>
    <n v="1"/>
    <s v="MEDELLIN"/>
    <x v="0"/>
    <n v="37313"/>
    <n v="37313"/>
  </r>
  <r>
    <n v="15438"/>
    <s v="BARRIO BRASILIA II BOGOTA"/>
    <n v="52362007"/>
    <s v="7733256"/>
    <s v="3204896097"/>
    <s v="3204896097"/>
    <s v=" CR 1 ESTE  73D-76 SUR ASILIA"/>
    <s v="4.51632996"/>
    <s v="-74.1166742"/>
    <s v="CUNDINAMARCA"/>
    <s v="BOGOTÁ"/>
    <s v="BOGOTÁ"/>
    <n v="11001"/>
    <s v="2025-09-25"/>
    <n v="1"/>
    <s v="BOGOTA"/>
    <x v="2"/>
    <n v="37313"/>
    <n v="37313"/>
  </r>
  <r>
    <n v="25467"/>
    <s v="VEREDA APIAY VILLAVICENCIO - META"/>
    <n v="80523171"/>
    <s v="3002841"/>
    <s v="3115121788"/>
    <s v="3115121788"/>
    <s v=" VRD APIAY CA 15"/>
    <s v="4.085626"/>
    <s v="-73.559584"/>
    <s v="META"/>
    <s v="VILLAVICENCIO"/>
    <s v="VILLAVICENCIO"/>
    <n v="50001"/>
    <s v="2025-09-25"/>
    <n v="1"/>
    <s v="VILLAVICENCIO"/>
    <x v="1"/>
    <n v="49671.7"/>
    <n v="49671.7"/>
  </r>
  <r>
    <n v="30797"/>
    <s v="BARRIO CHAMBU "/>
    <n v="30711147"/>
    <s v="8381834"/>
    <s v="3157265561"/>
    <s v="3157265561"/>
    <s v="MZ 28 Ca 11 Barrio el Chambú etapa 1 - Chambú I"/>
    <s v="1.191134"/>
    <s v="-77.274052"/>
    <s v="NARIÑO"/>
    <s v="PASTO"/>
    <s v="SAN JUAN DE PASTO"/>
    <n v="52001"/>
    <s v="2025-09-25"/>
    <n v="1"/>
    <s v="PASTO"/>
    <x v="3"/>
    <n v="49671.7"/>
    <n v="49671.7"/>
  </r>
  <r>
    <n v="33460"/>
    <s v="BARRIO LOPERENA VALLEDUPAR 1"/>
    <n v="7573452"/>
    <s v="5707743"/>
    <s v="3116753949"/>
    <s v="3116753949"/>
    <s v=" CL 16 12 25 LC 2  LOPERENA"/>
    <s v="10.4733044"/>
    <s v="-73.2499521"/>
    <s v="CESAR"/>
    <s v="VALLEDUPAR"/>
    <s v="VALLEDUPAR"/>
    <n v="20001"/>
    <s v="2025-09-25"/>
    <n v="1"/>
    <s v="VALLEDUPAR"/>
    <x v="5"/>
    <n v="49671.7"/>
    <n v="49671.7"/>
  </r>
  <r>
    <n v="35717"/>
    <s v="BARRIO LOMA LOS BERNAL MEDELLIN"/>
    <n v="32778819"/>
    <s v="5898453"/>
    <s v="3148410651"/>
    <s v="3117369194"/>
    <s v=" CR 84 F 3 C 40 ED AU RA"/>
    <s v="6.2135995"/>
    <s v="-75.6068753"/>
    <s v="ANTIOQUIA"/>
    <s v="MEDELLÍN"/>
    <s v="MEDELLÍN"/>
    <n v="5001"/>
    <s v="2025-09-25"/>
    <n v="1"/>
    <s v="MEDELLIN"/>
    <x v="0"/>
    <n v="37313"/>
    <n v="37313"/>
  </r>
  <r>
    <n v="13559"/>
    <s v="BARRIO CINCUENTENARIO - BELEN DE LOS ANDAQUIES"/>
    <n v="26630081"/>
    <s v="4351257"/>
    <s v="3208014651"/>
    <s v="3208014651"/>
    <s v=" CR 5  5-35 CINCUENTENARIO"/>
    <s v="1.4155022"/>
    <s v="-75.8728337"/>
    <s v="CAQUETÁ"/>
    <s v="BELÉN DE LOS ANDAQUÍES"/>
    <s v="BELÉN DE LOS ANDAQUÍES"/>
    <n v="18094"/>
    <s v="2025-09-25"/>
    <n v="1"/>
    <s v="NEIVA"/>
    <x v="1"/>
    <n v="49671.7"/>
    <n v="49671.7"/>
  </r>
  <r>
    <n v="13204"/>
    <s v="BARRIO COLOMBIATON CARTAGENA"/>
    <n v="9147210"/>
    <s v="6904438"/>
    <s v="3023426362"/>
    <s v="3023426362"/>
    <s v=" MZ 7C LT 3 COLOMBIATON"/>
    <s v="10.3759002"/>
    <s v="-75.4801791"/>
    <s v="BOLÍVAR"/>
    <s v="CARTAGENA DE INDIAS"/>
    <s v="CARTAGENA DE INDIAS"/>
    <n v="13001"/>
    <s v="2025-09-25"/>
    <n v="1"/>
    <s v="CARTAGENA"/>
    <x v="5"/>
    <n v="49671.7"/>
    <n v="49671.7"/>
  </r>
  <r>
    <n v="15358"/>
    <s v="BARRIO BLAS DE LESO II CARTAGENA"/>
    <n v="33117169"/>
    <s v="6610665"/>
    <s v="3114385661"/>
    <s v="3114385661"/>
    <s v=" MZ Q LT-7 ET 2"/>
    <s v="10.3870133"/>
    <s v="-75.4853100"/>
    <s v="BOLÍVAR"/>
    <s v="CARTAGENA DE INDIAS"/>
    <s v="CARTAGENA DE INDIAS"/>
    <n v="13001"/>
    <s v="2025-09-25"/>
    <n v="1"/>
    <s v="CARTAGENA"/>
    <x v="5"/>
    <n v="49671.7"/>
    <n v="49671.7"/>
  </r>
  <r>
    <n v="17597"/>
    <s v="BARRIO PALMAS II NEIVA"/>
    <n v="36170141"/>
    <s v="8636830"/>
    <s v="3187880807"/>
    <s v="3187880807"/>
    <s v=" CR 52  25-14"/>
    <s v="2.946913"/>
    <s v="-75.249787"/>
    <s v="HUILA"/>
    <s v="NEIVA"/>
    <s v="NEIVA"/>
    <n v="41001"/>
    <s v="2025-09-25"/>
    <n v="1"/>
    <s v="NEIVA"/>
    <x v="1"/>
    <n v="49671.7"/>
    <n v="49671.7"/>
  </r>
  <r>
    <n v="29391"/>
    <s v="BARRIO SAN CARLOS BOYACÁ"/>
    <n v="40017922"/>
    <s v="7433233"/>
    <s v="3112882983"/>
    <s v="3112882983"/>
    <s v=" CR 14 7 52 SUR "/>
    <s v="5.50945012"/>
    <s v="-73.37288639"/>
    <s v="BOYACÁ"/>
    <s v="TUNJA"/>
    <s v="TUNJA"/>
    <n v="15001"/>
    <s v="2025-09-25"/>
    <n v="1"/>
    <s v="TUNJA"/>
    <x v="4"/>
    <n v="49671.7"/>
    <n v="49671.7"/>
  </r>
  <r>
    <n v="34575"/>
    <s v="BARRIO ALTA SUIZA MANIZALES 2"/>
    <n v="901226431"/>
    <s v="8864224"/>
    <s v="3104233726"/>
    <s v="3152129897"/>
    <s v=" DG 20 74 86"/>
    <s v="5.0494310"/>
    <s v="-75.4796670"/>
    <s v="CALDAS"/>
    <s v="MANIZALES"/>
    <s v="MANIZALES"/>
    <n v="17001"/>
    <s v="2025-09-25"/>
    <n v="1"/>
    <s v="MANIZALES"/>
    <x v="6"/>
    <n v="49671.7"/>
    <n v="49671.7"/>
  </r>
  <r>
    <n v="34615"/>
    <s v="BARRIO CENTRO NEIVA 8"/>
    <n v="900933465"/>
    <s v="8747663"/>
    <s v="3177333509"/>
    <s v="3177333509"/>
    <s v=" CR 8 7 A 30"/>
    <s v="2.928038"/>
    <s v="-75.285797"/>
    <s v="HUILA"/>
    <s v="NEIVA"/>
    <s v="NEIVA"/>
    <n v="41001"/>
    <s v="2025-09-25"/>
    <n v="1"/>
    <s v="NEIVA"/>
    <x v="1"/>
    <n v="49671.7"/>
    <n v="49671.7"/>
  </r>
  <r>
    <n v="36681"/>
    <s v=" BARRIO VERSALLES CALI    1"/>
    <n v="1143831672"/>
    <s v="3868807"/>
    <s v="3016878558"/>
    <s v="3016878558"/>
    <s v=" CL 17  5  41 VERSALLES"/>
    <s v="3.4598309"/>
    <s v="-76.5314493"/>
    <s v="VALLE DEL CAUCA"/>
    <s v="CALI"/>
    <s v="SANTIAGO DE CALI"/>
    <n v="76001"/>
    <s v="2025-09-25"/>
    <n v="1"/>
    <s v="CALI"/>
    <x v="3"/>
    <n v="37313"/>
    <n v="37313"/>
  </r>
  <r>
    <n v="20855"/>
    <s v="Barrio Nazareno - Cartagena"/>
    <n v="12577867"/>
    <s v="6612096"/>
    <s v="3103627061"/>
    <s v="3103627061"/>
    <s v=" URB EL NAZAEE MZ L LT 1 CRTAGENA DE INDIAS CRTAGENA BOLIVAR"/>
    <s v="10.36900"/>
    <s v="-75.48201"/>
    <s v="BOLÍVAR"/>
    <s v="CARTAGENA DE INDIAS"/>
    <s v="CARTAGENA DE INDIAS"/>
    <n v="13001"/>
    <s v="2025-09-25"/>
    <n v="1"/>
    <s v="CARTAGENA"/>
    <x v="5"/>
    <n v="49671.7"/>
    <n v="49671.7"/>
  </r>
  <r>
    <n v="14664"/>
    <s v="SAMACA II"/>
    <n v="900299712"/>
    <s v="7372064"/>
    <s v="3143199206"/>
    <s v="3143199206"/>
    <s v=" CR 5  6-11"/>
    <s v="5.49314317"/>
    <s v="-73.48569795"/>
    <s v="BOYACÁ"/>
    <s v="SAMACÁ"/>
    <s v="SAMACÁ"/>
    <n v="15646"/>
    <s v="2025-09-25"/>
    <n v="1"/>
    <s v="TUNJA"/>
    <x v="4"/>
    <n v="49671.7"/>
    <n v="49671.7"/>
  </r>
  <r>
    <n v="24352"/>
    <s v="BARRIO GRAN BRETAÑA - POPAYÁN"/>
    <n v="1059598450"/>
    <s v="8337490"/>
    <s v="3128603713"/>
    <s v="3128603713"/>
    <s v=" CR 17 56N 20"/>
    <s v="2.4885339"/>
    <s v="-76.5784729"/>
    <s v="CAUCA"/>
    <s v="POPAYÁN"/>
    <s v="POPAYÁN"/>
    <n v="19001"/>
    <s v="2025-09-25"/>
    <n v="1"/>
    <s v="CALI"/>
    <x v="3"/>
    <n v="37313"/>
    <n v="37313"/>
  </r>
  <r>
    <n v="28800"/>
    <s v="BARRIO BOSTON 6 BARRANQUILLA"/>
    <n v="32610917"/>
    <s v="4519558"/>
    <s v="3226521617"/>
    <s v="3226521617"/>
    <s v=" CL 72 52 09"/>
    <s v="10.91501"/>
    <s v="-74.81350"/>
    <s v="ATLÁNTICO"/>
    <s v="BARRANQUILLA"/>
    <s v="BARRANQUILLA"/>
    <n v="8001"/>
    <s v="2025-09-25"/>
    <n v="1"/>
    <s v="BARRANQUILLA"/>
    <x v="5"/>
    <n v="37313"/>
    <n v="37313"/>
  </r>
  <r>
    <n v="31909"/>
    <s v="BARRIO VEREDA ACAPULCO "/>
    <n v="1095909587"/>
    <s v="6596293"/>
    <s v="3153171118"/>
    <s v="3115101019"/>
    <s v=" VRD ACAPULC O LT 2 MZ 13 CA 2"/>
    <s v="7.0099805"/>
    <s v="-73.1336906"/>
    <s v="SANTANDER"/>
    <s v="GIRÓN"/>
    <s v="GIRÓN"/>
    <n v="68307"/>
    <s v="2025-09-25"/>
    <n v="1"/>
    <s v="BUCARAMANGA"/>
    <x v="4"/>
    <n v="37313"/>
    <n v="37313"/>
  </r>
  <r>
    <n v="33413"/>
    <s v="BARRIO PARIS BELLO 1"/>
    <n v="1128270122"/>
    <m/>
    <s v="3013738380"/>
    <s v="3013738380"/>
    <s v=" CL 25 A 76 56"/>
    <s v="6.3150567"/>
    <s v="-75.5817100"/>
    <s v="ANTIOQUIA"/>
    <s v="BELLO"/>
    <s v="BELLO"/>
    <n v="5088"/>
    <s v="2025-09-25"/>
    <n v="1"/>
    <s v="MEDELLIN"/>
    <x v="0"/>
    <n v="37313"/>
    <n v="37313"/>
  </r>
  <r>
    <n v="34787"/>
    <s v="BARRIO BOSTON MEDELLIN"/>
    <n v="71368053"/>
    <s v="2281530"/>
    <s v="3116467791"/>
    <s v="3116467791"/>
    <s v=" CL 57 36 55"/>
    <s v="6.2486190"/>
    <s v="-75.5547906"/>
    <s v="ANTIOQUIA"/>
    <s v="MEDELLÍN"/>
    <s v="MEDELLÍN"/>
    <n v="5001"/>
    <s v="2025-09-25"/>
    <n v="1"/>
    <s v="MEDELLIN"/>
    <x v="0"/>
    <n v="37313"/>
    <n v="37313"/>
  </r>
  <r>
    <n v="34847"/>
    <s v="BARRIO MAGNOLIA ENVIGADO"/>
    <n v="71674066"/>
    <s v="4794910"/>
    <s v="3005607464"/>
    <s v="3005607464"/>
    <s v=" TV 32 A SUR 31 E 4"/>
    <s v="6.175834444"/>
    <s v="-75.5818741"/>
    <s v="ANTIOQUIA"/>
    <s v="ENVIGADO"/>
    <s v="ENVIGADO"/>
    <n v="5266"/>
    <s v="2025-09-25"/>
    <n v="1"/>
    <s v="MEDELLIN"/>
    <x v="0"/>
    <n v="37313"/>
    <n v="37313"/>
  </r>
  <r>
    <n v="35839"/>
    <s v="   BARRIO VEREDA LA TRINIDAD DUITAMA   "/>
    <n v="52792536"/>
    <m/>
    <s v="3214660031"/>
    <s v="3214660031"/>
    <s v=" VRD LA TRINIDAD"/>
    <s v="5.82555527"/>
    <s v="-73.077837"/>
    <s v="BOYACÁ"/>
    <s v="DUITAMA"/>
    <s v="DUITAMA"/>
    <n v="15238"/>
    <s v="2025-09-25"/>
    <n v="1"/>
    <s v="TUNJA"/>
    <x v="4"/>
    <n v="49671.7"/>
    <n v="49671.7"/>
  </r>
  <r>
    <n v="37024"/>
    <s v="BARRIO MONTE BLANCO BOGOTA 1"/>
    <n v="52776502"/>
    <s v="7647069"/>
    <s v="3219483737"/>
    <s v="3219483737"/>
    <s v=" CR 14 101 55 SUR MONTE BLANCO"/>
    <s v="4.4979195"/>
    <s v="-74.1180868"/>
    <s v="CUNDINAMARCA"/>
    <s v="BOGOTÁ"/>
    <s v="BOGOTÁ"/>
    <n v="11001"/>
    <s v="2025-09-25"/>
    <n v="1"/>
    <s v="BOGOTA"/>
    <x v="2"/>
    <n v="37313"/>
    <n v="37313"/>
  </r>
  <r>
    <n v="13260"/>
    <s v="BARRIO CENTRO MANIZALEZ"/>
    <n v="91273730"/>
    <s v="8821669"/>
    <s v="3162212043"/>
    <s v="3162212043"/>
    <s v=" CL 21  19-44"/>
    <s v="5.0691905"/>
    <s v="-75.5183535"/>
    <s v="CALDAS"/>
    <s v="MANIZALES"/>
    <s v="MANIZALES"/>
    <n v="17001"/>
    <s v="2025-09-25"/>
    <n v="2"/>
    <s v="MANIZALES"/>
    <x v="6"/>
    <n v="49671.7"/>
    <n v="99343.4"/>
  </r>
  <r>
    <n v="24783"/>
    <s v="BARRIO ESPERANZA III - VILLAVICENCIO"/>
    <n v="17345278"/>
    <s v="4140311"/>
    <s v="3202446015"/>
    <s v="3202446015"/>
    <s v=" CL 7 46 80"/>
    <s v="4.126979"/>
    <s v="-73.637750"/>
    <s v="META"/>
    <s v="VILLAVICENCIO"/>
    <s v="VILLAVICENCIO"/>
    <n v="50001"/>
    <s v="2025-09-25"/>
    <n v="1"/>
    <s v="VILLAVICENCIO"/>
    <x v="1"/>
    <n v="49671.7"/>
    <n v="49671.7"/>
  </r>
  <r>
    <n v="27364"/>
    <s v="BARRIO CANTARRANA - VILLAVICENCIO"/>
    <n v="21189129"/>
    <s v="4313371"/>
    <s v="3112298430"/>
    <s v="3112298430"/>
    <s v=" CL 12 A 18 E 15"/>
    <s v="4.1338893"/>
    <s v="-73.6213154"/>
    <s v="META"/>
    <s v="VILLAVICENCIO"/>
    <s v="VILLAVICENCIO"/>
    <n v="50001"/>
    <s v="2025-09-25"/>
    <n v="1"/>
    <s v="VILLAVICENCIO"/>
    <x v="1"/>
    <n v="49671.7"/>
    <n v="49671.7"/>
  </r>
  <r>
    <n v="28515"/>
    <s v="BARRIO VILLA YANETH VALLEDUPAR"/>
    <n v="37531565"/>
    <s v="3186385"/>
    <s v="3006633623"/>
    <s v="3006633623"/>
    <s v=" CL 3E1 43A 5 AP 1"/>
    <s v="10.4814193"/>
    <s v="-73.2848433"/>
    <s v="CESAR"/>
    <s v="VALLEDUPAR"/>
    <s v="VALLEDUPAR"/>
    <n v="20001"/>
    <s v="2025-09-25"/>
    <n v="1"/>
    <s v="VALLEDUPAR"/>
    <x v="5"/>
    <n v="49671.7"/>
    <n v="49671.7"/>
  </r>
  <r>
    <n v="29464"/>
    <s v="BARRIO GARCÉS NAVAS BOGOTÁ"/>
    <n v="23770192"/>
    <s v="9370638"/>
    <s v="3133107171"/>
    <s v="3133107171"/>
    <s v=" CR 109 78 B 03"/>
    <s v="4.71494275"/>
    <s v="-74.11913094"/>
    <s v="CUNDINAMARCA"/>
    <s v="BOGOTÁ"/>
    <s v="BOGOTÁ"/>
    <n v="11001"/>
    <s v="2025-09-25"/>
    <n v="1"/>
    <s v="BOGOTA"/>
    <x v="2"/>
    <n v="37313"/>
    <n v="37313"/>
  </r>
  <r>
    <n v="29489"/>
    <s v="BARRIO VILLAHERMOSA MEDELLÍN"/>
    <n v="71702022"/>
    <s v="2911148"/>
    <s v="3023246591"/>
    <s v="3023246591"/>
    <s v=" CL 66 39 A 29"/>
    <s v="6.2582602"/>
    <s v="-75.5528485"/>
    <s v="ANTIOQUIA"/>
    <s v="MEDELLÍN"/>
    <s v="MEDELLÍN"/>
    <n v="5001"/>
    <s v="2025-09-25"/>
    <n v="2"/>
    <s v="MEDELLIN"/>
    <x v="0"/>
    <n v="37313"/>
    <n v="74626"/>
  </r>
  <r>
    <n v="32995"/>
    <s v="BARRIO SAN JORGE VILLAVICENCIO 1"/>
    <n v="1122647242"/>
    <s v="6784740"/>
    <s v="3203269506"/>
    <s v="3203269506"/>
    <s v=" CR 37  20 04 SUR MZ C CA 34 SAN JORGE V"/>
    <s v="4.103908333"/>
    <s v="-73.64473666"/>
    <s v="META"/>
    <s v="VILLAVICENCIO"/>
    <s v="VILLAVICENCIO"/>
    <n v="50001"/>
    <s v="2025-09-25"/>
    <n v="1"/>
    <s v="VILLAVICENCIO"/>
    <x v="1"/>
    <n v="49671.7"/>
    <n v="49671.7"/>
  </r>
  <r>
    <n v="34572"/>
    <s v="BARRIO CENTRO SAMACA 1"/>
    <n v="24019098"/>
    <m/>
    <s v="3124493596"/>
    <s v="3115917337"/>
    <s v=" CL 6 7 06"/>
    <s v="5.49194554"/>
    <s v="-73.48696578"/>
    <s v="BOYACÁ"/>
    <s v="SAMACÁ"/>
    <s v="SAMACÁ"/>
    <n v="15646"/>
    <s v="2025-09-25"/>
    <n v="1"/>
    <s v="TUNJA"/>
    <x v="4"/>
    <n v="49671.7"/>
    <n v="49671.7"/>
  </r>
  <r>
    <n v="20604"/>
    <s v="BARRIO MUTIS II BUCARAMANGA"/>
    <n v="23151579"/>
    <s v="6849017"/>
    <s v="3173554037"/>
    <s v="3173554037"/>
    <s v=" CL 60 7W 104  MUTIS"/>
    <s v="7.4365489"/>
    <s v="-73.9080796"/>
    <s v="SANTANDER"/>
    <s v="BUCARAMANGA"/>
    <s v="BUCARAMANGA"/>
    <n v="68001"/>
    <s v="2025-09-25"/>
    <n v="1"/>
    <s v="BUCARAMANGA"/>
    <x v="4"/>
    <n v="37313"/>
    <n v="37313"/>
  </r>
  <r>
    <n v="15188"/>
    <s v="BARRIO LA FLORESTA II MEDELLÍN"/>
    <n v="71617694"/>
    <s v="2505919"/>
    <s v="3174233656"/>
    <s v="3174233656"/>
    <s v=" CR 87  47-75 FLORESTA "/>
    <s v="6.2572445"/>
    <s v="-75.6035760"/>
    <s v="ANTIOQUIA"/>
    <s v="MEDELLÍN"/>
    <s v="MEDELLÍN"/>
    <n v="5001"/>
    <s v="2025-09-25"/>
    <n v="1"/>
    <s v="MEDELLIN"/>
    <x v="0"/>
    <n v="37313"/>
    <n v="37313"/>
  </r>
  <r>
    <n v="22795"/>
    <s v="BARRIO CENTRO XIV - SANTA MARTA"/>
    <n v="800108261"/>
    <s v="4217695"/>
    <s v="3205424357"/>
    <s v="3205424357"/>
    <s v=" CL 11 12 05"/>
    <s v="11.245835"/>
    <s v="-74.203546"/>
    <s v="MAGDALENA"/>
    <s v="SANTA MARTA"/>
    <s v="SANTA MARTA"/>
    <n v="47001"/>
    <s v="2025-09-25"/>
    <n v="1"/>
    <s v="SANTA MARTA"/>
    <x v="5"/>
    <n v="49671.7"/>
    <n v="49671.7"/>
  </r>
  <r>
    <n v="24277"/>
    <s v="BARRIO CC GLOBO CENTRO - CARTAGENA DE INDIAS"/>
    <n v="900010964"/>
    <s v="6693364"/>
    <s v="3135713260"/>
    <s v="3135713260"/>
    <s v=" CE GLOBO CENTRO AV PEDRO HEREDIA 26 06"/>
    <s v="10.41436375"/>
    <s v="-75.52530557"/>
    <s v="BOLÍVAR"/>
    <s v="CARTAGENA DE INDIAS"/>
    <s v="CARTAGENA DE INDIAS"/>
    <n v="13001"/>
    <s v="2025-09-25"/>
    <n v="1"/>
    <s v="CARTAGENA"/>
    <x v="5"/>
    <n v="49671.7"/>
    <n v="49671.7"/>
  </r>
  <r>
    <n v="24517"/>
    <s v="BARRIO I TRISTE MEDELLIN - ANTIOQUIA"/>
    <n v="79912499"/>
    <s v="5120443"/>
    <s v="3125674547"/>
    <s v="3125674547"/>
    <s v=" CR 57 A  44 47"/>
    <s v="6.24701682"/>
    <s v="-75.5761153"/>
    <s v="ANTIOQUIA"/>
    <s v="MEDELLÍN"/>
    <s v="MEDELLÍN"/>
    <n v="5001"/>
    <s v="2025-09-25"/>
    <n v="1"/>
    <s v="MEDELLIN"/>
    <x v="0"/>
    <n v="37313"/>
    <n v="37313"/>
  </r>
  <r>
    <n v="28830"/>
    <s v="BARRIO YOMASA 6 BOGOTÁ"/>
    <n v="1022932471"/>
    <s v="7731099"/>
    <s v="3133112707"/>
    <s v="3133112707"/>
    <s v=" CR 8 A ESTE  80 30SUR ESQ"/>
    <s v="4.5093742"/>
    <s v="-74.1093347"/>
    <s v="CUNDINAMARCA"/>
    <s v="BOGOTÁ"/>
    <s v="BOGOTÁ"/>
    <n v="11001"/>
    <s v="2025-09-25"/>
    <n v="2"/>
    <s v="BOGOTA"/>
    <x v="2"/>
    <n v="37313"/>
    <n v="74626"/>
  </r>
  <r>
    <n v="29831"/>
    <s v="BARRIO VILLAS DE DON JUAN 2-2 GIRÓN"/>
    <n v="1102548031"/>
    <s v="6598752"/>
    <s v="3125616093"/>
    <s v="3125616093"/>
    <s v=" CL 14 12 57"/>
    <s v="7.5850263"/>
    <s v="-73.1586014"/>
    <s v="SANTANDER"/>
    <s v="GIRÓN"/>
    <s v="GIRÓN"/>
    <n v="68307"/>
    <s v="2025-09-25"/>
    <n v="1"/>
    <s v="BUCARAMANGA"/>
    <x v="4"/>
    <n v="37313"/>
    <n v="37313"/>
  </r>
  <r>
    <n v="31992"/>
    <s v="BARRIO VALENCIA 3 POPAYÁN"/>
    <n v="12209319"/>
    <s v="8220450"/>
    <s v="3012817094"/>
    <s v="3012817094"/>
    <s v=" CL 6 15 46"/>
    <s v="2.4431558"/>
    <s v="-76.6143332"/>
    <s v="CAUCA"/>
    <s v="POPAYÁN"/>
    <s v="POPAYÁN"/>
    <n v="19001"/>
    <s v="2025-09-25"/>
    <n v="1"/>
    <s v="CALI"/>
    <x v="3"/>
    <n v="37313"/>
    <n v="37313"/>
  </r>
  <r>
    <n v="33104"/>
    <s v="BARRIO SALAMANCA SOLEDAD 1"/>
    <n v="8776213"/>
    <s v="3935399"/>
    <s v="3003832790"/>
    <s v="3003832790"/>
    <s v=" CR 38 A 27 08"/>
    <s v="10.9332302"/>
    <s v="-74.77170333"/>
    <s v="ATLÁNTICO"/>
    <s v="SOLEDAD"/>
    <s v="SOLEDAD"/>
    <n v="8758"/>
    <s v="2025-09-25"/>
    <n v="1"/>
    <s v="BARRANQUILLA"/>
    <x v="5"/>
    <n v="37313"/>
    <n v="37313"/>
  </r>
  <r>
    <n v="36858"/>
    <s v="BARRIO SOLEDAD ATLANTICO 2"/>
    <n v="1045681724"/>
    <s v="3935399"/>
    <s v="3043685870"/>
    <s v="3043685870"/>
    <s v="CL 45 N 26  15"/>
    <s v="10.9235338"/>
    <s v="-74.7864155"/>
    <s v="ATLÁNTICO"/>
    <s v="SOLEDAD"/>
    <s v="SOLEDAD"/>
    <n v="8758"/>
    <s v="2025-09-25"/>
    <n v="1"/>
    <s v="BARRANQUILLA"/>
    <x v="5"/>
    <n v="37313"/>
    <n v="37313"/>
  </r>
  <r>
    <n v="19498"/>
    <s v="BARRIO LAS AMERICAS II CALI"/>
    <n v="14899776"/>
    <s v="6687661"/>
    <s v="3006023127"/>
    <s v="3006023127"/>
    <s v=" AV 3 NORTE 21 99 LC 103"/>
    <s v="3.4616994"/>
    <s v="-76.5268570"/>
    <s v="VALLE DEL CAUCA"/>
    <s v="CALI"/>
    <s v="SANTIAGO DE CALI"/>
    <n v="76001"/>
    <s v="2025-09-25"/>
    <n v="1"/>
    <s v="CALI"/>
    <x v="3"/>
    <n v="37313"/>
    <n v="37313"/>
  </r>
  <r>
    <n v="23354"/>
    <s v="BARRIO LA MARUCHENGA - BELLO"/>
    <n v="43599556"/>
    <s v="4649255"/>
    <s v="3028660336"/>
    <s v="3028660336"/>
    <s v=" CR 67 21 A 7"/>
    <s v="6.31233593"/>
    <s v="-75.57516283"/>
    <s v="ANTIOQUIA"/>
    <s v="BELLO"/>
    <s v="BELLO"/>
    <n v="5088"/>
    <s v="2025-09-25"/>
    <n v="1"/>
    <s v="MEDELLIN"/>
    <x v="0"/>
    <n v="37313"/>
    <n v="37313"/>
  </r>
  <r>
    <n v="24853"/>
    <s v="BARRIO SAN ANTONIO CARRIZAL - GIRÓN"/>
    <n v="91473741"/>
    <s v="6847896"/>
    <s v="3112656041"/>
    <s v="3112656041"/>
    <s v=" CR 22 A 22 A 88"/>
    <s v="7.08152028"/>
    <s v="-73.17321933"/>
    <s v="SANTANDER"/>
    <s v="GIRÓN"/>
    <s v="GIRÓN"/>
    <n v="68307"/>
    <s v="2025-09-25"/>
    <n v="1"/>
    <s v="BUCARAMANGA"/>
    <x v="4"/>
    <n v="37313"/>
    <n v="37313"/>
  </r>
  <r>
    <n v="27351"/>
    <s v="BARRIO CENTRO 2 MONTERIA"/>
    <n v="900893624"/>
    <s v="7810615"/>
    <s v="3207102971"/>
    <s v="3207102971"/>
    <s v=" CR 2  36 69 MONTERIA MONTERIA CORDOBA"/>
    <s v="8.761448"/>
    <s v="-75.882488"/>
    <s v="CÓRDOBA"/>
    <s v="MONTERÍA"/>
    <s v="MONTERÍA"/>
    <n v="23001"/>
    <s v="2025-09-25"/>
    <n v="1"/>
    <s v="MONTERIA"/>
    <x v="5"/>
    <n v="37313"/>
    <n v="37313"/>
  </r>
  <r>
    <n v="28544"/>
    <s v="BARRIO FUERA DEL MUNICIPIO DE CUCUTA"/>
    <n v="5483550"/>
    <s v="5874765"/>
    <s v="3203714884"/>
    <s v="3203714884"/>
    <s v=" KDX 164 3 VIA PUERTO SANTANDER"/>
    <s v="7.9279279"/>
    <s v="-72.4946806"/>
    <s v="NORTE DE SANTANDER"/>
    <s v="CÚCUTA"/>
    <s v="CÚCUTA"/>
    <n v="54001"/>
    <s v="2025-09-25"/>
    <n v="1"/>
    <s v="CUCUTA"/>
    <x v="4"/>
    <n v="49671.7"/>
    <n v="49671.7"/>
  </r>
  <r>
    <n v="29481"/>
    <s v="BARRIO MARCHEZ TOSCANA MEDELLÍN"/>
    <n v="1152194136"/>
    <s v="4641421"/>
    <s v="3137833997"/>
    <s v="3137833997"/>
    <s v=" CR 63 B 105 30"/>
    <s v="6.3009567"/>
    <s v="-75.5598220"/>
    <s v="ANTIOQUIA"/>
    <s v="MEDELLÍN"/>
    <s v="MEDELLÍN"/>
    <n v="5001"/>
    <s v="2025-09-25"/>
    <n v="1"/>
    <s v="MEDELLIN"/>
    <x v="0"/>
    <n v="37313"/>
    <n v="37313"/>
  </r>
  <r>
    <n v="32599"/>
    <s v="BARRIO LA PRADERA MONTERIA 1"/>
    <n v="50926380"/>
    <s v="8250517"/>
    <s v="3003947411"/>
    <s v="3135607968"/>
    <s v=" MZ 57 LT 7 ET 5"/>
    <s v="8.7372646"/>
    <s v="-75.8721488"/>
    <s v="CÓRDOBA"/>
    <s v="MONTERÍA"/>
    <s v="MONTERÍA"/>
    <n v="23001"/>
    <s v="2025-09-25"/>
    <n v="1"/>
    <s v="MONTERIA"/>
    <x v="5"/>
    <n v="37313"/>
    <n v="37313"/>
  </r>
  <r>
    <n v="32998"/>
    <s v="BARRIO JUAN 23 PASTO"/>
    <n v="1085289143"/>
    <s v="6501485"/>
    <s v="3146166730"/>
    <s v="3226854237"/>
    <s v=" CL 19 C 45 76 JUAN XXIII"/>
    <s v="1.2322966"/>
    <s v="-77.2899346"/>
    <s v="NARIÑO"/>
    <s v="PASTO"/>
    <s v="SAN JUAN DE PASTO"/>
    <n v="52001"/>
    <s v="2025-09-25"/>
    <n v="1"/>
    <s v="PASTO"/>
    <x v="3"/>
    <n v="49671.7"/>
    <n v="49671.7"/>
  </r>
  <r>
    <n v="36837"/>
    <s v="BARRIO SANTA CATALINA SINCELEJO"/>
    <n v="92541782"/>
    <m/>
    <s v="3103623438"/>
    <s v="3103623438"/>
    <s v=" CL 22 E 11 113 LC 01 SANTA CATALINA"/>
    <s v="9.3001056"/>
    <s v="-75.4054715"/>
    <s v="SUCRE"/>
    <s v="SINCELEJO"/>
    <s v="SINCELEJO"/>
    <n v="70001"/>
    <s v="2025-09-25"/>
    <n v="1"/>
    <s v="SINCELEJO"/>
    <x v="5"/>
    <n v="49671.7"/>
    <n v="49671.7"/>
  </r>
  <r>
    <n v="33978"/>
    <s v="BARRIO EL ROBLE FLORENCIA"/>
    <n v="901080386"/>
    <s v="3105868986"/>
    <s v="3133973235"/>
    <s v="3133973235"/>
    <s v=" CR 1 32 91  CUNDUY"/>
    <s v="1.632738"/>
    <s v="-75.607973"/>
    <s v="CAQUETÁ"/>
    <s v="FLORENCIA"/>
    <s v="FLORENCIA"/>
    <n v="18001"/>
    <s v="2025-09-25"/>
    <n v="1"/>
    <s v="NEIVA"/>
    <x v="1"/>
    <n v="49671.7"/>
    <n v="49671.7"/>
  </r>
  <r>
    <n v="17164"/>
    <s v="BARRIO SUBA LA FONTANA BOGOTA"/>
    <n v="51726422"/>
    <s v="5371778"/>
    <s v="3143307703"/>
    <s v="3143307703"/>
    <s v=" CR 114  145-93 AP-201 SUBA LA FONTANA"/>
    <s v="4.7510632"/>
    <s v="-74.1023196"/>
    <s v="CUNDINAMARCA"/>
    <s v="BOGOTÁ"/>
    <s v="BOGOTÁ"/>
    <n v="11001"/>
    <s v="2025-09-25"/>
    <n v="1"/>
    <s v="BOGOTA"/>
    <x v="2"/>
    <n v="37313"/>
    <n v="37313"/>
  </r>
  <r>
    <n v="28623"/>
    <s v="BARRIO MODELO 6 POPAYÁN"/>
    <n v="900505109"/>
    <s v="8200388"/>
    <s v="3226330260"/>
    <s v="3226330260"/>
    <s v=" CR 11 1N82"/>
    <s v="2.447114166"/>
    <s v="-76.608717"/>
    <s v="CAUCA"/>
    <s v="POPAYÁN"/>
    <s v="POPAYÁN"/>
    <n v="19001"/>
    <s v="2025-09-25"/>
    <n v="1"/>
    <s v="CALI"/>
    <x v="3"/>
    <n v="37313"/>
    <n v="37313"/>
  </r>
  <r>
    <n v="30983"/>
    <s v="BARRIO LA CABAÑA  2 FLORIDA"/>
    <n v="900229743"/>
    <s v="2640552"/>
    <s v="3206931670"/>
    <s v="3206931670"/>
    <s v=" CR 15 7 18"/>
    <s v="3.32170474"/>
    <s v="-76.23329725"/>
    <s v="VALLE DEL CAUCA"/>
    <s v="FLORIDA"/>
    <s v="FLORIDA"/>
    <n v="76275"/>
    <s v="2025-09-25"/>
    <n v="1"/>
    <s v="CALI"/>
    <x v="3"/>
    <n v="37313"/>
    <n v="37313"/>
  </r>
  <r>
    <n v="33406"/>
    <s v="BARRIO CORREGIMIENTO DE PLAMITAS"/>
    <n v="43704784"/>
    <s v="3870644"/>
    <s v="3147924356"/>
    <s v="3147924356"/>
    <s v=" CL 20 35 53 PALMITAS"/>
    <s v="6.3438983"/>
    <s v="-75.6903800"/>
    <s v="ANTIOQUIA"/>
    <s v="MEDELLÍN"/>
    <s v="MEDELLÍN"/>
    <n v="5001"/>
    <s v="2025-09-25"/>
    <n v="1"/>
    <s v="MEDELLIN"/>
    <x v="0"/>
    <n v="37313"/>
    <n v="37313"/>
  </r>
  <r>
    <n v="35758"/>
    <s v="BARRIO URB PRADOS NORTE CUCUTA"/>
    <n v="1090456971"/>
    <s v="5873759"/>
    <s v="3223609125"/>
    <s v="3223609125"/>
    <s v=" AV 4 23  46"/>
    <s v="7.9197104"/>
    <s v="-72.4968745"/>
    <s v="NORTE DE SANTANDER"/>
    <s v="CÚCUTA"/>
    <s v="CÚCUTA"/>
    <n v="54001"/>
    <s v="2025-09-25"/>
    <n v="1"/>
    <s v="CUCUTA"/>
    <x v="4"/>
    <n v="49671.7"/>
    <n v="49671.7"/>
  </r>
  <r>
    <n v="29585"/>
    <s v="BARRIO CENTRO 26 - SINCELEJO"/>
    <n v="92538461"/>
    <s v="6592826"/>
    <s v="3007230834"/>
    <s v="3007230834"/>
    <s v=" CR 19  19 29 LC 67 GRAN CENTRO EL PAR "/>
    <s v="9.30382104"/>
    <s v="-75.39495037"/>
    <s v="SUCRE"/>
    <s v="SINCELEJO"/>
    <s v="SINCELEJO"/>
    <n v="70001"/>
    <s v="2025-09-25"/>
    <n v="1"/>
    <s v="SINCELEJO"/>
    <x v="5"/>
    <n v="49671.7"/>
    <n v="49671.7"/>
  </r>
  <r>
    <n v="30702"/>
    <s v="BARRIO SANTA HELENITA 2 BOGOTA"/>
    <n v="79598379"/>
    <s v="8056933"/>
    <s v="3183729346"/>
    <s v="3183729346"/>
    <s v="CR 77 A 68 15"/>
    <s v="4.6864022"/>
    <s v="-74.1034368"/>
    <s v="CUNDINAMARCA"/>
    <s v="BOGOTÁ"/>
    <s v="BOGOTÁ"/>
    <n v="11001"/>
    <s v="2025-09-25"/>
    <n v="1"/>
    <s v="BOGOTA"/>
    <x v="2"/>
    <n v="37313"/>
    <n v="37313"/>
  </r>
  <r>
    <n v="31766"/>
    <s v="BARRIO SAN RAFAEL 3 ENVIGADO"/>
    <n v="15273458"/>
    <s v="2974668"/>
    <s v="3206943284"/>
    <s v="3116213616"/>
    <s v=" CL 41 A SUR 29 A 56"/>
    <s v="6.1588781"/>
    <s v="-75.5854598"/>
    <s v="ANTIOQUIA"/>
    <s v="ENVIGADO"/>
    <s v="ENVIGADO"/>
    <n v="5266"/>
    <s v="2025-09-25"/>
    <n v="1"/>
    <s v="MEDELLIN"/>
    <x v="0"/>
    <n v="37313"/>
    <n v="37313"/>
  </r>
  <r>
    <n v="32994"/>
    <s v="BARRIO BRASILIA VILLAVICENCIO 1"/>
    <n v="40342473"/>
    <s v="6703026"/>
    <s v="3112951895"/>
    <s v="3112951895"/>
    <s v=" CR 34 56 03"/>
    <s v="4.081877"/>
    <s v="-73.663746"/>
    <s v="META"/>
    <s v="VILLAVICENCIO"/>
    <s v="VILLAVICENCIO"/>
    <n v="50001"/>
    <s v="2025-09-25"/>
    <n v="1"/>
    <s v="VILLAVICENCIO"/>
    <x v="1"/>
    <n v="49671.7"/>
    <n v="49671.7"/>
  </r>
  <r>
    <n v="34460"/>
    <s v="BARRIO BELLA VISTA SECTOR LA PAZ SANTA MARTA"/>
    <n v="4978824"/>
    <m/>
    <s v="3107222695"/>
    <s v="3107222695"/>
    <s v=" CL 105 16 26 KM 7 RUTA DEL SOL"/>
    <s v="11.1545210"/>
    <s v="-74.2099690"/>
    <s v="MAGDALENA"/>
    <s v="SANTA MARTA"/>
    <s v="SANTA MARTA"/>
    <n v="47001"/>
    <s v="2025-09-25"/>
    <n v="1"/>
    <s v="SANTA MARTA"/>
    <x v="5"/>
    <n v="49671.7"/>
    <n v="49671.7"/>
  </r>
  <r>
    <n v="36833"/>
    <s v="BARRIO BELMONTE PEREIRA"/>
    <n v="1053792330"/>
    <s v="3159740"/>
    <s v="3197123311"/>
    <s v="3146947131"/>
    <s v=" MZ 2A CA 12 BELMONTE"/>
    <s v="4.8090011"/>
    <s v="-75.7614446"/>
    <s v="RISARALDA"/>
    <s v="PEREIRA"/>
    <s v="PEREIRA"/>
    <n v="66001"/>
    <s v="2025-09-25"/>
    <n v="1"/>
    <s v="PEREIRA"/>
    <x v="6"/>
    <n v="37313"/>
    <n v="37313"/>
  </r>
  <r>
    <n v="33743"/>
    <s v="BARRIO GRANADA BUCARAMANGA"/>
    <n v="804010955"/>
    <s v="6711490"/>
    <s v="3152149923"/>
    <s v="3175754025"/>
    <s v=" CL 22 14 22"/>
    <s v="7.12562802"/>
    <s v="-73.12988313"/>
    <s v="SANTANDER"/>
    <s v="BUCARAMANGA"/>
    <s v="BUCARAMANGA"/>
    <n v="68001"/>
    <s v="2025-09-25"/>
    <n v="1"/>
    <s v="BUCARAMANGA"/>
    <x v="4"/>
    <n v="37313"/>
    <n v="37313"/>
  </r>
  <r>
    <n v="33859"/>
    <s v="BARRIO CENTRO NEIVA 7"/>
    <n v="900270937"/>
    <m/>
    <s v="3103432048"/>
    <s v="3123661030"/>
    <s v=" CR 5 5 13"/>
    <s v="2.924646"/>
    <s v="-75.287903"/>
    <s v="HUILA"/>
    <s v="NEIVA"/>
    <s v="NEIVA"/>
    <n v="41001"/>
    <s v="2025-09-25"/>
    <n v="1"/>
    <s v="NEIVA"/>
    <x v="1"/>
    <n v="49671.7"/>
    <n v="49671.7"/>
  </r>
  <r>
    <n v="36055"/>
    <s v="BARRIO CIUDADELA 20 DE JULIO BARRANQUILLA 1"/>
    <n v="42775256"/>
    <s v="3246999"/>
    <s v="3146310867"/>
    <s v="3008651243"/>
    <s v=" CL 45 1 85 LC 176 177"/>
    <s v="10.93052"/>
    <s v="-74.79956"/>
    <s v="ATLÁNTICO"/>
    <s v="BARRANQUILLA"/>
    <s v="BARRANQUILLA"/>
    <n v="8001"/>
    <s v="2025-09-25"/>
    <n v="1"/>
    <s v="BARRANQUILLA"/>
    <x v="5"/>
    <n v="37313"/>
    <n v="37313"/>
  </r>
  <r>
    <n v="36105"/>
    <s v="BARRIO CENTRO SINCELEJO 5"/>
    <n v="901181807"/>
    <s v="2771151"/>
    <s v="3103706841"/>
    <s v="3103706841"/>
    <s v=" CL 22 20 68"/>
    <s v="9.30212138"/>
    <s v="-75.393300"/>
    <s v="SUCRE"/>
    <s v="SINCELEJO"/>
    <s v="SINCELEJO"/>
    <n v="70001"/>
    <s v="2025-09-25"/>
    <n v="1"/>
    <s v="SINCELEJO"/>
    <x v="5"/>
    <n v="49671.7"/>
    <n v="49671.7"/>
  </r>
  <r>
    <n v="38506"/>
    <s v="BARRIO SAN ALONSO BUCARAMANGA 2"/>
    <n v="40977058"/>
    <s v="6326003"/>
    <s v="3209041906"/>
    <s v="3209041906"/>
    <s v=" CL 21 30 33 SAN ALONSO"/>
    <s v="7.1293964"/>
    <s v="-73.1165465"/>
    <s v="SANTANDER"/>
    <s v="BUCARAMANGA"/>
    <s v="BUCARAMANGA"/>
    <n v="68001"/>
    <s v="2025-09-25"/>
    <n v="1"/>
    <s v="BUCARAMANGA"/>
    <x v="4"/>
    <n v="37313"/>
    <n v="37313"/>
  </r>
  <r>
    <n v="43545"/>
    <s v="BARRIO VLLA CONCHA VALLEDUPAR"/>
    <n v="63364763"/>
    <s v="5891070"/>
    <s v="3184977017"/>
    <s v="3227191343"/>
    <s v="CR 24 7 B 04,VILLA CONCHA"/>
    <s v="10.4772372"/>
    <s v="-73.2717297"/>
    <s v="CESAR"/>
    <s v="VALLEDUPAR"/>
    <s v="VALLEDUPAR"/>
    <n v="20001"/>
    <s v="2025-09-25"/>
    <n v="1"/>
    <s v="VALLEDUPAR"/>
    <x v="5"/>
    <n v="49671.7"/>
    <n v="49671.7"/>
  </r>
  <r>
    <n v="44877"/>
    <s v="BARRIO MANRIQUE MEDELLIN 14"/>
    <n v="70385416"/>
    <m/>
    <s v="3206527813"/>
    <s v="3206527813"/>
    <s v="CR 30 79 A 28,MANRIQUE"/>
    <s v="6.2703510"/>
    <s v="-75.5433301"/>
    <s v="ANTIOQUIA"/>
    <s v="MEDELLÍN"/>
    <s v="MEDELLÍN"/>
    <n v="5001"/>
    <s v="2025-09-25"/>
    <n v="1"/>
    <s v="MEDELLIN"/>
    <x v="0"/>
    <n v="37313"/>
    <n v="37313"/>
  </r>
  <r>
    <n v="33744"/>
    <s v="BARRIO SAN RAFAEL BUCARAMANGA"/>
    <n v="91541282"/>
    <s v="6963350"/>
    <s v="3142764036"/>
    <s v="3224730222"/>
    <s v=" CR 11 3 13"/>
    <s v="7.1400686"/>
    <s v="-73.1345743"/>
    <s v="SANTANDER"/>
    <s v="BUCARAMANGA"/>
    <s v="BUCARAMANGA"/>
    <n v="68001"/>
    <s v="2025-09-25"/>
    <n v="1"/>
    <s v="BUCARAMANGA"/>
    <x v="4"/>
    <n v="37313"/>
    <n v="37313"/>
  </r>
  <r>
    <n v="35225"/>
    <s v="BARRIO MODELO POPAYAN"/>
    <n v="76322584"/>
    <s v="8366466"/>
    <s v="3186462859"/>
    <s v="3186462859"/>
    <s v="CR 9  2N - 13"/>
    <s v="2.4470381"/>
    <s v="-76.6070798"/>
    <s v="CAUCA"/>
    <s v="POPAYÁN"/>
    <s v="POPAYÁN"/>
    <n v="19001"/>
    <s v="2025-09-25"/>
    <n v="2"/>
    <s v="CALI"/>
    <x v="3"/>
    <n v="37313"/>
    <n v="74626"/>
  </r>
  <r>
    <n v="36237"/>
    <s v="BARRIO LA GRANJA VALLEDUPAR 1"/>
    <n v="7572258"/>
    <m/>
    <s v="3001484643"/>
    <s v="3116519455"/>
    <s v=" MERCADO NUEVO LC L 9"/>
    <s v="10.464889"/>
    <s v="-73.247526"/>
    <s v="CESAR"/>
    <s v="VALLEDUPAR"/>
    <s v="VALLEDUPAR"/>
    <n v="20001"/>
    <s v="2025-09-25"/>
    <n v="1"/>
    <s v="VALLEDUPAR"/>
    <x v="5"/>
    <n v="49671.7"/>
    <n v="49671.7"/>
  </r>
  <r>
    <n v="37171"/>
    <s v="BARRIO SAN MIGUEL BUCARAMANGA"/>
    <n v="28393128"/>
    <m/>
    <s v="3103244017"/>
    <s v="3103244017"/>
    <s v="CRA 16 51 26"/>
    <s v="7.1100680"/>
    <s v="-73.1226060"/>
    <s v="SANTANDER"/>
    <s v="BUCARAMANGA"/>
    <s v="BUCARAMANGA"/>
    <n v="68001"/>
    <s v="2025-09-25"/>
    <n v="1"/>
    <s v="BUCARAMANGA"/>
    <x v="4"/>
    <n v="37313"/>
    <n v="37313"/>
  </r>
  <r>
    <n v="38488"/>
    <s v="BARRIO LAS NIEVES TUNJA"/>
    <n v="40033181"/>
    <s v="7456353"/>
    <s v="3214172739"/>
    <s v="3214172739"/>
    <s v="CR  11 N 11 88"/>
    <s v="5.5257805"/>
    <s v="-73.3657016"/>
    <s v="BOYACÁ"/>
    <s v="TUNJA"/>
    <s v="TUNJA"/>
    <n v="15001"/>
    <s v="2025-09-25"/>
    <n v="1"/>
    <s v="TUNJA"/>
    <x v="4"/>
    <n v="49671.7"/>
    <n v="49671.7"/>
  </r>
  <r>
    <n v="38630"/>
    <s v="BARRIO OBRERO CALI 3"/>
    <n v="1143843835"/>
    <s v="3816411"/>
    <s v="3014731726"/>
    <s v="3014731726"/>
    <s v=" CR 9 15 30 OBRERO"/>
    <s v="3.4488872"/>
    <s v="-76.5274887"/>
    <s v="VALLE DEL CAUCA"/>
    <s v="CALI"/>
    <s v="SANTIAGO DE CALI"/>
    <n v="76001"/>
    <s v="2025-09-25"/>
    <n v="1"/>
    <s v="CALI"/>
    <x v="3"/>
    <n v="37313"/>
    <n v="37313"/>
  </r>
  <r>
    <n v="41234"/>
    <s v="BARRIO CIUDAD PORFIA VILLAVICENCIO 5"/>
    <n v="1006873530"/>
    <s v="3209520564"/>
    <s v="3209520564"/>
    <s v="3123175837"/>
    <s v="CR 43 57 05,CIUDAD PORFIA"/>
    <s v="4.080704"/>
    <s v="-73.669255"/>
    <s v="META"/>
    <s v="VILLAVICENCIO"/>
    <s v="VILLAVICENCIO"/>
    <n v="50001"/>
    <s v="2025-09-25"/>
    <n v="1"/>
    <s v="VILLAVICENCIO"/>
    <x v="1"/>
    <n v="49671.7"/>
    <n v="49671.7"/>
  </r>
  <r>
    <n v="43443"/>
    <s v="BARRIO SUBA BOGOTA 7"/>
    <n v="23574024"/>
    <s v="3214833952"/>
    <s v="3123332667"/>
    <s v="3123332667"/>
    <s v="DG 129 B 122 D 03,SUBA"/>
    <s v="4.7334562"/>
    <s v="-74.1090380"/>
    <s v="CUNDINAMARCA"/>
    <s v="BOGOTÁ"/>
    <s v="BOGOTÁ"/>
    <n v="11001"/>
    <s v="2025-09-25"/>
    <n v="1"/>
    <s v="BOGOTA"/>
    <x v="2"/>
    <n v="37313"/>
    <n v="37313"/>
  </r>
  <r>
    <n v="43661"/>
    <s v="BARRIO JAVERIANO PASTO 1"/>
    <n v="1085280726"/>
    <s v="3136435399"/>
    <s v="3162929215"/>
    <s v="3136435399"/>
    <s v="CL 19 14 100,JAVERIANO"/>
    <s v="1.2056791"/>
    <s v="-77.2737098"/>
    <s v="NARIÑO"/>
    <s v="PASTO"/>
    <s v="SAN JUAN DE PASTO"/>
    <n v="52001"/>
    <s v="2025-09-25"/>
    <n v="2"/>
    <s v="PASTO"/>
    <x v="3"/>
    <n v="49671.7"/>
    <n v="99343.4"/>
  </r>
  <r>
    <n v="43732"/>
    <s v="BARRIO ESPERANZA VILLAVICENCIO 1"/>
    <n v="86075531"/>
    <s v="3112734882"/>
    <s v="3112734882"/>
    <s v="3112734882"/>
    <s v="CLL 14 # 32 A - 39 BRR ESPERANZA ETAPA 7"/>
    <s v="4.1290486"/>
    <s v="-73.6289074"/>
    <s v="META"/>
    <s v="VILLAVICENCIO"/>
    <s v="VILLAVICENCIO"/>
    <n v="50001"/>
    <s v="2025-09-25"/>
    <n v="1"/>
    <s v="VILLAVICENCIO"/>
    <x v="1"/>
    <n v="49671.7"/>
    <n v="49671.7"/>
  </r>
  <r>
    <n v="47224"/>
    <s v="BARRIO LA FE SINCELEJO"/>
    <n v="1102835641"/>
    <s v="0"/>
    <s v="3106116973"/>
    <s v="3126404229"/>
    <s v="CR 24 17 12,LA FE"/>
    <s v="9.3171232"/>
    <s v="-75.3940738"/>
    <s v="SUCRE"/>
    <s v="SINCELEJO"/>
    <s v="SINCELEJO"/>
    <n v="70001"/>
    <s v="2025-09-25"/>
    <n v="1"/>
    <s v="SINCELEJO"/>
    <x v="5"/>
    <n v="49671.7"/>
    <n v="49671.7"/>
  </r>
  <r>
    <n v="35324"/>
    <s v="BARRIO VILLA SARA BUCARAMANGA"/>
    <n v="1098641345"/>
    <s v="6372526"/>
    <s v="3163137379"/>
    <s v="3163137379"/>
    <s v=" CL 105 B 15 B 58 LC 2"/>
    <s v="7.0817212"/>
    <s v="-73.1225123"/>
    <s v="SANTANDER"/>
    <s v="BUCARAMANGA"/>
    <s v="BUCARAMANGA"/>
    <n v="68001"/>
    <s v="2025-09-25"/>
    <n v="1"/>
    <s v="BUCARAMANGA"/>
    <x v="4"/>
    <n v="37313"/>
    <n v="37313"/>
  </r>
  <r>
    <n v="36107"/>
    <s v="BARRIO CENTRO SINCELEJO 2"/>
    <n v="64546484"/>
    <s v="2803865"/>
    <s v="3103813616"/>
    <s v="3106038418"/>
    <s v="CL 25 25 241 LC 2 AV LAS PE"/>
    <s v="9.299564"/>
    <s v="-75.39449"/>
    <s v="SUCRE"/>
    <s v="SINCELEJO"/>
    <s v="SINCELEJO"/>
    <n v="70001"/>
    <s v="2025-09-25"/>
    <n v="1"/>
    <s v="SINCELEJO"/>
    <x v="5"/>
    <n v="49671.7"/>
    <n v="49671.7"/>
  </r>
  <r>
    <n v="39751"/>
    <s v="BARRIO LAURELES MEDELLIN 8"/>
    <n v="43545028"/>
    <s v="4117431"/>
    <s v="3127323382"/>
    <s v="3127323382"/>
    <s v="CR 74 40 58,LAURELES"/>
    <s v="6.2474265"/>
    <s v="-75.5937765"/>
    <s v="ANTIOQUIA"/>
    <s v="MEDELLÍN"/>
    <s v="MEDELLÍN"/>
    <n v="5001"/>
    <s v="2025-09-25"/>
    <n v="1"/>
    <s v="MEDELLIN"/>
    <x v="0"/>
    <n v="37313"/>
    <n v="37313"/>
  </r>
  <r>
    <n v="43565"/>
    <s v="BARRIO SANTA MARTA SANTA MARTA"/>
    <n v="37926277"/>
    <s v="4230541"/>
    <s v="3183831035"/>
    <s v="3017417948"/>
    <s v="CL 17 # 5 - 54,SANTA MARTA"/>
    <s v="11.24320148"/>
    <s v="-74.20995045"/>
    <s v="MAGDALENA"/>
    <s v="SANTA MARTA"/>
    <s v="SANTA MARTA"/>
    <n v="47001"/>
    <s v="2025-09-25"/>
    <n v="1"/>
    <s v="SANTA MARTA"/>
    <x v="5"/>
    <n v="49671.7"/>
    <n v="49671.7"/>
  </r>
  <r>
    <n v="43685"/>
    <s v="BARRIO SAN ANTONIO VILLAVICENCIO 2"/>
    <n v="40422732"/>
    <s v="3104898487"/>
    <s v="3104898487"/>
    <s v="3115482136"/>
    <s v="CLL 3 c  32  29 Mz B Cs 1"/>
    <s v="4.116866"/>
    <s v="-73.558299"/>
    <s v="META"/>
    <s v="VILLAVICENCIO"/>
    <s v="VILLAVICENCIO"/>
    <n v="50001"/>
    <s v="2025-09-25"/>
    <n v="1"/>
    <s v="VILLAVICENCIO"/>
    <x v="1"/>
    <n v="49671.7"/>
    <n v="49671.7"/>
  </r>
  <r>
    <n v="44893"/>
    <s v="BARRIO COMBIA PEREIRA 2"/>
    <n v="25101962"/>
    <m/>
    <s v="3117984958"/>
    <s v="3136071024"/>
    <s v="VIA MARSELLA KM 6 CRUCERO DE COMBIA LC 7"/>
    <s v="4.8311635"/>
    <s v="-75.7575819"/>
    <s v="RISARALDA"/>
    <s v="PEREIRA"/>
    <s v="PEREIRA"/>
    <n v="66001"/>
    <s v="2025-09-25"/>
    <n v="1"/>
    <s v="PEREIRA"/>
    <x v="6"/>
    <n v="37313"/>
    <n v="37313"/>
  </r>
  <r>
    <n v="47270"/>
    <s v="BARRIO SANTA INES TUNJA 1"/>
    <n v="1049627681"/>
    <s v="3214576941"/>
    <s v="3214576941"/>
    <s v="3214576941"/>
    <s v="CR 5 A 41 44 LOCAL 3,SANTA INES"/>
    <s v="5.55049333"/>
    <s v="-73.35184884"/>
    <s v="BOYACÁ"/>
    <s v="TUNJA"/>
    <s v="TUNJA"/>
    <n v="15001"/>
    <s v="2025-09-25"/>
    <n v="1"/>
    <s v="TUNJA"/>
    <x v="4"/>
    <n v="49671.7"/>
    <n v="49671.7"/>
  </r>
  <r>
    <n v="35024"/>
    <s v="BARRIO ALBORADA  1 VILLAVICENCIO"/>
    <n v="23493212"/>
    <s v="6704603"/>
    <s v="3212426856"/>
    <s v="3212426856"/>
    <s v=" CL 4 D 23 47 MZA 11 2 CS 1"/>
    <s v="4.1241947"/>
    <s v="-73.6208513"/>
    <s v="META"/>
    <s v="VILLAVICENCIO"/>
    <s v="VILLAVICENCIO"/>
    <n v="50001"/>
    <s v="2025-09-25"/>
    <n v="1"/>
    <s v="VILLAVICENCIO"/>
    <x v="1"/>
    <n v="49671.7"/>
    <n v="49671.7"/>
  </r>
  <r>
    <n v="35150"/>
    <s v="BARRIO CHAGUALO 1  MEDELLIN"/>
    <n v="901097361"/>
    <s v="2335865"/>
    <s v="3145567778"/>
    <s v="3145567778"/>
    <s v=" CL 65 55 A 29"/>
    <s v="6.2633223"/>
    <s v="-75.5692573"/>
    <s v="ANTIOQUIA"/>
    <s v="MEDELLÍN"/>
    <s v="MEDELLÍN"/>
    <n v="5001"/>
    <s v="2025-09-25"/>
    <n v="1"/>
    <s v="MEDELLIN"/>
    <x v="0"/>
    <n v="37313"/>
    <n v="37313"/>
  </r>
  <r>
    <n v="38422"/>
    <s v="BARRIO PARQUE PRINCIPAL MEDELLIN"/>
    <n v="1022096145"/>
    <m/>
    <s v="3153363625"/>
    <s v="3153363625"/>
    <s v=" CL 20 35 173 PARQUE PRINCIPAL"/>
    <s v="6.1815359"/>
    <s v="-75.5713588"/>
    <s v="ANTIOQUIA"/>
    <s v="MEDELLÍN"/>
    <s v="MEDELLÍN"/>
    <n v="5001"/>
    <s v="2025-09-25"/>
    <n v="1"/>
    <s v="MEDELLIN"/>
    <x v="0"/>
    <n v="37313"/>
    <n v="37313"/>
  </r>
  <r>
    <n v="39890"/>
    <s v="BARRIO CENTRO COMERCIAL PASEO BOLIVAR MEDELLIN "/>
    <n v="71634338"/>
    <s v="2629535"/>
    <s v="3043787545"/>
    <s v="3043787545"/>
    <s v="CL 41 51 15 INTERIOR 137,CENTRO COMERCIAL PASEO BOLÍVAR"/>
    <s v="6.24197333"/>
    <s v="-75.572301"/>
    <s v="ANTIOQUIA"/>
    <s v="MEDELLÍN"/>
    <s v="MEDELLÍN"/>
    <n v="5001"/>
    <s v="2025-09-25"/>
    <n v="1"/>
    <s v="MEDELLIN"/>
    <x v="0"/>
    <n v="37313"/>
    <n v="37313"/>
  </r>
  <r>
    <n v="40863"/>
    <s v="BARRIO CADILLAL POPAYAN 1"/>
    <n v="1061788113"/>
    <m/>
    <s v="3113893060"/>
    <s v="3113893060"/>
    <s v="CL 4 13. 18,CADILLAL"/>
    <s v="2.4442967"/>
    <s v="-76.6119375"/>
    <s v="CAUCA"/>
    <s v="POPAYÁN"/>
    <s v="POPAYÁN"/>
    <n v="19001"/>
    <s v="2025-09-25"/>
    <n v="1"/>
    <s v="CALI"/>
    <x v="3"/>
    <n v="37313"/>
    <n v="37313"/>
  </r>
  <r>
    <n v="41111"/>
    <s v="BARRIO ALFONSO LOPEZ MONTERIA"/>
    <n v="50939838"/>
    <s v="311 6625693"/>
    <s v="3116625693"/>
    <s v="3116625693"/>
    <s v="CL 6 C 8 B 48,ALFONSO LOPEZ"/>
    <s v="8.7280023"/>
    <s v="-75.8944724"/>
    <s v="CÓRDOBA"/>
    <s v="MONTERÍA"/>
    <s v="MONTERÍA"/>
    <n v="23001"/>
    <s v="2025-09-25"/>
    <n v="1"/>
    <s v="MONTERIA"/>
    <x v="5"/>
    <n v="37313"/>
    <n v="37313"/>
  </r>
  <r>
    <n v="43574"/>
    <s v="BARRIO CUBA PEREIRA 3"/>
    <n v="1113592484"/>
    <s v="3481469"/>
    <s v="3128973508"/>
    <s v="3128973508"/>
    <s v="CR 24 72 52,CUBA"/>
    <s v="4.8048085"/>
    <s v="-75.7406086"/>
    <s v="RISARALDA"/>
    <s v="PEREIRA"/>
    <s v="PEREIRA"/>
    <n v="66001"/>
    <s v="2025-09-25"/>
    <n v="1"/>
    <s v="PEREIRA"/>
    <x v="6"/>
    <n v="37313"/>
    <n v="37313"/>
  </r>
  <r>
    <n v="45148"/>
    <s v="BARRIO LUNA PARK BOGOTA 1"/>
    <n v="901107599"/>
    <m/>
    <s v="3164411347"/>
    <s v="3164411347"/>
    <s v="CL 11 SUR 19-27"/>
    <s v="4.5890894"/>
    <s v="-74.0979699"/>
    <s v="CUNDINAMARCA"/>
    <s v="BOGOTÁ"/>
    <s v="BOGOTÁ"/>
    <n v="11001"/>
    <s v="2025-09-25"/>
    <n v="1"/>
    <s v="BOGOTA"/>
    <x v="2"/>
    <n v="37313"/>
    <n v="37313"/>
  </r>
  <r>
    <n v="46129"/>
    <s v="BARRIO CHIPRE MANIZALES 2"/>
    <n v="24828849"/>
    <m/>
    <s v="3206733628"/>
    <s v="3206733628"/>
    <s v="CL 13 19 09 ,CHIPRE"/>
    <s v="5.0693606"/>
    <s v="-75.5235087"/>
    <s v="CALDAS"/>
    <s v="MANIZALES"/>
    <s v="MANIZALES"/>
    <n v="17001"/>
    <s v="2025-09-25"/>
    <n v="1"/>
    <s v="MANIZALES"/>
    <x v="6"/>
    <n v="49671.7"/>
    <n v="49671.7"/>
  </r>
  <r>
    <n v="46137"/>
    <s v="BARRIO GALAN ARMENIA"/>
    <n v="38860318"/>
    <m/>
    <s v="3113189304"/>
    <s v="3113189304"/>
    <s v="CR 18 7 A 03 ,GALÁN"/>
    <s v="4.540853"/>
    <s v="-75.6681341"/>
    <s v="QUINDÍO"/>
    <s v="ARMENIA"/>
    <s v="ARMENIA"/>
    <n v="63001"/>
    <s v="2025-09-25"/>
    <n v="1"/>
    <s v="PEREIRA"/>
    <x v="6"/>
    <n v="37313"/>
    <n v="37313"/>
  </r>
  <r>
    <n v="47227"/>
    <s v="BARRIO URBANIZACION CASTILLA IBAGUE"/>
    <n v="28994251"/>
    <s v="2781670"/>
    <s v="3107996960"/>
    <s v="3107996960"/>
    <s v="MZ 9 CASA 5,URBANIZACIÓN CASTILLA"/>
    <s v="4.44441"/>
    <s v="-75.209462"/>
    <s v="TOLIMA"/>
    <s v="IBAGUÉ"/>
    <s v="IBAGUÉ"/>
    <n v="73001"/>
    <s v="2025-09-25"/>
    <n v="1"/>
    <s v="IBAGUE"/>
    <x v="1"/>
    <n v="49671.7"/>
    <n v="49671.7"/>
  </r>
  <r>
    <n v="36381"/>
    <s v="BARRIO AVENIDA BOYACA PASTO"/>
    <n v="27435230"/>
    <s v="3154460039"/>
    <s v="3154460039"/>
    <s v="3147955900"/>
    <s v=" CL 12 19 57 LC 2"/>
    <s v="1.2071399"/>
    <s v="-77.2815770"/>
    <s v="NARIÑO"/>
    <s v="PASTO"/>
    <s v="SAN JUAN DE PASTO"/>
    <n v="52001"/>
    <s v="2025-09-25"/>
    <n v="1"/>
    <s v="PASTO"/>
    <x v="3"/>
    <n v="49671.7"/>
    <n v="49671.7"/>
  </r>
  <r>
    <n v="37570"/>
    <s v="BARRIO VILLA CATANGA SOLEDAD"/>
    <n v="55223754"/>
    <s v="3728283"/>
    <s v="3016005125"/>
    <s v="3016005125"/>
    <s v=" CR 22 56 04 LO2 VILLA CATANGA"/>
    <s v="10.9191532"/>
    <s v="-74.7934141"/>
    <s v="ATLÁNTICO"/>
    <s v="SOLEDAD"/>
    <s v="SOLEDAD"/>
    <n v="8758"/>
    <s v="2025-09-25"/>
    <n v="1"/>
    <s v="BARRANQUILLA"/>
    <x v="5"/>
    <n v="37313"/>
    <n v="37313"/>
  </r>
  <r>
    <n v="38644"/>
    <s v="BARRIO CENTRO MEDELLIN 34"/>
    <n v="43475963"/>
    <s v="5128405"/>
    <s v="3128873197"/>
    <s v="3128873197"/>
    <s v=" CR 52 46 36 LOCAL 099 CENTRO"/>
    <s v="6.2479730"/>
    <s v="-75.5702809"/>
    <s v="ANTIOQUIA"/>
    <s v="MEDELLÍN"/>
    <s v="MEDELLÍN"/>
    <n v="5001"/>
    <s v="2025-09-25"/>
    <n v="1"/>
    <s v="MEDELLIN"/>
    <x v="0"/>
    <n v="37313"/>
    <n v="37313"/>
  </r>
  <r>
    <n v="38881"/>
    <s v="BARRIO ALDEA ALTA GIRON"/>
    <n v="901194301"/>
    <s v="6462207"/>
    <s v="3178865133"/>
    <s v="3178865133"/>
    <s v=" CR 34 36 05 ALDEA ALTA"/>
    <s v="7.0709540"/>
    <s v="-73.1773931"/>
    <s v="SANTANDER"/>
    <s v="GIRÓN"/>
    <s v="GIRÓN"/>
    <n v="68307"/>
    <s v="2025-09-25"/>
    <n v="1"/>
    <s v="BUCARAMANGA"/>
    <x v="4"/>
    <n v="37313"/>
    <n v="37313"/>
  </r>
  <r>
    <n v="41652"/>
    <s v="BARRIO LA PRADERA MONTERIA 2"/>
    <n v="1067837934"/>
    <s v="3205272344"/>
    <s v="3209321616"/>
    <s v="3209321616"/>
    <s v="MZ 159 LOTE 1 ETP 1,LA PRADERA"/>
    <s v="8.7410837"/>
    <s v="-75.87257"/>
    <s v="CÓRDOBA"/>
    <s v="MONTERÍA"/>
    <s v="MONTERÍA"/>
    <n v="23001"/>
    <s v="2025-09-25"/>
    <n v="1"/>
    <s v="MONTERIA"/>
    <x v="5"/>
    <n v="37313"/>
    <n v="37313"/>
  </r>
  <r>
    <n v="42846"/>
    <s v="BARRIO CENTRO IBAGUE 14"/>
    <n v="38362692"/>
    <s v="2624890"/>
    <s v="3103250560"/>
    <s v="3162468225"/>
    <s v="CC CHAPINERO MODULO 7 LOCAL 123,CENTRO"/>
    <s v="4.4397463"/>
    <s v="-75.2395117"/>
    <s v="TOLIMA"/>
    <s v="IBAGUÉ"/>
    <s v="IBAGUÉ"/>
    <n v="73001"/>
    <s v="2025-09-25"/>
    <n v="1"/>
    <s v="IBAGUE"/>
    <x v="1"/>
    <n v="49671.7"/>
    <n v="49671.7"/>
  </r>
  <r>
    <n v="45344"/>
    <s v="BARRIO YANACONAS POPAYAN"/>
    <n v="10296866"/>
    <m/>
    <s v="3147039008"/>
    <s v="3137467502"/>
    <s v="CR 3  27BN 57,YANACONAS"/>
    <s v="2.4570933"/>
    <s v="-76.5859093"/>
    <s v="CAUCA"/>
    <s v="POPAYÁN"/>
    <s v="POPAYÁN"/>
    <n v="19001"/>
    <s v="2025-09-25"/>
    <n v="1"/>
    <s v="CALI"/>
    <x v="3"/>
    <n v="37313"/>
    <n v="37313"/>
  </r>
  <r>
    <n v="48540"/>
    <s v="BARRIO NUEVO HORIZONTE VILLAVICENCIO 1"/>
    <n v="52701689"/>
    <s v="0"/>
    <s v="3112263957"/>
    <s v="3138959941"/>
    <s v="CR 19 N°12-57 BRR Cantarrana 2"/>
    <s v="4.133535"/>
    <s v="-73.621595"/>
    <s v="META"/>
    <s v="VILLAVICENCIO"/>
    <s v="VILLAVICENCIO"/>
    <n v="50001"/>
    <s v="2025-09-25"/>
    <n v="1"/>
    <s v="VILLAVICENCIO"/>
    <x v="1"/>
    <n v="49671.7"/>
    <n v="49671.7"/>
  </r>
  <r>
    <n v="39109"/>
    <s v="BARRIO SAN FRANCISCO SARDINATA"/>
    <n v="88248249"/>
    <s v="5665480"/>
    <s v="3123590148"/>
    <s v="3123590148"/>
    <s v=" CL 8 5 15  SAN FRANCISCO"/>
    <s v="8.084643361111"/>
    <s v="-72.80046844"/>
    <s v="NORTE DE SANTANDER"/>
    <s v="SARDINATA"/>
    <s v="SARDINATA"/>
    <n v="54720"/>
    <s v="2025-09-25"/>
    <n v="1"/>
    <s v="CUCUTA"/>
    <x v="4"/>
    <n v="49671.7"/>
    <n v="49671.7"/>
  </r>
  <r>
    <n v="40676"/>
    <s v="BARRIO SUBA GAITANA BOGOTA 2"/>
    <n v="51995191"/>
    <s v="3132348753"/>
    <s v="3124761465"/>
    <s v="3124761465"/>
    <s v="DG 139A BIS # 127A-27,SUBA GAITANA"/>
    <s v="4.7462576"/>
    <s v="-74.1090470"/>
    <s v="CUNDINAMARCA"/>
    <s v="BOGOTÁ"/>
    <s v="BOGOTÁ"/>
    <n v="11001"/>
    <s v="2025-09-25"/>
    <n v="2"/>
    <s v="BOGOTA"/>
    <x v="2"/>
    <n v="37313"/>
    <n v="74626"/>
  </r>
  <r>
    <n v="49097"/>
    <s v="BARRIO BRILLANTE VILLAVICENCIO"/>
    <n v="40438648"/>
    <s v="0"/>
    <s v="3144255280"/>
    <s v="3144255280"/>
    <s v="MZ 53 CASA 1 BRR EL BRILLANTE,BRILLANTE"/>
    <s v="4.114713"/>
    <s v="-73.557258"/>
    <s v="META"/>
    <s v="VILLAVICENCIO"/>
    <s v="VILLAVICENCIO"/>
    <n v="50001"/>
    <s v="2025-09-25"/>
    <n v="1"/>
    <s v="VILLAVICENCIO"/>
    <x v="1"/>
    <n v="49671.7"/>
    <n v="49671.7"/>
  </r>
  <r>
    <n v="49311"/>
    <s v="BARRIO LAURELES DUITAMA"/>
    <n v="1057584907"/>
    <s v="3103413536"/>
    <s v="3103413536"/>
    <s v="3103413536"/>
    <s v="CR 25 NO. 3-31 LOCAL 6,LAURELES"/>
    <s v="5.8159076"/>
    <s v="-73.0360343"/>
    <s v="BOYACÁ"/>
    <s v="DUITAMA"/>
    <s v="DUITAMA"/>
    <n v="15238"/>
    <s v="2025-09-25"/>
    <n v="1"/>
    <s v="TUNJA"/>
    <x v="4"/>
    <n v="49671.7"/>
    <n v="49671.7"/>
  </r>
  <r>
    <n v="40449"/>
    <s v="BARRIO SIMON BOLIVAR JAMUNDI"/>
    <n v="6102995"/>
    <s v="5905033"/>
    <s v="3178129195"/>
    <s v="3176490241"/>
    <s v="CR 12 12 89,SIMON BOLIVAR"/>
    <s v="3.264252"/>
    <s v="-76.5401658"/>
    <s v="VALLE DEL CAUCA"/>
    <s v="JAMUNDÍ"/>
    <s v="JAMUNDÍ"/>
    <n v="76364"/>
    <s v="2025-09-25"/>
    <n v="1"/>
    <s v="CALI"/>
    <x v="3"/>
    <n v="37313"/>
    <n v="37313"/>
  </r>
  <r>
    <n v="41914"/>
    <s v="BARRIO LA ESMERALDA POPAYAN 2"/>
    <n v="1058666654"/>
    <m/>
    <s v="3112154518"/>
    <s v="3209793180"/>
    <s v="CR 19 8B -06,LA ESMERALDA"/>
    <s v="2.441246"/>
    <s v="-76.6180235"/>
    <s v="CAUCA"/>
    <s v="POPAYÁN"/>
    <s v="POPAYÁN"/>
    <n v="19001"/>
    <s v="2025-09-25"/>
    <n v="1"/>
    <s v="CALI"/>
    <x v="3"/>
    <n v="37313"/>
    <n v="37313"/>
  </r>
  <r>
    <n v="45876"/>
    <s v="BARRIO PATRIOTAS TUNJA 3"/>
    <n v="40032839"/>
    <s v="3114431967"/>
    <s v="3114431967"/>
    <s v="3114431967"/>
    <s v="CR 2 A 17 C 47,PATRIOTAS"/>
    <s v="5.527"/>
    <s v="-73.353"/>
    <s v="BOYACÁ"/>
    <s v="TUNJA"/>
    <s v="TUNJA"/>
    <n v="15001"/>
    <s v="2025-09-25"/>
    <n v="1"/>
    <s v="TUNJA"/>
    <x v="4"/>
    <n v="49671.7"/>
    <n v="49671.7"/>
  </r>
  <r>
    <n v="46638"/>
    <s v="BARRIO BAYADERA MEDELLIN 1"/>
    <n v="98587502"/>
    <s v="0"/>
    <s v="3163499557"/>
    <s v="3152530001"/>
    <s v="CR 53 39 82,BAYADERA"/>
    <s v="6.2412512"/>
    <s v="-75.5740108"/>
    <s v="ANTIOQUIA"/>
    <s v="MEDELLÍN"/>
    <s v="MEDELLÍN"/>
    <n v="5001"/>
    <s v="2025-09-25"/>
    <n v="1"/>
    <s v="MEDELLIN"/>
    <x v="0"/>
    <n v="37313"/>
    <n v="37313"/>
  </r>
  <r>
    <n v="48539"/>
    <s v="BARRIO CIUDAD PORFIA VILLAVICENCIO 7"/>
    <n v="1121923869"/>
    <s v="0"/>
    <s v="3125556573"/>
    <s v="3125556573"/>
    <s v="carrera 43 sur 59 - 10 Local  1"/>
    <s v="4.079951"/>
    <s v="-73.669231"/>
    <s v="META"/>
    <s v="VILLAVICENCIO"/>
    <s v="VILLAVICENCIO"/>
    <n v="50001"/>
    <s v="2025-09-25"/>
    <n v="1"/>
    <s v="VILLAVICENCIO"/>
    <x v="1"/>
    <n v="49671.7"/>
    <n v="49671.7"/>
  </r>
  <r>
    <n v="49194"/>
    <s v="BARRIO MANZANILLO CARTAGENA DE INDIAS"/>
    <n v="1041229754"/>
    <s v="6457653"/>
    <s v="3145235956"/>
    <s v="3215371993"/>
    <s v="BRR MANZANILLO,ESCUELA NAVAL CARTAGENA"/>
    <s v="10.3938658"/>
    <s v="-75.5295402"/>
    <s v="BOLÍVAR"/>
    <s v="CARTAGENA DE INDIAS"/>
    <s v="CARTAGENA DE INDIAS"/>
    <n v="13001"/>
    <s v="2025-09-25"/>
    <n v="1"/>
    <s v="CARTAGENA"/>
    <x v="5"/>
    <n v="49671.7"/>
    <n v="49671.7"/>
  </r>
  <r>
    <n v="49560"/>
    <s v="BARRIO URBANIZACION DEL BARRIO CASABLANCA ARMENIA"/>
    <n v="2471072"/>
    <s v="7380968"/>
    <s v="3113217851"/>
    <s v="3113217851"/>
    <s v="URB. CASABLANCA MZ D NO. 7,URBANIZACIÓN DEL BARRIO CASABLANCA"/>
    <s v="4.530663333"/>
    <s v="-75.695480555"/>
    <s v="QUINDÍO"/>
    <s v="ARMENIA"/>
    <s v="ARMENIA"/>
    <n v="63001"/>
    <s v="2025-09-25"/>
    <n v="1"/>
    <s v="PEREIRA"/>
    <x v="6"/>
    <n v="37313"/>
    <n v="37313"/>
  </r>
  <r>
    <n v="37788"/>
    <s v="BARRIO URAPANES TUNJA"/>
    <n v="1049636715"/>
    <m/>
    <s v="3115519290"/>
    <s v="3115519290"/>
    <s v=" CR 6 36 25 CE LA SEXTA LC 111 URAPANES"/>
    <s v="5.5475143"/>
    <s v="-73.3564514"/>
    <s v="BOYACÁ"/>
    <s v="TUNJA"/>
    <s v="TUNJA"/>
    <n v="15001"/>
    <s v="2025-09-25"/>
    <n v="1"/>
    <s v="TUNJA"/>
    <x v="4"/>
    <n v="49671.7"/>
    <n v="49671.7"/>
  </r>
  <r>
    <n v="37783"/>
    <s v="BARRIO CAMPO VALDES MEDELLIN 2"/>
    <n v="1090461028"/>
    <s v="5978993"/>
    <s v="3127269497"/>
    <s v="3127269497"/>
    <s v=" CR 49 68 28 CAMPO VALDES"/>
    <s v="6.2647901"/>
    <s v="-75.5594590"/>
    <s v="ANTIOQUIA"/>
    <s v="MEDELLÍN"/>
    <s v="MEDELLÍN"/>
    <n v="5001"/>
    <s v="2025-09-25"/>
    <n v="2"/>
    <s v="MEDELLIN"/>
    <x v="0"/>
    <n v="37313"/>
    <n v="74626"/>
  </r>
  <r>
    <n v="40302"/>
    <s v="BARRIO SAN GERARDO BUCARAMANGA"/>
    <n v="13468602"/>
    <s v="6416930"/>
    <s v="3134958624"/>
    <s v="3134958624"/>
    <s v="CL 63 15 B 82,SAN GERARDO"/>
    <s v="7.1034767"/>
    <s v="-73.1192800"/>
    <s v="SANTANDER"/>
    <s v="BUCARAMANGA"/>
    <s v="BUCARAMANGA"/>
    <n v="68001"/>
    <s v="2025-09-25"/>
    <n v="1"/>
    <s v="BUCARAMANGA"/>
    <x v="4"/>
    <n v="37313"/>
    <n v="37313"/>
  </r>
  <r>
    <n v="40672"/>
    <s v="BARRIO ENGATIVA BOGOTA 1"/>
    <n v="41058973"/>
    <s v="3003897988"/>
    <s v="3003897988"/>
    <s v="3132215195"/>
    <s v="CR 110#74-11,ENGATIVA"/>
    <s v="4.7122127"/>
    <s v="-74.1237129"/>
    <s v="CUNDINAMARCA"/>
    <s v="BOGOTÁ"/>
    <s v="BOGOTÁ"/>
    <n v="11001"/>
    <s v="2025-09-25"/>
    <n v="1"/>
    <s v="BOGOTA"/>
    <x v="2"/>
    <n v="37313"/>
    <n v="37313"/>
  </r>
  <r>
    <n v="49116"/>
    <s v="BARRIO EL PEÑON CALI"/>
    <n v="31582541"/>
    <s v="8933091"/>
    <s v="3206548240"/>
    <s v="3206548240"/>
    <s v="CR 3 A OESTE 2 38,EL PEÑON"/>
    <s v="3.4493444"/>
    <s v="-76.5423653"/>
    <s v="VALLE DEL CAUCA"/>
    <s v="CALI"/>
    <s v="SANTIAGO DE CALI"/>
    <n v="76001"/>
    <s v="2025-09-25"/>
    <n v="1"/>
    <s v="CALI"/>
    <x v="3"/>
    <n v="37313"/>
    <n v="37313"/>
  </r>
  <r>
    <n v="46287"/>
    <s v="BARRIO VILLAS DE SAN FRANCISCO FLORIDABLANCA"/>
    <n v="37929689"/>
    <m/>
    <s v="3143333720"/>
    <s v="3143333720"/>
    <s v="CL 197 A 29 76,VILLAS DE SAN FRANCISCO"/>
    <s v="7.0635760"/>
    <s v="-73.0897400"/>
    <s v="SANTANDER"/>
    <s v="FLORIDABLANCA"/>
    <s v="FLORIDABLANCA"/>
    <n v="68276"/>
    <s v="2025-09-25"/>
    <n v="1"/>
    <s v="BUCARAMANGA"/>
    <x v="4"/>
    <n v="37313"/>
    <n v="37313"/>
  </r>
  <r>
    <n v="46465"/>
    <s v="BARRIO URBANIZACION LA RIVERA VALLEDUPAR"/>
    <n v="60383637"/>
    <s v="31352260356"/>
    <s v="3135260356"/>
    <s v="3135260356"/>
    <s v="MZ 11 CASA 11 URB LA RIVIERA,URBANIZACIÓN LA RIVIERA"/>
    <s v="10.4569738"/>
    <s v="-73.2267248"/>
    <s v="CESAR"/>
    <s v="VALLEDUPAR"/>
    <s v="VALLEDUPAR"/>
    <n v="20001"/>
    <s v="2025-09-25"/>
    <n v="1"/>
    <s v="VALLEDUPAR"/>
    <x v="5"/>
    <n v="49671.7"/>
    <n v="49671.7"/>
  </r>
  <r>
    <n v="46489"/>
    <s v="BARRIO BELLAVISTA BOGOTA 1"/>
    <n v="80189188"/>
    <s v="1"/>
    <s v="3042117810"/>
    <s v="3042117810"/>
    <s v="CR 68 F 69 A 12,BELLAVISTA"/>
    <s v="4.6778588"/>
    <s v="-74.0889969"/>
    <s v="CUNDINAMARCA"/>
    <s v="BOGOTÁ"/>
    <s v="BOGOTÁ"/>
    <n v="11001"/>
    <s v="2025-09-25"/>
    <n v="1"/>
    <s v="BOGOTA"/>
    <x v="2"/>
    <n v="37313"/>
    <n v="37313"/>
  </r>
  <r>
    <n v="49951"/>
    <s v="BARRIO VEINTE DE JULIO TUNJA"/>
    <n v="40028219"/>
    <s v="3105793659"/>
    <s v="3105793659"/>
    <s v="3112232068"/>
    <s v="CL 28 15 52,VEINTE DE JULIO"/>
    <s v="5.54270743"/>
    <s v="-73.36406295"/>
    <s v="BOYACÁ"/>
    <s v="TUNJA"/>
    <s v="TUNJA"/>
    <n v="15001"/>
    <s v="2025-09-25"/>
    <n v="1"/>
    <s v="TUNJA"/>
    <x v="4"/>
    <n v="49671.7"/>
    <n v="49671.7"/>
  </r>
  <r>
    <n v="37991"/>
    <s v="BARRIO CENTENARIO CALI 1"/>
    <n v="38595775"/>
    <m/>
    <s v="3154076321"/>
    <s v="3154076321"/>
    <s v="CL 6 N  2N - 36 LC 133 CC EL CAMPANARIO"/>
    <s v="3.4527083"/>
    <s v="-76.5380817"/>
    <s v="VALLE DEL CAUCA"/>
    <s v="CALI"/>
    <s v="SANTIAGO DE CALI"/>
    <n v="76001"/>
    <s v="2025-09-25"/>
    <n v="1"/>
    <s v="CALI"/>
    <x v="3"/>
    <n v="37313"/>
    <n v="37313"/>
  </r>
  <r>
    <n v="40414"/>
    <s v="BARRIO CIUDAD PORFIA VILLAVICENCIO 3"/>
    <n v="3221112"/>
    <s v="3222487227"/>
    <s v="3222487227"/>
    <s v="3222487227"/>
    <s v="CL 54 SUR 44 22,CIUDAD PORFIA"/>
    <s v="4.082317"/>
    <s v="-73.670695"/>
    <s v="META"/>
    <s v="VILLAVICENCIO"/>
    <s v="VILLAVICENCIO"/>
    <n v="50001"/>
    <s v="2025-09-25"/>
    <n v="1"/>
    <s v="VILLAVICENCIO"/>
    <x v="1"/>
    <n v="49671.7"/>
    <n v="49671.7"/>
  </r>
  <r>
    <n v="40580"/>
    <s v="BARRIO SUBA BOGOTA 5"/>
    <n v="1018457900"/>
    <s v="6625530"/>
    <s v="3214107403"/>
    <s v="3214107403"/>
    <s v="AC 145#110-13,SUBA"/>
    <s v="4.7485378"/>
    <s v="-74.1000457"/>
    <s v="CUNDINAMARCA"/>
    <s v="BOGOTÁ"/>
    <s v="BOGOTÁ"/>
    <n v="11001"/>
    <s v="2025-09-25"/>
    <n v="1"/>
    <s v="BOGOTA"/>
    <x v="2"/>
    <n v="37313"/>
    <n v="37313"/>
  </r>
  <r>
    <n v="41696"/>
    <s v="BARRIO PARQUES DE BOLIVAR ARMENIA"/>
    <n v="10015228"/>
    <m/>
    <s v="3203516768"/>
    <s v="3203516768"/>
    <s v="ALD LC PARQUEADERO LA MARAVILLA,PARQUES DE BOLIVAR"/>
    <s v="4.5357029"/>
    <s v="-75.7062301"/>
    <s v="QUINDÍO"/>
    <s v="ARMENIA"/>
    <s v="ARMENIA"/>
    <n v="63001"/>
    <s v="2025-09-25"/>
    <n v="1"/>
    <s v="PEREIRA"/>
    <x v="6"/>
    <n v="37313"/>
    <n v="37313"/>
  </r>
  <r>
    <n v="41886"/>
    <s v="BARRIO EL REPOSO FLORIDBLANCA"/>
    <n v="91264715"/>
    <s v="6493458"/>
    <s v="3168681765"/>
    <s v="3008084710"/>
    <s v="CL 57 15 34,EL REPOSO"/>
    <s v="7.0916390"/>
    <s v="-73.0932779"/>
    <s v="SANTANDER"/>
    <s v="FLORIDABLANCA"/>
    <s v="FLORIDABLANCA"/>
    <n v="68276"/>
    <s v="2025-09-25"/>
    <n v="1"/>
    <s v="BUCARAMANGA"/>
    <x v="4"/>
    <n v="37313"/>
    <n v="37313"/>
  </r>
  <r>
    <n v="49117"/>
    <s v="BARRIO BRETAÑA CALI 3"/>
    <n v="52456644"/>
    <s v="3423801"/>
    <s v="3203136090"/>
    <s v="3203136090"/>
    <s v="CL 10 17 40,BRETAÑA"/>
    <s v="3.4403881"/>
    <s v="-76.5317183"/>
    <s v="VALLE DEL CAUCA"/>
    <s v="CALI"/>
    <s v="SANTIAGO DE CALI"/>
    <n v="76001"/>
    <s v="2025-09-25"/>
    <n v="1"/>
    <s v="CALI"/>
    <x v="3"/>
    <n v="37313"/>
    <n v="37313"/>
  </r>
  <r>
    <n v="50214"/>
    <s v="BARRIO SANTA HELENITA BOGOTA 3"/>
    <n v="1016094763"/>
    <s v="3103386398"/>
    <s v="3213809500"/>
    <s v="3118552609"/>
    <s v="CL 69 A NO. 77 - 77,SANTA HELENITA"/>
    <s v="4.6877137"/>
    <s v="-74.1022281"/>
    <s v="CUNDINAMARCA"/>
    <s v="BOGOTÁ"/>
    <s v="BOGOTÁ"/>
    <n v="11001"/>
    <s v="2025-09-25"/>
    <n v="1"/>
    <s v="BOGOTA"/>
    <x v="2"/>
    <n v="37313"/>
    <n v="37313"/>
  </r>
  <r>
    <n v="51154"/>
    <s v="BARRIO SIRAMERICANA MEDELLIN"/>
    <n v="391299"/>
    <s v="2302452"/>
    <s v="3052649038"/>
    <s v="3196359460"/>
    <s v="CR 64 48 66 LOCAL 101"/>
    <s v="6.253675"/>
    <s v="-75.581148333"/>
    <s v="ANTIOQUIA"/>
    <s v="MEDELLÍN"/>
    <s v="MEDELLÍN"/>
    <n v="5001"/>
    <s v="2025-09-25"/>
    <n v="1"/>
    <s v="MEDELLIN"/>
    <x v="0"/>
    <n v="37313"/>
    <n v="37313"/>
  </r>
  <r>
    <n v="43342"/>
    <s v="BARRIO RODADERO SANTA MARTA 2"/>
    <n v="85473493"/>
    <s v="4217325"/>
    <s v="3013739991"/>
    <s v="3013739991"/>
    <s v="CR 3 A # 5-175 LC 12,RODADERO"/>
    <s v="11.2069065"/>
    <s v="-74.2256150"/>
    <s v="MAGDALENA"/>
    <s v="SANTA MARTA"/>
    <s v="SANTA MARTA"/>
    <n v="47001"/>
    <s v="2025-09-25"/>
    <n v="1"/>
    <s v="SANTA MARTA"/>
    <x v="5"/>
    <n v="49671.7"/>
    <n v="49671.7"/>
  </r>
  <r>
    <n v="45941"/>
    <s v="BARRIO BELLO HORIZONTE POPAYAN 6"/>
    <n v="4767653"/>
    <m/>
    <s v="3146625960"/>
    <s v="3146625960"/>
    <s v="CL 67 N 15. 55,BELLO HORIZONTE"/>
    <s v="2.4866545"/>
    <s v="-76.5683856"/>
    <s v="CAUCA"/>
    <s v="POPAYÁN"/>
    <s v="POPAYÁN"/>
    <n v="19001"/>
    <s v="2025-09-25"/>
    <n v="1"/>
    <s v="CALI"/>
    <x v="3"/>
    <n v="37313"/>
    <n v="37313"/>
  </r>
  <r>
    <n v="49103"/>
    <s v="BARRIO MANANTIAL VILLAVICENCIO 1"/>
    <n v="1121917142"/>
    <s v="0"/>
    <s v="3224740844"/>
    <s v="3224740844"/>
    <s v="MZ 20 MZ 15 C 15 LOCAL 1  "/>
    <s v="4.1207421"/>
    <s v="-73.5615485"/>
    <s v="META"/>
    <s v="VILLAVICENCIO"/>
    <s v="VILLAVICENCIO"/>
    <n v="50001"/>
    <s v="2025-09-25"/>
    <n v="1"/>
    <s v="VILLAVICENCIO"/>
    <x v="1"/>
    <n v="49671.7"/>
    <n v="49671.7"/>
  </r>
  <r>
    <n v="50054"/>
    <s v="BARRIO SUBA BOGOTA 24"/>
    <n v="79233587"/>
    <s v="3133191183"/>
    <s v="3133191183"/>
    <s v="3133191183"/>
    <s v="Cll 139 bis 112d - 06 Barrio Puerta del Sol Suba"/>
    <s v="4.742981"/>
    <s v="-74.101187"/>
    <s v="CUNDINAMARCA"/>
    <s v="BOGOTÁ"/>
    <s v="BOGOTÁ"/>
    <n v="11001"/>
    <s v="2025-09-25"/>
    <n v="1"/>
    <s v="BOGOTA"/>
    <x v="2"/>
    <n v="37313"/>
    <n v="37313"/>
  </r>
  <r>
    <n v="52031"/>
    <s v="BARRIO SAN VICENTE CALI 6"/>
    <n v="1113514076"/>
    <s v="0"/>
    <s v="3017118127"/>
    <s v="3017118127"/>
    <s v="CL 30  2 A NORTE - 29 L 35 36,SAN VICENTE"/>
    <s v="3.46505"/>
    <s v="-76.52171"/>
    <s v="VALLE DEL CAUCA"/>
    <s v="CALI"/>
    <s v="SANTIAGO DE CALI"/>
    <n v="76001"/>
    <s v="2025-09-25"/>
    <n v="1"/>
    <s v="CALI"/>
    <x v="3"/>
    <n v="37313"/>
    <n v="37313"/>
  </r>
  <r>
    <n v="43511"/>
    <s v="BARRIO EL ESFUERZO SOLEDAD"/>
    <n v="1045673277"/>
    <s v="3006873023"/>
    <s v="3145690636"/>
    <s v="3006873023"/>
    <s v="CL 18 8 SUR  46,EL ESFUERZO"/>
    <s v="10.8819257"/>
    <s v="-74.772128"/>
    <s v="ATLÁNTICO"/>
    <s v="SOLEDAD"/>
    <s v="SOLEDAD"/>
    <n v="8758"/>
    <s v="2025-09-25"/>
    <n v="1"/>
    <s v="BARRANQUILLA"/>
    <x v="5"/>
    <n v="37313"/>
    <n v="37313"/>
  </r>
  <r>
    <n v="45906"/>
    <s v="BARRIO CUBA PEREIRA 4"/>
    <n v="25022292"/>
    <m/>
    <s v="3113185477"/>
    <s v="3113188664"/>
    <s v="CR 26 67 B 34 ESQUINA,CUBA"/>
    <s v="4.8061971"/>
    <s v="-75.7362954"/>
    <s v="RISARALDA"/>
    <s v="PEREIRA"/>
    <s v="PEREIRA"/>
    <n v="66001"/>
    <s v="2025-09-25"/>
    <n v="1"/>
    <s v="PEREIRA"/>
    <x v="6"/>
    <n v="37313"/>
    <n v="37313"/>
  </r>
  <r>
    <n v="47054"/>
    <s v="BARRIO CENTRO SINCELEJO 14"/>
    <n v="1102877009"/>
    <s v="0"/>
    <s v="3007549520"/>
    <s v="3012604256"/>
    <s v="CLL  23 # 21 - 22 Centro"/>
    <s v="9.3015573"/>
    <s v="-75.3924743"/>
    <s v="SUCRE"/>
    <s v="SINCELEJO"/>
    <s v="SINCELEJO"/>
    <n v="70001"/>
    <s v="2025-09-25"/>
    <n v="1"/>
    <s v="SINCELEJO"/>
    <x v="5"/>
    <n v="49671.7"/>
    <n v="49671.7"/>
  </r>
  <r>
    <n v="49089"/>
    <s v="BARRIO MINUTO DE DIOS POPAYAN"/>
    <n v="1085661684"/>
    <s v="0"/>
    <s v="3156127218"/>
    <s v="3156127218"/>
    <s v="CR 20 # 8 A - 11 BRR LA ESMERALDA"/>
    <s v="2.441749"/>
    <s v="-76.618843"/>
    <s v="CAUCA"/>
    <s v="POPAYÁN"/>
    <s v="POPAYÁN"/>
    <n v="19001"/>
    <s v="2025-09-25"/>
    <n v="1"/>
    <s v="CALI"/>
    <x v="3"/>
    <n v="37313"/>
    <n v="37313"/>
  </r>
  <r>
    <n v="49080"/>
    <s v="BARRIO CENTRO CARTAGENA DE INDIAS 3"/>
    <n v="1143356908"/>
    <s v="0"/>
    <s v="3011733796"/>
    <s v="3011733796"/>
    <s v="CL PANAMA PASAJE COMERCIAL LAS VEGAS LC 39,CENTRO"/>
    <s v="10.4239119"/>
    <s v="-75.5471142"/>
    <s v="BOLÍVAR"/>
    <s v="CARTAGENA DE INDIAS"/>
    <s v="CARTAGENA DE INDIAS"/>
    <n v="13001"/>
    <s v="2025-09-25"/>
    <n v="1"/>
    <s v="CARTAGENA"/>
    <x v="5"/>
    <n v="49671.7"/>
    <n v="49671.7"/>
  </r>
  <r>
    <n v="38048"/>
    <s v="BARRIO LA GRANJA MONTEBELLO"/>
    <n v="71141951"/>
    <m/>
    <s v="3147033099"/>
    <s v="3208539360"/>
    <s v=" VRD LA GRANJA LA GRANJA"/>
    <s v="5.95895000"/>
    <s v="-75.5252094"/>
    <s v="ANTIOQUIA"/>
    <s v="MONTEBELLO"/>
    <s v="MONTEBELLO"/>
    <n v="5467"/>
    <s v="2025-09-25"/>
    <n v="1"/>
    <s v="MEDELLIN"/>
    <x v="0"/>
    <n v="37313"/>
    <n v="37313"/>
  </r>
  <r>
    <n v="39463"/>
    <s v="BARRIO LOS COLORES MEDELLIN 4"/>
    <n v="43533733"/>
    <s v="4798986"/>
    <s v="3158538631"/>
    <s v="3158538631"/>
    <s v="CL 63 77 53,LOS COLORES"/>
    <s v="6.2707916"/>
    <s v="-75.5911485"/>
    <s v="ANTIOQUIA"/>
    <s v="MEDELLÍN"/>
    <s v="MEDELLÍN"/>
    <n v="5001"/>
    <s v="2025-09-25"/>
    <n v="1"/>
    <s v="MEDELLIN"/>
    <x v="0"/>
    <n v="37313"/>
    <n v="37313"/>
  </r>
  <r>
    <n v="40854"/>
    <s v="BARRIO SAN CARLOS TUNJA"/>
    <n v="6769013"/>
    <s v="3156481850"/>
    <s v="3156481853"/>
    <s v="3144753182"/>
    <s v="AV ORIENTAL 2A 3 73,SAN CARLOS"/>
    <s v="5.515656"/>
    <s v="-73.36860"/>
    <s v="BOYACÁ"/>
    <s v="TUNJA"/>
    <s v="TUNJA"/>
    <n v="15001"/>
    <s v="2025-09-25"/>
    <n v="1"/>
    <s v="TUNJA"/>
    <x v="4"/>
    <n v="49671.7"/>
    <n v="49671.7"/>
  </r>
  <r>
    <n v="43352"/>
    <s v="BARRIO CORABASTOS BOGOTA 2"/>
    <n v="41555091"/>
    <s v="7400621"/>
    <s v="3164667915"/>
    <s v="3153584299"/>
    <s v="CR 80 2 51 BODEGA 30 LC 5.CORABASTOS"/>
    <s v="4.6321715"/>
    <s v="-74.1601401"/>
    <s v="CUNDINAMARCA"/>
    <s v="BOGOTÁ"/>
    <s v="BOGOTÁ"/>
    <n v="11001"/>
    <s v="2025-09-25"/>
    <n v="1"/>
    <s v="BOGOTA"/>
    <x v="2"/>
    <n v="37313"/>
    <n v="37313"/>
  </r>
  <r>
    <n v="45991"/>
    <s v="BARRIO ENGATIVA CENTRO BOGOTA 3"/>
    <n v="52514938"/>
    <s v="3144764621"/>
    <s v="3144764621"/>
    <s v="3144764621"/>
    <s v="CL 64 NO. 121 - 06,ENGATIVA CENTRO"/>
    <s v="4.7140563"/>
    <s v="-74.1415145"/>
    <s v="CUNDINAMARCA"/>
    <s v="BOGOTÁ"/>
    <s v="BOGOTÁ"/>
    <n v="11001"/>
    <s v="2025-09-25"/>
    <n v="1"/>
    <s v="BOGOTA"/>
    <x v="2"/>
    <n v="37313"/>
    <n v="37313"/>
  </r>
  <r>
    <n v="45597"/>
    <s v="BARRIO SUAMOX TUNJA"/>
    <n v="6773127"/>
    <m/>
    <s v="3005606840"/>
    <s v="3005606840"/>
    <s v="CR 2 ESTE69 23,SUAMOX"/>
    <s v="5.5699229"/>
    <s v="-73.3369222"/>
    <s v="BOYACÁ"/>
    <s v="TUNJA"/>
    <s v="TUNJA"/>
    <n v="15001"/>
    <s v="2025-09-25"/>
    <n v="1"/>
    <s v="TUNJA"/>
    <x v="4"/>
    <n v="49671.7"/>
    <n v="49671.7"/>
  </r>
  <r>
    <n v="45585"/>
    <s v="BARRIO MANRIQUE ORIENTAL MEDELLIN 3"/>
    <n v="70385740"/>
    <m/>
    <s v="3114129292"/>
    <s v="3114129292"/>
    <s v="CR 30 71 56,MANRIQUE ORIENTAL"/>
    <s v="6.2657081"/>
    <s v="-75.5429700"/>
    <s v="ANTIOQUIA"/>
    <s v="MEDELLÍN"/>
    <s v="MEDELLÍN"/>
    <n v="5001"/>
    <s v="2025-09-25"/>
    <n v="1"/>
    <s v="MEDELLIN"/>
    <x v="0"/>
    <n v="37313"/>
    <n v="37313"/>
  </r>
  <r>
    <n v="46942"/>
    <s v="BARRIO ARMENIA QUINDIO 1"/>
    <n v="1094964172"/>
    <s v="7416081"/>
    <s v="3227645761"/>
    <s v="3227645761"/>
    <s v="CL 53 14 17 LOCAL 7 LA CASTILLA,."/>
    <s v="4.5152776"/>
    <s v="-75.6889066"/>
    <s v="QUINDÍO"/>
    <s v="ARMENIA"/>
    <s v="ARMENIA"/>
    <n v="63001"/>
    <s v="2025-09-25"/>
    <n v="1"/>
    <s v="PEREIRA"/>
    <x v="6"/>
    <n v="37313"/>
    <n v="37313"/>
  </r>
  <r>
    <n v="49074"/>
    <s v="BARRIO BUENOS AIRES MEDELLIN 10"/>
    <n v="1000896467"/>
    <s v="4491011"/>
    <s v="3147837838"/>
    <s v="3147837838"/>
    <s v="CL 49 42 15,BUENOS AIRES"/>
    <s v="6.2457667"/>
    <s v="-75.5624960"/>
    <s v="ANTIOQUIA"/>
    <s v="MEDELLÍN"/>
    <s v="MEDELLÍN"/>
    <n v="5001"/>
    <s v="2025-09-25"/>
    <n v="2"/>
    <s v="MEDELLIN"/>
    <x v="0"/>
    <n v="37313"/>
    <n v="74626"/>
  </r>
  <r>
    <n v="49102"/>
    <s v="BARRIO ESPERANZA VILLAVICENCIO 3"/>
    <n v="1121889326"/>
    <s v="0"/>
    <s v="3123721407"/>
    <s v="3123721407"/>
    <s v="CR 32 NRO. 8 C - 05 ET 6 BRR ESPERANZA,ESPERANZA"/>
    <s v="4.124532"/>
    <s v="-73.630305"/>
    <s v="META"/>
    <s v="VILLAVICENCIO"/>
    <s v="VILLAVICENCIO"/>
    <n v="50001"/>
    <s v="2025-09-25"/>
    <n v="1"/>
    <s v="VILLAVICENCIO"/>
    <x v="1"/>
    <n v="49671.7"/>
    <n v="49671.7"/>
  </r>
  <r>
    <n v="50349"/>
    <s v="BARRIO SIETE DE AGOSTO FLORENCIA 1"/>
    <n v="40777754"/>
    <s v="0"/>
    <s v="3208743495"/>
    <s v="3108888643"/>
    <s v="TERMINAL DE TRANSPORTE LOCAL 115,SIETE DE AGOSTO"/>
    <s v="1.6153858"/>
    <s v="-75.6042364"/>
    <s v="CAQUETÁ"/>
    <s v="FLORENCIA"/>
    <s v="FLORENCIA"/>
    <n v="18001"/>
    <s v="2025-09-25"/>
    <n v="1"/>
    <s v="NEIVA"/>
    <x v="1"/>
    <n v="49671.7"/>
    <n v="49671.7"/>
  </r>
  <r>
    <n v="50118"/>
    <s v="BARRIO PRIMAVERA VILLAVICENCIO"/>
    <n v="23702134"/>
    <s v="0"/>
    <s v="3105498229"/>
    <s v="3105498229"/>
    <s v="CL 8 NO. 20 - 83 LOCAL 2 BRR LA PRIMAVERA,PRIMAVERA"/>
    <s v="4.129472222"/>
    <s v="-73.6206652"/>
    <s v="META"/>
    <s v="VILLAVICENCIO"/>
    <s v="VILLAVICENCIO"/>
    <n v="50001"/>
    <s v="2025-09-25"/>
    <n v="1"/>
    <s v="VILLAVICENCIO"/>
    <x v="1"/>
    <n v="49671.7"/>
    <n v="49671.7"/>
  </r>
  <r>
    <n v="39515"/>
    <s v="BARRIO URB PRADOS DEL NORTE CUCUTA 2"/>
    <n v="13479783"/>
    <s v="5877848"/>
    <s v="3212068573"/>
    <s v="3212068573"/>
    <s v=" CL 20 AN 4 12 URB PRADOS DEL NORTE"/>
    <s v="7.9175346"/>
    <s v="-72.4975769"/>
    <s v="NORTE DE SANTANDER"/>
    <s v="CÚCUTA"/>
    <s v="CÚCUTA"/>
    <n v="54001"/>
    <s v="2025-09-25"/>
    <n v="1"/>
    <s v="CUCUTA"/>
    <x v="4"/>
    <n v="49671.7"/>
    <n v="49671.7"/>
  </r>
  <r>
    <n v="40670"/>
    <s v="BARRIO MORICHAL YOPAL 1"/>
    <n v="900411909"/>
    <m/>
    <s v="3214968630"/>
    <s v="3214968630"/>
    <s v="AUT 5 KM 5 VÍA YOPAL - MORICHAL,MORICHAL"/>
    <s v="5.2928575"/>
    <s v="-72.40245"/>
    <s v="CASANARE"/>
    <s v="YOPAL"/>
    <s v="YOPAL"/>
    <n v="85001"/>
    <s v="2025-09-25"/>
    <n v="1"/>
    <s v="YOPAL"/>
    <x v="1"/>
    <n v="49671.7"/>
    <n v="49671.7"/>
  </r>
  <r>
    <n v="48360"/>
    <s v="BARRIO LA SULTANA MANIZALES 2"/>
    <n v="24339968"/>
    <s v="8913030"/>
    <s v="3006063462"/>
    <s v="3006063462"/>
    <s v="CL 67 10 A 38 LC 3,LA SULTANA"/>
    <s v="5.059721666"/>
    <s v="-75.4747416666"/>
    <s v="CALDAS"/>
    <s v="MANIZALES"/>
    <s v="MANIZALES"/>
    <n v="17001"/>
    <s v="2025-09-25"/>
    <n v="1"/>
    <s v="MANIZALES"/>
    <x v="6"/>
    <n v="49671.7"/>
    <n v="49671.7"/>
  </r>
  <r>
    <n v="49647"/>
    <s v="BARRIO CABAÑAS BELLO 5"/>
    <n v="901434720"/>
    <s v="4795381"/>
    <s v="3168671172"/>
    <s v="3168671172"/>
    <s v="CR 59 27 B 367,CABAÑAS"/>
    <s v="6.3192505"/>
    <s v="-75.5687433"/>
    <s v="ANTIOQUIA"/>
    <s v="BELLO"/>
    <s v="BELLO"/>
    <n v="5088"/>
    <s v="2025-09-25"/>
    <n v="1"/>
    <s v="MEDELLIN"/>
    <x v="0"/>
    <n v="37313"/>
    <n v="37313"/>
  </r>
  <r>
    <n v="50783"/>
    <s v="BARRIO BOSQUE POPULAR BOGOTA 1"/>
    <n v="52330567"/>
    <s v="5262502"/>
    <s v="3165231120"/>
    <s v="3165231120"/>
    <s v="CL 63 C 69 F 10"/>
    <s v="4.671249"/>
    <s v="-74.09766"/>
    <s v="CUNDINAMARCA"/>
    <s v="BOGOTÁ"/>
    <s v="BOGOTÁ"/>
    <n v="11001"/>
    <s v="2025-09-25"/>
    <n v="1"/>
    <s v="BOGOTA"/>
    <x v="2"/>
    <n v="37313"/>
    <n v="37313"/>
  </r>
  <r>
    <n v="52015"/>
    <s v="BARRIO PRADOS DEL NORTE CUCUTA 2"/>
    <n v="1090382634"/>
    <s v="0"/>
    <s v="3133050539"/>
    <s v="3118010213"/>
    <s v="CL 20 4-17 MZ D,PRADOS DEL NORTE"/>
    <s v="7.9172513"/>
    <s v="-72.49787184"/>
    <s v="NORTE DE SANTANDER"/>
    <s v="CÚCUTA"/>
    <s v="CÚCUTA"/>
    <n v="54001"/>
    <s v="2025-09-25"/>
    <n v="1"/>
    <s v="CUCUTA"/>
    <x v="4"/>
    <n v="49671.7"/>
    <n v="49671.7"/>
  </r>
  <r>
    <n v="50597"/>
    <s v="BARRIO LAS OLAS ALTAS BUCARAMANGA"/>
    <n v="72161317"/>
    <s v="6737971"/>
    <s v="3134186475"/>
    <s v="3218707727"/>
    <s v="CR 16 17 05 P 1,LAS OLAS ALTAS"/>
    <s v="7.17360793"/>
    <s v="-73.13292215"/>
    <s v="SANTANDER"/>
    <s v="BUCARAMANGA"/>
    <s v="BUCARAMANGA"/>
    <n v="68001"/>
    <s v="2025-09-25"/>
    <n v="1"/>
    <s v="BUCARAMANGA"/>
    <x v="4"/>
    <n v="37313"/>
    <n v="37313"/>
  </r>
  <r>
    <n v="52400"/>
    <s v="BARRIO YUCAL SANTA MARTA 1"/>
    <n v="12631421"/>
    <s v="0"/>
    <s v="3004758570"/>
    <s v="3004758570"/>
    <s v="CL 46 B 65-57 TORRE 10 APTO 104"/>
    <s v="11.21787925"/>
    <s v="-74.16025951"/>
    <s v="MAGDALENA"/>
    <s v="SANTA MARTA"/>
    <s v="SANTA MARTA"/>
    <n v="47001"/>
    <s v="2025-09-25"/>
    <n v="1"/>
    <s v="SANTA MARTA"/>
    <x v="5"/>
    <n v="49671.7"/>
    <n v="49671.7"/>
  </r>
  <r>
    <n v="50769"/>
    <s v="BARRIO URBANIZACION MI REFUGIO MONTERIA"/>
    <n v="1067893150"/>
    <s v="3505471360"/>
    <s v="3045619749"/>
    <s v="3505471360"/>
    <s v="urb San Antonio vía al sabanal lote 10(calle 41 B #31-7)-urb mirefugio"/>
    <s v="8.7470654"/>
    <s v="-75.8645244"/>
    <s v="CÓRDOBA"/>
    <s v="MONTERÍA"/>
    <s v="MONTERÍA"/>
    <n v="23001"/>
    <s v="2025-09-25"/>
    <n v="1"/>
    <s v="MONTERIA"/>
    <x v="5"/>
    <n v="37313"/>
    <n v="37313"/>
  </r>
  <r>
    <n v="51628"/>
    <s v="BARRIO CENTRO AGUAZUL"/>
    <n v="80194629"/>
    <s v="0"/>
    <s v="3204421786"/>
    <s v="3204421786"/>
    <s v="CR 18 11 41,CENTRO"/>
    <s v="5.1725522"/>
    <s v="-72.5497455"/>
    <s v="CASANARE"/>
    <s v="AGUAZUL"/>
    <s v="AGUAZUL"/>
    <n v="85010"/>
    <s v="2025-09-25"/>
    <n v="1"/>
    <s v="YOPAL"/>
    <x v="1"/>
    <n v="49671.7"/>
    <n v="49671.7"/>
  </r>
  <r>
    <n v="50260"/>
    <s v="BARRIO CENTRO BUCARAMANGA 33"/>
    <n v="1095844421"/>
    <s v="3164593831"/>
    <s v="3164593831"/>
    <s v="3152631915"/>
    <s v="CR 14 37 74 PISO 4 LOCAL C 3,CENTRO"/>
    <s v="7.1172280"/>
    <s v="-73.1264390"/>
    <s v="SANTANDER"/>
    <s v="BUCARAMANGA"/>
    <s v="BUCARAMANGA"/>
    <n v="68001"/>
    <s v="2025-09-25"/>
    <n v="2"/>
    <s v="BUCARAMANGA"/>
    <x v="4"/>
    <n v="37313"/>
    <n v="74626"/>
  </r>
  <r>
    <n v="51728"/>
    <s v="BARRIO LA DIELA ARMENIA"/>
    <n v="887086"/>
    <s v="3107613630"/>
    <s v="3232156174"/>
    <s v="3232156174"/>
    <s v="MZ 11 CASA 13,LA ADIELA"/>
    <s v="4.5319914"/>
    <s v="-75.7049813"/>
    <s v="QUINDÍO"/>
    <s v="ARMENIA"/>
    <s v="ARMENIA"/>
    <n v="63001"/>
    <s v="2025-09-25"/>
    <n v="1"/>
    <s v="PEREIRA"/>
    <x v="6"/>
    <n v="37313"/>
    <n v="37313"/>
  </r>
  <r>
    <n v="51515"/>
    <s v="BARRIO CIUDADELA 20 DE JULIO BARRANQUILLA 9"/>
    <n v="84076367"/>
    <s v="3012754501"/>
    <s v="3012754501"/>
    <s v="3012754501"/>
    <s v="CL 47 1 B SUR 17 ,CIUDADELA 20DE JULIO"/>
    <s v="10.93026"/>
    <s v="-74.80656"/>
    <s v="ATLÁNTICO"/>
    <s v="BARRANQUILLA"/>
    <s v="BARRANQUILLA"/>
    <n v="8001"/>
    <s v="2025-09-25"/>
    <n v="1"/>
    <s v="BARRANQUILLA"/>
    <x v="5"/>
    <n v="37313"/>
    <n v="37313"/>
  </r>
  <r>
    <n v="52589"/>
    <s v="BARRIO BOSQUE POPULAR BOGOTA 2"/>
    <n v="1026292743"/>
    <s v="0"/>
    <s v="3213256348"/>
    <s v="3123256348"/>
    <s v="CR 69 64 C 35,BOSQUE POPULAR"/>
    <s v="4.6724750"/>
    <s v="-74.0948190"/>
    <s v="CUNDINAMARCA"/>
    <s v="BOGOTÁ"/>
    <s v="BOGOTÁ"/>
    <n v="11001"/>
    <s v="2025-09-25"/>
    <n v="1"/>
    <s v="BOGOTA"/>
    <x v="2"/>
    <n v="37313"/>
    <n v="37313"/>
  </r>
  <r>
    <n v="47092"/>
    <s v="BARRIO NIQUIA BELLO 6"/>
    <n v="42989824"/>
    <s v="5700092"/>
    <s v="3127761100"/>
    <s v="3207025628"/>
    <s v="AV 23 DG  52 50,NIQUIA"/>
    <s v="6.3445019"/>
    <s v="-75.5327895"/>
    <s v="ANTIOQUIA"/>
    <s v="BELLO"/>
    <s v="BELLO"/>
    <n v="5088"/>
    <s v="2025-09-25"/>
    <n v="1"/>
    <s v="MEDELLIN"/>
    <x v="0"/>
    <n v="37313"/>
    <n v="37313"/>
  </r>
  <r>
    <n v="48069"/>
    <s v="BARRIO VILLA DEL ROSARIO VALLEDUPAR"/>
    <n v="26795215"/>
    <s v="5727213"/>
    <s v="3106134070"/>
    <s v="3106134070"/>
    <s v="CL 29 4 I 36,VILLA DEL ROSARIO"/>
    <s v="10.45898616"/>
    <s v="-73.23493986"/>
    <s v="CESAR"/>
    <s v="VALLEDUPAR"/>
    <s v="VALLEDUPAR"/>
    <n v="20001"/>
    <s v="2025-09-25"/>
    <n v="1"/>
    <s v="VALLEDUPAR"/>
    <x v="5"/>
    <n v="49671.7"/>
    <n v="49671.7"/>
  </r>
  <r>
    <n v="51029"/>
    <s v="BARRIO CENTRO MANIZALES 13"/>
    <n v="16079394"/>
    <s v="0"/>
    <s v="3113550715"/>
    <s v="3113550715"/>
    <s v="CR 20 26 43 L1,CENTRO"/>
    <s v="5.0692087"/>
    <s v="-75.5147585"/>
    <s v="CALDAS"/>
    <s v="MANIZALES"/>
    <s v="MANIZALES"/>
    <n v="17001"/>
    <s v="2025-09-25"/>
    <n v="1"/>
    <s v="MANIZALES"/>
    <x v="6"/>
    <n v="49671.7"/>
    <n v="49671.7"/>
  </r>
  <r>
    <n v="51605"/>
    <s v="BARRIO VILLA DE RIO SANTA MARTA"/>
    <n v="85457086"/>
    <s v="3128901118"/>
    <s v="3218577505"/>
    <s v="3128901118"/>
    <s v="CLL 30 # 74 53 LC 1 SEC Trocal del caribe -  Urb. Cantilito"/>
    <s v="11.2264539"/>
    <s v="-74.1519780"/>
    <s v="MAGDALENA"/>
    <s v="SANTA MARTA"/>
    <s v="SANTA MARTA"/>
    <n v="47001"/>
    <s v="2025-09-25"/>
    <n v="1"/>
    <s v="SANTA MARTA"/>
    <x v="5"/>
    <n v="49671.7"/>
    <n v="49671.7"/>
  </r>
  <r>
    <n v="50539"/>
    <s v="BARRIO RESTREPO BOGOTA 10"/>
    <n v="79653042"/>
    <s v="0"/>
    <s v="3115925076"/>
    <s v="3115925076"/>
    <s v="AV 1 DE MAYO NO. 24 C 34 SUR ESQUINA,RESTREPO"/>
    <s v="4.58579472"/>
    <s v="-74.106110555"/>
    <s v="CUNDINAMARCA"/>
    <s v="BOGOTÁ"/>
    <s v="BOGOTÁ"/>
    <n v="11001"/>
    <s v="2025-09-25"/>
    <n v="1"/>
    <s v="BOGOTA"/>
    <x v="2"/>
    <n v="37313"/>
    <n v="37313"/>
  </r>
  <r>
    <n v="50578"/>
    <s v="BARRIO GETSEMANI CARTAGENA DE INDIAS 1"/>
    <n v="45505468"/>
    <s v="0"/>
    <s v="3017847884"/>
    <s v="3017847884"/>
    <s v="CC GETSEMANI  LC PC- 56,GETSEMANI"/>
    <s v="10.42141111"/>
    <s v="-75.5468800"/>
    <s v="BOLÍVAR"/>
    <s v="CARTAGENA DE INDIAS"/>
    <s v="CARTAGENA DE INDIAS"/>
    <n v="13001"/>
    <s v="2025-09-25"/>
    <n v="1"/>
    <s v="CARTAGENA"/>
    <x v="5"/>
    <n v="49671.7"/>
    <n v="49671.7"/>
  </r>
  <r>
    <n v="45896"/>
    <s v="BARRIO ALTO PRADO BARRANQUILLA 2"/>
    <n v="900713539"/>
    <s v="3793150"/>
    <s v="3012302917"/>
    <s v="3012302917"/>
    <s v="CL 92 49 C 258,ALTO PRADO"/>
    <s v="11.0085502"/>
    <s v="-74.8243951"/>
    <s v="ATLÁNTICO"/>
    <s v="BARRANQUILLA"/>
    <s v="BARRANQUILLA"/>
    <n v="8001"/>
    <s v="2025-09-25"/>
    <n v="1"/>
    <s v="BARRANQUILLA"/>
    <x v="5"/>
    <n v="37313"/>
    <n v="37313"/>
  </r>
  <r>
    <n v="46965"/>
    <s v="BARRIO OBRERO CALI 4"/>
    <n v="1130680636"/>
    <s v="3751236"/>
    <s v="3146924708"/>
    <s v="3146924708"/>
    <s v="CR 11 B 22-13"/>
    <s v="3.4479691"/>
    <s v="-76.5213802"/>
    <s v="VALLE DEL CAUCA"/>
    <s v="CALI"/>
    <s v="SANTIAGO DE CALI"/>
    <n v="76001"/>
    <s v="2025-09-25"/>
    <n v="1"/>
    <s v="CALI"/>
    <x v="3"/>
    <n v="37313"/>
    <n v="37313"/>
  </r>
  <r>
    <n v="47770"/>
    <s v="BARRIO LA FRAGUITA BOGOTA"/>
    <n v="41652145"/>
    <s v="1"/>
    <s v="3203415396"/>
    <s v="3203415396"/>
    <s v="CALLE 9 SUR #25B-39,LA FRAGUITA"/>
    <s v="4.5942069"/>
    <s v="-74.1015382"/>
    <s v="CUNDINAMARCA"/>
    <s v="BOGOTÁ"/>
    <s v="BOGOTÁ"/>
    <n v="11001"/>
    <s v="2025-09-25"/>
    <n v="1"/>
    <s v="BOGOTA"/>
    <x v="2"/>
    <n v="37313"/>
    <n v="37313"/>
  </r>
  <r>
    <n v="51594"/>
    <s v="BARRIO LA PRADERA MONTERIA 5"/>
    <n v="78713287"/>
    <s v="3007181717"/>
    <s v="3007181717"/>
    <s v="3007181717"/>
    <s v="MZ 99 LT12 ETAPA 10,LA PRADERA"/>
    <s v="8.7273672"/>
    <s v="-75.8903722222"/>
    <s v="CÓRDOBA"/>
    <s v="MONTERÍA"/>
    <s v="MONTERÍA"/>
    <n v="23001"/>
    <s v="2025-09-25"/>
    <n v="1"/>
    <s v="MONTERIA"/>
    <x v="5"/>
    <n v="37313"/>
    <n v="37313"/>
  </r>
  <r>
    <n v="51590"/>
    <s v="BARRIO CIUDADELA SIGLO XXI FLORENCIA"/>
    <n v="1117885877"/>
    <s v="3183797320"/>
    <s v="3183797320"/>
    <s v="3183797320"/>
    <s v="CR 30 24 30,CIUDADELA SIGLO XXI "/>
    <s v="1.619405"/>
    <s v="-75.631341"/>
    <s v="CAQUETÁ"/>
    <s v="FLORENCIA"/>
    <s v="FLORENCIA"/>
    <n v="18001"/>
    <s v="2025-09-25"/>
    <n v="1"/>
    <s v="NEIVA"/>
    <x v="1"/>
    <n v="49671.7"/>
    <n v="49671.7"/>
  </r>
  <r>
    <n v="52896"/>
    <s v="BARRIO SAN ALONSO BUCARAMANGA 6"/>
    <n v="63364259"/>
    <s v="3182784224"/>
    <s v="3153189906"/>
    <s v="3182784224"/>
    <s v="CRA 40 # 8A-51 BARRIO EL DIVISO"/>
    <s v="7.1331977"/>
    <s v="-73.1178233"/>
    <s v="SANTANDER"/>
    <s v="BUCARAMANGA"/>
    <s v="BUCARAMANGA"/>
    <n v="68001"/>
    <s v="2025-09-25"/>
    <n v="1"/>
    <s v="BUCARAMANGA"/>
    <x v="4"/>
    <n v="37313"/>
    <n v="37313"/>
  </r>
  <r>
    <n v="52798"/>
    <s v="BARRIO CENTRO CHINACOTA 5"/>
    <n v="88262277"/>
    <s v="3177332822"/>
    <s v="3177332822"/>
    <s v="3177332822"/>
    <s v="CR 4 3-30"/>
    <s v="7.6083652"/>
    <s v="-72.6006980"/>
    <s v="NORTE DE SANTANDER"/>
    <s v="CHINÁCOTA"/>
    <s v="CHINÁCOTA"/>
    <n v="54172"/>
    <s v="2025-09-25"/>
    <n v="1"/>
    <s v="CUCUTA"/>
    <x v="4"/>
    <n v="49671.7"/>
    <n v="49671.7"/>
  </r>
  <r>
    <n v="53175"/>
    <s v="BARRIO LOS LAURELES MONTERIA 3"/>
    <n v="900073626"/>
    <s v="3107242872"/>
    <s v="3107242872"/>
    <s v="3107242872"/>
    <s v="CL 44 4 54, BRR LOS LAURELES"/>
    <s v="8.7644528"/>
    <s v="-75.8748556"/>
    <s v="CÓRDOBA"/>
    <s v="MONTERÍA"/>
    <s v="MONTERÍA"/>
    <n v="23001"/>
    <s v="2025-09-25"/>
    <n v="1"/>
    <s v="MONTERIA"/>
    <x v="5"/>
    <n v="37313"/>
    <n v="37313"/>
  </r>
  <r>
    <n v="53166"/>
    <s v="BARRIO VILLA CLARA FLORENCIA"/>
    <n v="4165852"/>
    <s v="3125131430"/>
    <s v="3125131430"/>
    <s v="3125131430"/>
    <s v="CL 33 39 67, VILLA CLARA"/>
    <s v="1.627955"/>
    <s v="-75.641396"/>
    <s v="CAQUETÁ"/>
    <s v="FLORENCIA"/>
    <s v="FLORENCIA"/>
    <n v="18001"/>
    <s v="2025-09-25"/>
    <n v="1"/>
    <s v="NEIVA"/>
    <x v="1"/>
    <n v="49671.7"/>
    <n v="49671.7"/>
  </r>
  <r>
    <n v="53974"/>
    <s v="BARRIO EL TESORO NEIVA 1"/>
    <n v="33750272"/>
    <s v="0"/>
    <s v="3124324226"/>
    <s v="3124324226"/>
    <s v="CL 24 34 C 72"/>
    <s v="2.960893"/>
    <s v="-75.298667"/>
    <s v="HUILA"/>
    <s v="NEIVA"/>
    <s v="NEIVA"/>
    <n v="41001"/>
    <s v="2025-09-25"/>
    <n v="1"/>
    <s v="NEIVA"/>
    <x v="1"/>
    <n v="49671.7"/>
    <n v="49671.7"/>
  </r>
  <r>
    <n v="55715"/>
    <s v="BARRIO CENTRO MANIZALES 15"/>
    <n v="1055478922"/>
    <s v="0"/>
    <s v="3205609167"/>
    <s v="3205609167"/>
    <s v="CALLE 26 21 - 16"/>
    <s v="5.0682222"/>
    <s v="-75.5150592"/>
    <s v="CALDAS"/>
    <s v="MANIZALES"/>
    <s v="MANIZALES"/>
    <n v="17001"/>
    <s v="2025-09-25"/>
    <n v="1"/>
    <s v="MANIZALES"/>
    <x v="6"/>
    <n v="49671.7"/>
    <n v="49671.7"/>
  </r>
  <r>
    <n v="56909"/>
    <s v="BARRIO ALCALA DE BELLO BELLO"/>
    <n v="52400035"/>
    <s v="2063460"/>
    <s v="3015201878"/>
    <s v="3206824089"/>
    <s v="DIAGONAL 44 AVENI 33 B 49,"/>
    <s v="6.332155"/>
    <s v="-75.538807"/>
    <s v="ANTIOQUIA"/>
    <s v="BELLO"/>
    <s v="BELLO"/>
    <n v="5088"/>
    <s v="2025-09-25"/>
    <n v="1"/>
    <s v="MEDELLIN"/>
    <x v="0"/>
    <n v="37313"/>
    <n v="37313"/>
  </r>
  <r>
    <n v="53141"/>
    <s v="BARRIO SAN MIGUEL BUCARAMANGA 1"/>
    <n v="63340098"/>
    <s v="6951622"/>
    <s v="3166877576"/>
    <s v="3166877576"/>
    <s v="CR 16 50 70"/>
    <s v="7.1108520"/>
    <s v="-73.1228570"/>
    <s v="SANTANDER"/>
    <s v="BUCARAMANGA"/>
    <s v="BUCARAMANGA"/>
    <n v="68001"/>
    <s v="2025-09-25"/>
    <n v="1"/>
    <s v="BUCARAMANGA"/>
    <x v="4"/>
    <n v="37313"/>
    <n v="37313"/>
  </r>
  <r>
    <n v="53081"/>
    <s v="BARRIO MUTIS BUCARAMANGA 4"/>
    <n v="63558704"/>
    <s v="3155784730"/>
    <s v="3155784730"/>
    <s v="3155784730"/>
    <s v="CL 56 4 W 23, BRR MUTIS"/>
    <s v="7.100810"/>
    <s v="-73.131707"/>
    <s v="SANTANDER"/>
    <s v="BUCARAMANGA"/>
    <s v="BUCARAMANGA"/>
    <n v="68001"/>
    <s v="2025-09-25"/>
    <n v="1"/>
    <s v="BUCARAMANGA"/>
    <x v="4"/>
    <n v="37313"/>
    <n v="37313"/>
  </r>
  <r>
    <n v="53421"/>
    <s v="BARRIO CENTRO MONTERIA 30"/>
    <n v="50927510"/>
    <s v="3022314615"/>
    <s v="3022314615"/>
    <s v="3022314615"/>
    <s v="CR 9 29 65,BRR CENTRO"/>
    <s v="8.75403188"/>
    <s v="-75.88199457"/>
    <s v="CÓRDOBA"/>
    <s v="MONTERÍA"/>
    <s v="MONTERÍA"/>
    <n v="23001"/>
    <s v="2025-09-25"/>
    <n v="1"/>
    <s v="MONTERIA"/>
    <x v="5"/>
    <n v="37313"/>
    <n v="37313"/>
  </r>
  <r>
    <n v="53804"/>
    <s v="BARRIO CASCO ANTIGUO FLORIDABLANCA 4"/>
    <n v="63452568"/>
    <s v="3152728897"/>
    <s v="3152728897"/>
    <s v="3152728897"/>
    <s v="CR 7 8 18,BRR CASCO ANTIGUO"/>
    <s v="7.0602144"/>
    <s v="-73.0862538"/>
    <s v="SANTANDER"/>
    <s v="FLORIDABLANCA"/>
    <s v="FLORIDABLANCA"/>
    <n v="68276"/>
    <s v="2025-09-25"/>
    <n v="1"/>
    <s v="BUCARAMANGA"/>
    <x v="4"/>
    <n v="37313"/>
    <n v="37313"/>
  </r>
  <r>
    <n v="54151"/>
    <s v="BARRIO PRIMAVERA PASTO"/>
    <n v="1010113727"/>
    <s v="0"/>
    <s v="3156086693"/>
    <s v="3177556084"/>
    <s v="BRR LA PRIMAVERA CR 32 A 1 OESTE 60"/>
    <s v="1.209587"/>
    <s v="-77.293345"/>
    <s v="NARIÑO"/>
    <s v="PASTO"/>
    <s v="SAN JUAN DE PASTO"/>
    <n v="52001"/>
    <s v="2025-09-25"/>
    <n v="1"/>
    <s v="PASTO"/>
    <x v="3"/>
    <n v="49671.7"/>
    <n v="49671.7"/>
  </r>
  <r>
    <n v="55166"/>
    <s v="BARRIO LOS COLORES MEDELLIN 7"/>
    <n v="43220862"/>
    <s v="5413102"/>
    <s v="3137397831"/>
    <s v="3137397831"/>
    <s v="CR 79 CL 53 7,"/>
    <s v="6.2668779"/>
    <s v="-75.594734"/>
    <s v="ANTIOQUIA"/>
    <s v="MEDELLÍN"/>
    <s v="MEDELLÍN"/>
    <n v="5001"/>
    <s v="2025-09-25"/>
    <n v="1"/>
    <s v="MEDELLIN"/>
    <x v="0"/>
    <n v="37313"/>
    <n v="37313"/>
  </r>
  <r>
    <n v="55313"/>
    <s v="BARRIO ENGATIVA BOGOTA 7"/>
    <n v="1130660901"/>
    <s v="0"/>
    <s v="3106167733"/>
    <s v="3106167733"/>
    <s v="CL 64 125 A 23"/>
    <s v="4.716888055"/>
    <s v="-74.14312166"/>
    <s v="CUNDINAMARCA"/>
    <s v="BOGOTÁ"/>
    <s v="BOGOTÁ"/>
    <n v="11001"/>
    <s v="2025-09-25"/>
    <n v="1"/>
    <s v="BOGOTA"/>
    <x v="2"/>
    <n v="37313"/>
    <n v="37313"/>
  </r>
  <r>
    <n v="52924"/>
    <s v="BARRIO CENTRO SAMACA 3"/>
    <n v="1056800508"/>
    <s v="3144559469"/>
    <s v="3144559469"/>
    <s v="3144559469"/>
    <s v="CL 4 7 28"/>
    <s v="5.49082686"/>
    <s v="-73.48602948"/>
    <s v="BOYACÁ"/>
    <s v="SAMACÁ"/>
    <s v="SAMACÁ"/>
    <n v="15646"/>
    <s v="2025-09-25"/>
    <n v="1"/>
    <s v="TUNJA"/>
    <x v="4"/>
    <n v="49671.7"/>
    <n v="49671.7"/>
  </r>
  <r>
    <n v="53968"/>
    <s v="BARRIO LA PRADERA MONTERIA 6"/>
    <n v="25801593"/>
    <s v="3136912846"/>
    <s v="3136912846"/>
    <s v="3136912846"/>
    <s v="MZ 6 LT12 ETAPA 9,BRR PRADERA"/>
    <s v="8.7326047"/>
    <s v="-75.8731923"/>
    <s v="CÓRDOBA"/>
    <s v="MONTERÍA"/>
    <s v="MONTERÍA"/>
    <n v="23001"/>
    <s v="2025-09-25"/>
    <n v="2"/>
    <s v="MONTERIA"/>
    <x v="5"/>
    <n v="37313"/>
    <n v="74626"/>
  </r>
  <r>
    <n v="54472"/>
    <s v="BARRIO CLARET IBAGUE 3"/>
    <n v="1118365761"/>
    <s v="0"/>
    <s v="3208193207"/>
    <s v="3208193207"/>
    <s v="CL 27 # 3-09,CLARET"/>
    <s v="4.4352678"/>
    <s v="-75.2276846"/>
    <s v="TOLIMA"/>
    <s v="IBAGUÉ"/>
    <s v="IBAGUÉ"/>
    <n v="73001"/>
    <s v="2025-09-25"/>
    <n v="1"/>
    <s v="IBAGUE"/>
    <x v="1"/>
    <n v="49671.7"/>
    <n v="49671.7"/>
  </r>
  <r>
    <n v="54464"/>
    <s v="BARRIO SAN MATEO CHINACOTA"/>
    <n v="1090176889"/>
    <s v="0"/>
    <s v="3017725966"/>
    <s v="3017725966"/>
    <s v="CL 3 2-52,BRR SAN MATEO"/>
    <s v="7.60852380"/>
    <s v="-72.599273666"/>
    <s v="NORTE DE SANTANDER"/>
    <s v="CHINÁCOTA"/>
    <s v="CHINÁCOTA"/>
    <n v="54172"/>
    <s v="2025-09-25"/>
    <n v="1"/>
    <s v="CUCUTA"/>
    <x v="4"/>
    <n v="49671.7"/>
    <n v="49671.7"/>
  </r>
  <r>
    <n v="55081"/>
    <s v="BARRIO SAN LUIS DE LA PAZ NEIVA"/>
    <n v="1007682048"/>
    <s v="8638650"/>
    <s v="3222552791"/>
    <s v="3222552791"/>
    <s v="CR 30 B SUR 30 85 CASA SAN LUIS DE LA PAZ"/>
    <s v="2.971713"/>
    <s v="-75.291229"/>
    <s v="HUILA"/>
    <s v="NEIVA"/>
    <s v="NEIVA"/>
    <n v="41001"/>
    <s v="2025-09-25"/>
    <n v="1"/>
    <s v="NEIVA"/>
    <x v="1"/>
    <n v="49671.7"/>
    <n v="49671.7"/>
  </r>
  <r>
    <n v="52283"/>
    <s v="BARRIO ROBLEDO VILLA SOFIA MEDELLIN 2"/>
    <n v="1152712701"/>
    <s v="0"/>
    <s v="3008636422"/>
    <s v="3008636422"/>
    <s v="CL 83 88 07,ROBLEDO VILLA SOFÍA"/>
    <s v="6.2895647"/>
    <s v="-75.5871958"/>
    <s v="ANTIOQUIA"/>
    <s v="MEDELLÍN"/>
    <s v="MEDELLÍN"/>
    <n v="5001"/>
    <s v="2025-09-25"/>
    <n v="1"/>
    <s v="MEDELLIN"/>
    <x v="0"/>
    <n v="37313"/>
    <n v="37313"/>
  </r>
  <r>
    <n v="51709"/>
    <s v="BARRIO LAS GRANJAS NEIVA 3"/>
    <n v="36161799"/>
    <s v="8715677"/>
    <s v="3158935780"/>
    <s v="3158935780"/>
    <s v="AER AEROPUERTO BENITO SALAS,LAS GRANJAS"/>
    <s v="2.9469795"/>
    <s v="-75.2927759"/>
    <s v="HUILA"/>
    <s v="NEIVA"/>
    <s v="NEIVA"/>
    <n v="41001"/>
    <s v="2025-09-25"/>
    <n v="1"/>
    <s v="NEIVA"/>
    <x v="1"/>
    <n v="49671.7"/>
    <n v="49671.7"/>
  </r>
  <r>
    <n v="53112"/>
    <s v="BARRIO CONJUNTO PARQUE DE BOLIVAR SOLEDAD"/>
    <n v="32692490"/>
    <s v="3045457561"/>
    <s v="3053183225"/>
    <s v="3053183225"/>
    <s v="CL 33 C # 15-04 TO 2  AP 101"/>
    <s v="10.908985"/>
    <s v="-74.774976"/>
    <s v="ATLÁNTICO"/>
    <s v="SOLEDAD"/>
    <s v="SOLEDAD"/>
    <n v="8758"/>
    <s v="2025-09-25"/>
    <n v="1"/>
    <s v="BARRANQUILLA"/>
    <x v="5"/>
    <n v="37313"/>
    <n v="37313"/>
  </r>
  <r>
    <n v="53009"/>
    <s v="BARRIO CAMPOS VALDES MEDELLIN"/>
    <n v="1041229334"/>
    <s v="5811494"/>
    <s v="3041280244"/>
    <s v="3041280244"/>
    <s v="CR 47 72 A - 24"/>
    <s v="6.2681313"/>
    <s v="-75.5566853"/>
    <s v="ANTIOQUIA"/>
    <s v="MEDELLÍN"/>
    <s v="MEDELLÍN"/>
    <n v="5001"/>
    <s v="2025-09-25"/>
    <n v="1"/>
    <s v="MEDELLIN"/>
    <x v="0"/>
    <n v="37313"/>
    <n v="37313"/>
  </r>
  <r>
    <n v="53391"/>
    <s v="BARRIO ALFONSO LOPEZ BOGOTA 2"/>
    <n v="79802324"/>
    <s v="0"/>
    <s v="3102819577"/>
    <s v="3102819577"/>
    <s v="CL 91 SUR 7 B -29 ESTE"/>
    <s v="4.496563"/>
    <s v="-74.100987"/>
    <s v="CUNDINAMARCA"/>
    <s v="BOGOTÁ"/>
    <s v="BOGOTÁ"/>
    <n v="11001"/>
    <s v="2025-09-25"/>
    <n v="1"/>
    <s v="BOGOTA"/>
    <x v="2"/>
    <n v="37313"/>
    <n v="37313"/>
  </r>
  <r>
    <n v="53960"/>
    <s v="BARRIO SANTA LUCIA TUNJA"/>
    <n v="1049615639"/>
    <s v="3214801426"/>
    <s v="3214801426"/>
    <s v="3214801426"/>
    <s v="CL 24 13 07"/>
    <s v="5.53762"/>
    <s v="-73.363721"/>
    <s v="BOYACÁ"/>
    <s v="TUNJA"/>
    <s v="TUNJA"/>
    <n v="15001"/>
    <s v="2025-09-25"/>
    <n v="1"/>
    <s v="TUNJA"/>
    <x v="4"/>
    <n v="49671.7"/>
    <n v="49671.7"/>
  </r>
  <r>
    <n v="54431"/>
    <s v="BARRIO BOSQUE CARTAGENA DE INDIAS 2"/>
    <n v="1047428793"/>
    <s v="6626581"/>
    <s v="3215862720"/>
    <s v="3215862720"/>
    <s v="DG 22 44 55 AV CRISANTO LUQUE,BOSQUE"/>
    <s v="10.413784166"/>
    <s v="-75.53338388"/>
    <s v="BOLÍVAR"/>
    <s v="CARTAGENA DE INDIAS"/>
    <s v="CARTAGENA DE INDIAS"/>
    <n v="13001"/>
    <s v="2025-09-25"/>
    <n v="1"/>
    <s v="CARTAGENA"/>
    <x v="5"/>
    <n v="49671.7"/>
    <n v="49671.7"/>
  </r>
  <r>
    <n v="54668"/>
    <s v="BARRIO NOVAINA MEDELLIN"/>
    <n v="1000759542"/>
    <s v="4638027"/>
    <s v="3217668847"/>
    <s v="3041460007"/>
    <s v="CL 71 50 - 36"/>
    <s v="6.2668283"/>
    <s v="-75.5603245"/>
    <s v="ANTIOQUIA"/>
    <s v="MEDELLÍN"/>
    <s v="MEDELLÍN"/>
    <n v="5001"/>
    <s v="2025-09-25"/>
    <n v="1"/>
    <s v="MEDELLIN"/>
    <x v="0"/>
    <n v="37313"/>
    <n v="37313"/>
  </r>
  <r>
    <n v="56929"/>
    <s v="BARRIO NUEVO HABITAT 1 YOPLA"/>
    <n v="1118562853"/>
    <s v="0"/>
    <s v="3102140263"/>
    <s v="3102140263"/>
    <s v="CR 5 ENTRE 33 Y 36 CENTRAL DE ABASTOS LOCAL 31 Y 32,NUEVO HÁBITAT 1"/>
    <s v="5.19201144"/>
    <s v="-72.2415138"/>
    <s v="CASANARE"/>
    <s v="YOPAL"/>
    <s v="YOPAL"/>
    <n v="85001"/>
    <s v="2025-09-25"/>
    <n v="1"/>
    <s v="YOPAL"/>
    <x v="1"/>
    <n v="49671.7"/>
    <n v="49671.7"/>
  </r>
  <r>
    <n v="57379"/>
    <s v="BARRIO CENTRO SANTA MARTA 19"/>
    <n v="1128224132"/>
    <s v="0"/>
    <s v="3145489591"/>
    <s v="3145489591"/>
    <s v="CR 71 33-11,CENTRO"/>
    <s v="11.2236024"/>
    <s v="-74.1544442"/>
    <s v="MAGDALENA"/>
    <s v="SANTA MARTA"/>
    <s v="SANTA MARTA"/>
    <n v="47001"/>
    <s v="2025-09-25"/>
    <n v="1"/>
    <s v="SANTA MARTA"/>
    <x v="5"/>
    <n v="49671.7"/>
    <n v="49671.7"/>
  </r>
  <r>
    <n v="58336"/>
    <s v="BARRIO CENTRO PASTO 25"/>
    <n v="1085290033"/>
    <s v="3188211610"/>
    <s v="3172582023"/>
    <s v="3183211610"/>
    <s v="CR 21 A 17 82 CENTRO,CENTRO"/>
    <s v="1.2113104"/>
    <s v="-77.2776450"/>
    <s v="NARIÑO"/>
    <s v="PASTO"/>
    <s v="SAN JUAN DE PASTO"/>
    <n v="52001"/>
    <s v="2025-09-25"/>
    <n v="2"/>
    <s v="PASTO"/>
    <x v="3"/>
    <n v="49671.7"/>
    <n v="99343.4"/>
  </r>
  <r>
    <n v="58586"/>
    <s v="BARRIO PORTAL DE LA 80 BOGOTA"/>
    <n v="65553382"/>
    <s v="5237068"/>
    <s v="3052945362"/>
    <s v="3052945362"/>
    <s v="CR 103 A 78 C 04,PORTAL DE LA 80"/>
    <s v="4.711729722"/>
    <s v="-74.1150663"/>
    <s v="CUNDINAMARCA"/>
    <s v="BOGOTÁ"/>
    <s v="BOGOTÁ"/>
    <n v="11001"/>
    <s v="2025-09-25"/>
    <n v="1"/>
    <s v="BOGOTA"/>
    <x v="2"/>
    <n v="37313"/>
    <n v="37313"/>
  </r>
  <r>
    <n v="58925"/>
    <s v="BARRIO LA CEIBA CUCUTA 4"/>
    <n v="60377925"/>
    <s v="0"/>
    <s v="3153843907"/>
    <s v="3153843907"/>
    <s v="AV 0 1-151 LC 1N,LA CEIBA"/>
    <s v="7.8958326"/>
    <s v="-72.4995966"/>
    <s v="NORTE DE SANTANDER"/>
    <s v="CÚCUTA"/>
    <s v="CÚCUTA"/>
    <n v="54001"/>
    <s v="2025-09-25"/>
    <n v="1"/>
    <s v="CUCUTA"/>
    <x v="4"/>
    <n v="49671.7"/>
    <n v="49671.7"/>
  </r>
  <r>
    <n v="56905"/>
    <s v="BARRIO SAN CRISTOBAL MEDELLIN 4"/>
    <n v="901153401"/>
    <s v="5087810"/>
    <s v="3013335248"/>
    <s v="3052423578"/>
    <s v="CL 63 128 167"/>
    <s v="6.278876"/>
    <s v="-75.635184"/>
    <s v="ANTIOQUIA"/>
    <s v="MEDELLÍN"/>
    <s v="MEDELLÍN"/>
    <n v="5001"/>
    <s v="2025-09-25"/>
    <n v="1"/>
    <s v="MEDELLIN"/>
    <x v="0"/>
    <n v="37313"/>
    <n v="37313"/>
  </r>
  <r>
    <n v="57211"/>
    <s v="BARRIO LA FLORIDA TUNJA 4"/>
    <n v="4097807"/>
    <s v="3205296474"/>
    <s v="3205296474"/>
    <s v="3205296474"/>
    <s v="CR 11 2 04"/>
    <s v="5.515"/>
    <s v="-73.368"/>
    <s v="BOYACÁ"/>
    <s v="TUNJA"/>
    <s v="TUNJA"/>
    <n v="15001"/>
    <s v="2025-09-25"/>
    <n v="1"/>
    <s v="TUNJA"/>
    <x v="4"/>
    <n v="49671.7"/>
    <n v="49671.7"/>
  </r>
  <r>
    <n v="57460"/>
    <s v="BARRIO LA CUMBRE FLORIDABLANCA 3"/>
    <n v="5748199"/>
    <s v="3144452865"/>
    <s v="3144452865"/>
    <s v="3144452865"/>
    <s v="CR 3 E 27 A 71,BRR LA CUMBRE"/>
    <s v="7.0744028"/>
    <s v="-73.1722911"/>
    <s v="SANTANDER"/>
    <s v="FLORIDABLANCA"/>
    <s v="FLORIDABLANCA"/>
    <n v="68276"/>
    <s v="2025-09-25"/>
    <n v="2"/>
    <s v="BUCARAMANGA"/>
    <x v="4"/>
    <n v="37313"/>
    <n v="74626"/>
  </r>
  <r>
    <n v="58499"/>
    <s v="BARRIO OLAYA HERRERA DUITAMA"/>
    <n v="46671701"/>
    <s v="3202061751"/>
    <s v="3202061751"/>
    <s v="3202061751"/>
    <s v="CL 15 A NO.4-75,OLAYA HERRERA"/>
    <s v="5.8378994"/>
    <s v="-73.0386011"/>
    <s v="BOYACÁ"/>
    <s v="DUITAMA"/>
    <s v="DUITAMA"/>
    <n v="15238"/>
    <s v="2025-09-25"/>
    <n v="1"/>
    <s v="TUNJA"/>
    <x v="4"/>
    <n v="49671.7"/>
    <n v="49671.7"/>
  </r>
  <r>
    <n v="58556"/>
    <s v="BARRIO BUCARAMANGA BUCARAMANGA 3"/>
    <n v="1098675511"/>
    <s v="3166555797"/>
    <s v="3166555797"/>
    <s v="3166555797"/>
    <s v="CL 56 3 W 17,BUCARAMANGA"/>
    <s v="7.1048302"/>
    <s v="-73.1219245"/>
    <s v="SANTANDER"/>
    <s v="BUCARAMANGA"/>
    <s v="BUCARAMANGA"/>
    <n v="68001"/>
    <s v="2025-09-25"/>
    <n v="1"/>
    <s v="BUCARAMANGA"/>
    <x v="4"/>
    <n v="37313"/>
    <n v="37313"/>
  </r>
  <r>
    <n v="59529"/>
    <s v="BARRIO TERRON COLORADO CALI 1"/>
    <n v="1143878230"/>
    <s v="0"/>
    <s v="3225822079"/>
    <s v="3225822079"/>
    <s v="AV 5 OESTE 13 OESTE 37,TERRÓN COLORADO"/>
    <s v="3.4542162"/>
    <s v="-76.5547636"/>
    <s v="VALLE DEL CAUCA"/>
    <s v="CALI"/>
    <s v="SANTIAGO DE CALI"/>
    <n v="76001"/>
    <s v="2025-09-25"/>
    <n v="2"/>
    <s v="CALI"/>
    <x v="3"/>
    <n v="37313"/>
    <n v="74626"/>
  </r>
  <r>
    <n v="56194"/>
    <s v="BARRIO 44876 SANTA MARTA"/>
    <n v="1083034685"/>
    <s v="0"/>
    <s v="3007840855"/>
    <s v="3014479899"/>
    <s v="CL 30 77-36"/>
    <s v="11.2269362"/>
    <s v="-74.1500580"/>
    <s v="MAGDALENA"/>
    <s v="SANTA MARTA"/>
    <s v="SANTA MARTA"/>
    <n v="47001"/>
    <s v="2025-09-25"/>
    <n v="1"/>
    <s v="SANTA MARTA"/>
    <x v="5"/>
    <n v="49671.7"/>
    <n v="49671.7"/>
  </r>
  <r>
    <n v="57216"/>
    <s v="BARRIO CHIPRE MANIZALES 4"/>
    <n v="38795558"/>
    <s v="0"/>
    <s v="3153075697"/>
    <s v="3153075697"/>
    <s v="CL 10  9 - 26,"/>
    <s v="5.0767178"/>
    <s v="-75.5254723"/>
    <s v="CALDAS"/>
    <s v="MANIZALES"/>
    <s v="MANIZALES"/>
    <n v="17001"/>
    <s v="2025-09-25"/>
    <n v="1"/>
    <s v="MANIZALES"/>
    <x v="6"/>
    <n v="49671.7"/>
    <n v="49671.7"/>
  </r>
  <r>
    <n v="58929"/>
    <s v="BARRIO LAS COLINAS BOCHALEMA"/>
    <n v="1093140127"/>
    <s v="0"/>
    <s v="3160423926"/>
    <s v="3108081119"/>
    <s v="CL 6 1-25,LAS COLINAS"/>
    <s v="7.612698081043"/>
    <s v="-72.6483878865"/>
    <s v="NORTE DE SANTANDER"/>
    <s v="BOCHALEMA"/>
    <s v="BOCHALEMA"/>
    <n v="54099"/>
    <s v="2025-09-25"/>
    <n v="1"/>
    <s v="CUCUTA"/>
    <x v="4"/>
    <n v="49671.7"/>
    <n v="49671.7"/>
  </r>
  <r>
    <n v="58875"/>
    <s v="BARRIO CENTRO MONTERIA 41"/>
    <n v="1067913630"/>
    <s v="3152539634"/>
    <s v="3002057940"/>
    <s v="3002057940"/>
    <s v="CR 2 31 11, CENTRO"/>
    <s v="8.758242"/>
    <s v="-75.885559"/>
    <s v="CÓRDOBA"/>
    <s v="MONTERÍA"/>
    <s v="MONTERÍA"/>
    <n v="23001"/>
    <s v="2025-09-25"/>
    <n v="1"/>
    <s v="MONTERIA"/>
    <x v="5"/>
    <n v="37313"/>
    <n v="37313"/>
  </r>
  <r>
    <n v="55486"/>
    <s v="BARRIO PUERTO ROJA SINCELEJO"/>
    <n v="1103098277"/>
    <s v="3163161013"/>
    <s v="3163161013"/>
    <s v="3163161013"/>
    <s v="CR 28 10 25   P 1  AP 01 PUERTA ROJA"/>
    <s v="9.312159 "/>
    <s v="-75.389389"/>
    <s v="SUCRE"/>
    <s v="SINCELEJO"/>
    <s v="SINCELEJO"/>
    <n v="70001"/>
    <s v="2025-09-25"/>
    <n v="1"/>
    <s v="SINCELEJO"/>
    <x v="5"/>
    <n v="49671.7"/>
    <n v="49671.7"/>
  </r>
  <r>
    <n v="52230"/>
    <s v="BARRIO VILLA TOLEDO SANTA MARTA"/>
    <n v="1084734561"/>
    <s v="0"/>
    <s v="3024218579"/>
    <s v="3024218579"/>
    <s v="CL 39 65-115 LC 8,Villa Toledo"/>
    <s v="11.22015498"/>
    <s v="-74.15882771"/>
    <s v="MAGDALENA"/>
    <s v="SANTA MARTA"/>
    <s v="SANTA MARTA"/>
    <n v="47001"/>
    <s v="2025-09-25"/>
    <n v="1"/>
    <s v="SANTA MARTA"/>
    <x v="5"/>
    <n v="49671.7"/>
    <n v="49671.7"/>
  </r>
  <r>
    <n v="56783"/>
    <s v="BARRIO TIBABUYES UNIVERSAL BOGOTA"/>
    <n v="79874549"/>
    <s v="3063541"/>
    <s v="3107779558"/>
    <s v="3107779558"/>
    <s v="CR 131 142 04 LC 102"/>
    <s v="4.7473539"/>
    <s v="-74.1121154"/>
    <s v="CUNDINAMARCA"/>
    <s v="BOGOTÁ"/>
    <s v="BOGOTÁ"/>
    <n v="11001"/>
    <s v="2025-09-25"/>
    <n v="1"/>
    <s v="BOGOTA"/>
    <x v="2"/>
    <n v="37313"/>
    <n v="37313"/>
  </r>
  <r>
    <n v="56861"/>
    <s v="BARRIO TOROBAJO PASTO 1"/>
    <n v="30731835"/>
    <s v="3014200929"/>
    <s v="3014200929"/>
    <s v="3014200929"/>
    <s v="BRR TOROBAJO CL 18 CR 50 UNIVERSIDAD DE NARIÑO"/>
    <s v="1.231896"/>
    <s v="-77.292885"/>
    <s v="NARIÑO"/>
    <s v="PASTO"/>
    <s v="SAN JUAN DE PASTO"/>
    <n v="52001"/>
    <s v="2025-09-25"/>
    <n v="1"/>
    <s v="PASTO"/>
    <x v="3"/>
    <n v="49671.7"/>
    <n v="49671.7"/>
  </r>
  <r>
    <n v="58313"/>
    <s v="BARRIO URBANIZACION PRIMAVERA 1 VALLEDUPAR"/>
    <n v="1065590094"/>
    <s v="3015589371"/>
    <s v="3015589371"/>
    <s v="3015589371"/>
    <s v="MZ D CASA 12,URBANIZACIÓN PRIMAVERA "/>
    <s v="10.4291713"/>
    <s v="-73.2551703"/>
    <s v="CESAR"/>
    <s v="VALLEDUPAR"/>
    <s v="VALLEDUPAR"/>
    <n v="20001"/>
    <s v="2025-09-25"/>
    <n v="1"/>
    <s v="VALLEDUPAR"/>
    <x v="5"/>
    <n v="49671.7"/>
    <n v="49671.7"/>
  </r>
  <r>
    <n v="58471"/>
    <s v="BARRIO CARIBE MEDELLIN 4"/>
    <n v="43273551"/>
    <s v="0"/>
    <s v="3208460998"/>
    <s v="3208460998"/>
    <s v="Cra 64C #78-580 Local 28"/>
    <s v="6.2787167"/>
    <s v="-75.5710357"/>
    <s v="ANTIOQUIA"/>
    <s v="MEDELLÍN"/>
    <s v="MEDELLÍN"/>
    <n v="5001"/>
    <s v="2025-09-25"/>
    <n v="3"/>
    <s v="MEDELLIN"/>
    <x v="0"/>
    <n v="37313"/>
    <n v="111939"/>
  </r>
  <r>
    <n v="60550"/>
    <s v="BARRIO CENTRO SAMACA 5"/>
    <n v="1056805284"/>
    <s v="3134496949"/>
    <s v="3134496949"/>
    <s v="3134496949"/>
    <s v="CR 5 4 3,CENTRO"/>
    <s v="5.49197642"/>
    <s v="-73.48515896"/>
    <s v="BOYACÁ"/>
    <s v="SAMACÁ"/>
    <s v="SAMACÁ"/>
    <n v="15646"/>
    <s v="2025-09-25"/>
    <n v="1"/>
    <s v="TUNJA"/>
    <x v="4"/>
    <n v="49671.7"/>
    <n v="49671.7"/>
  </r>
  <r>
    <n v="60990"/>
    <s v="BARRIO PUEBLITO CAFETERO PEREIRA"/>
    <n v="24326052"/>
    <s v="3128109826"/>
    <s v="3128109826"/>
    <s v="3128109826"/>
    <s v="AV LAS AMERICAS 93-20 LC 105 BRR PUEBLITO CAFETERO"/>
    <s v="4.7997409"/>
    <s v="-75.7602370"/>
    <s v="RISARALDA"/>
    <s v="PEREIRA"/>
    <s v="PEREIRA"/>
    <n v="66001"/>
    <s v="2025-09-25"/>
    <n v="1"/>
    <s v="PEREIRA"/>
    <x v="6"/>
    <n v="37313"/>
    <n v="37313"/>
  </r>
  <r>
    <n v="61376"/>
    <s v="BARRIO UNIVERSIDAD BUCARAMANGA 3"/>
    <n v="37514809"/>
    <s v="3152138116"/>
    <s v="3004693158"/>
    <s v="3152138116"/>
    <s v="CR 26 A 10 52 LOCAL 105 BARRIO LA UNIVERSIDAD,UNIVERSIDAD"/>
    <s v="7.137179"/>
    <s v="-73.2033676"/>
    <s v="SANTANDER"/>
    <s v="BUCARAMANGA"/>
    <s v="BUCARAMANGA"/>
    <n v="68001"/>
    <s v="2025-09-25"/>
    <n v="1"/>
    <s v="BUCARAMANGA"/>
    <x v="4"/>
    <n v="37313"/>
    <n v="37313"/>
  </r>
  <r>
    <n v="61333"/>
    <s v="BARRIO AURORA LAS FLORES MEDELLIN"/>
    <n v="1001403856"/>
    <s v="6045396571"/>
    <s v="3148541718"/>
    <s v="3148541718"/>
    <s v="CR 108 64 51 IN 105,AURORA LAS FLORES"/>
    <s v="6.28005694"/>
    <s v="-75.61980416"/>
    <s v="ANTIOQUIA"/>
    <s v="MEDELLÍN"/>
    <s v="MEDELLÍN"/>
    <n v="5001"/>
    <s v="2025-09-25"/>
    <n v="1"/>
    <s v="MEDELLIN"/>
    <x v="0"/>
    <n v="37313"/>
    <n v="37313"/>
  </r>
  <r>
    <n v="59639"/>
    <s v="BARRIO TAGANGA SANTA MARTA 2"/>
    <n v="7603764"/>
    <s v="4219050"/>
    <s v="3045497720"/>
    <s v="3045497720"/>
    <s v="CL 15 2B - 64,TAGANGA"/>
    <s v="11.2677552"/>
    <s v="-74.1893489"/>
    <s v="MAGDALENA"/>
    <s v="SANTA MARTA"/>
    <s v="SANTA MARTA"/>
    <n v="47001"/>
    <s v="2025-09-25"/>
    <n v="1"/>
    <s v="SANTA MARTA"/>
    <x v="5"/>
    <n v="49671.7"/>
    <n v="49671.7"/>
  </r>
  <r>
    <n v="59684"/>
    <s v="BARRIO SEMINARIO DUITAMA 2"/>
    <n v="23550610"/>
    <s v="3005789386"/>
    <s v="3005789386"/>
    <s v="3183754577"/>
    <s v="CL 15 NO.9A-02,SEMINARIO"/>
    <s v="5.8320375"/>
    <s v="-73.036974"/>
    <s v="BOYACÁ"/>
    <s v="DUITAMA"/>
    <s v="DUITAMA"/>
    <n v="15238"/>
    <s v="2025-09-25"/>
    <n v="1"/>
    <s v="TUNJA"/>
    <x v="4"/>
    <n v="49671.7"/>
    <n v="49671.7"/>
  </r>
  <r>
    <n v="55847"/>
    <s v="BARRIO ALCALA ENVIGADO 2"/>
    <n v="98544155"/>
    <s v="4981782"/>
    <s v="3137903152"/>
    <s v="3137903152"/>
    <s v="CL 40 SUR 45 AA 42"/>
    <s v="6.276001"/>
    <s v="-75.610668"/>
    <s v="ANTIOQUIA"/>
    <s v="ENVIGADO"/>
    <s v="ENVIGADO"/>
    <n v="5266"/>
    <s v="2025-09-25"/>
    <n v="1"/>
    <s v="MEDELLIN"/>
    <x v="0"/>
    <n v="37313"/>
    <n v="37313"/>
  </r>
  <r>
    <n v="55936"/>
    <s v="BARRIO LA ISABELA  ARMENIA"/>
    <n v="41907297"/>
    <s v="3105268852"/>
    <s v="3105268852"/>
    <s v="3105268852"/>
    <s v="MZ 1 CA 4,BRR LA ISABELA"/>
    <s v="4.518585555"/>
    <s v="-75.69292555"/>
    <s v="QUINDÍO"/>
    <s v="ARMENIA"/>
    <s v="ARMENIA"/>
    <n v="63001"/>
    <s v="2025-09-25"/>
    <n v="1"/>
    <s v="PEREIRA"/>
    <x v="6"/>
    <n v="37313"/>
    <n v="37313"/>
  </r>
  <r>
    <n v="56100"/>
    <s v="BARRIO ALAMEDA MORELIA"/>
    <n v="1117884956"/>
    <s v="3208380396"/>
    <s v="3208380396"/>
    <s v="3208380396"/>
    <s v="CR 4 1 14,ALAMEDA"/>
    <s v="1.486591"/>
    <s v="-75.724935"/>
    <s v="CAQUETÁ"/>
    <s v="MORELIA"/>
    <s v="MORELIA"/>
    <n v="18479"/>
    <s v="2025-09-25"/>
    <n v="1"/>
    <s v="NEIVA"/>
    <x v="1"/>
    <n v="49671.7"/>
    <n v="49671.7"/>
  </r>
  <r>
    <n v="60860"/>
    <s v="BARRIO FUERA DEL MUNICIPIO DE CHINACOTA CHINACOTA "/>
    <n v="901468619"/>
    <s v="0"/>
    <s v="3209453614"/>
    <s v="3504473736"/>
    <s v=" VIA CUCUTA PAMPLONA LA DON JUANA,FUERA DEL MUNICIPIO DE CHINACOTA"/>
    <s v="7.69056166666667"/>
    <s v="-72.6041733333333"/>
    <s v="NORTE DE SANTANDER"/>
    <s v="CHINÁCOTA"/>
    <s v="CHINÁCOTA"/>
    <n v="54172"/>
    <s v="2025-09-25"/>
    <n v="1"/>
    <s v="CUCUTA"/>
    <x v="4"/>
    <n v="49671.7"/>
    <n v="49671.7"/>
  </r>
  <r>
    <n v="61001"/>
    <s v="BARRIO PANORAMA YUMBO"/>
    <n v="16456718"/>
    <s v="0"/>
    <s v="3116340412"/>
    <s v="3173305090"/>
    <s v="Calle 7D  #17- 28"/>
    <s v="3.5686094"/>
    <s v="-76.4970411"/>
    <s v="VALLE DEL CAUCA"/>
    <s v="YUMBO"/>
    <s v="YUMBO"/>
    <n v="76892"/>
    <s v="2025-09-25"/>
    <n v="1"/>
    <s v="CALI"/>
    <x v="3"/>
    <n v="37313"/>
    <n v="37313"/>
  </r>
  <r>
    <n v="61128"/>
    <s v="BARRIO MOGAMBITO MONTERIA 1"/>
    <n v="1067400137"/>
    <s v="3046567630"/>
    <s v="3046567630"/>
    <s v="3046567630"/>
    <s v="MZ 132 LT1,BRR MOGAMBITO"/>
    <s v="8.7312172"/>
    <s v="-75.8778456"/>
    <s v="CÓRDOBA"/>
    <s v="MONTERÍA"/>
    <s v="MONTERÍA"/>
    <n v="23001"/>
    <s v="2025-09-25"/>
    <n v="1"/>
    <s v="MONTERIA"/>
    <x v="5"/>
    <n v="37313"/>
    <n v="37313"/>
  </r>
  <r>
    <n v="59493"/>
    <s v="BARRIO TERRANOVA 1 SOLEDAD"/>
    <n v="57085021"/>
    <s v="3126597873"/>
    <s v="3126597873"/>
    <s v="3126597873"/>
    <s v="CR 18 # 68 A-03"/>
    <s v="10.9169694"/>
    <s v="-74.8020637"/>
    <s v="ATLÁNTICO"/>
    <s v="SOLEDAD"/>
    <s v="SOLEDAD"/>
    <n v="8758"/>
    <s v="2025-09-25"/>
    <n v="2"/>
    <s v="BARRANQUILLA"/>
    <x v="5"/>
    <n v="37313"/>
    <n v="74626"/>
  </r>
  <r>
    <n v="60944"/>
    <s v="BARRIO MAIREIGUA VALLEDUPAR"/>
    <n v="1083463433"/>
    <s v="3215366985"/>
    <s v="3007664656"/>
    <s v="3007664656"/>
    <s v="CL 59 24 -148 MZ 16 CASA 46 LOCA 1,MAIREIGUA"/>
    <s v="10.43689473"/>
    <s v="-73.25269076"/>
    <s v="CESAR"/>
    <s v="VALLEDUPAR"/>
    <s v="VALLEDUPAR"/>
    <n v="20001"/>
    <s v="2025-09-25"/>
    <n v="3"/>
    <s v="VALLEDUPAR"/>
    <x v="5"/>
    <n v="49671.7"/>
    <n v="149015.09999999998"/>
  </r>
  <r>
    <n v="61171"/>
    <s v="BARRIO BELLO PARIS MEDELLIN"/>
    <n v="70855347"/>
    <s v="6045399620"/>
    <s v="3023761422"/>
    <s v="3023761422"/>
    <s v="CL 20 C 76 03,BELLO PARIS"/>
    <s v="6.3106133"/>
    <s v="-75.5824475"/>
    <s v="ANTIOQUIA"/>
    <s v="MEDELLÍN"/>
    <s v="MEDELLÍN"/>
    <n v="5001"/>
    <s v="2025-09-25"/>
    <n v="1"/>
    <s v="MEDELLIN"/>
    <x v="0"/>
    <n v="37313"/>
    <n v="37313"/>
  </r>
  <r>
    <n v="61872"/>
    <s v="BARRIO TURIN PEREIRA 2"/>
    <n v="42116164"/>
    <s v="3144946"/>
    <s v="3148744694"/>
    <s v="3213119240"/>
    <s v="MZ 1 CA 1 BRR SAN ANTONIO 2 TURIN"/>
    <s v="4.8177069"/>
    <s v="-75.7174197"/>
    <s v="RISARALDA"/>
    <s v="PEREIRA"/>
    <s v="PEREIRA"/>
    <n v="66001"/>
    <s v="2025-09-25"/>
    <n v="1"/>
    <s v="PEREIRA"/>
    <x v="6"/>
    <n v="37313"/>
    <n v="37313"/>
  </r>
  <r>
    <n v="58841"/>
    <s v="BARRIO RESTREPO NARANJO SABANETA 1"/>
    <n v="79377071"/>
    <s v="3017455177"/>
    <s v="3054670585"/>
    <s v="3017455177"/>
    <s v="CL 63 SUR 43 B 08"/>
    <s v="6.1537208"/>
    <s v="-75.6106234"/>
    <s v="ANTIOQUIA"/>
    <s v="SABANETA"/>
    <s v="SABANETA"/>
    <n v="5631"/>
    <s v="2025-09-25"/>
    <n v="1"/>
    <s v="MEDELLIN"/>
    <x v="0"/>
    <n v="37313"/>
    <n v="37313"/>
  </r>
  <r>
    <n v="59282"/>
    <s v="BARRIO PARQUE INDUSTRIAL SECTOR A PEREIRA"/>
    <n v="1086278092"/>
    <s v="3013195214"/>
    <s v="3013195214"/>
    <s v="3013195214"/>
    <s v="MZ 10 CA 17 SEC A BRR PARQUE INDUSTRIAL"/>
    <s v="4.8227620"/>
    <s v="-75.7269237"/>
    <s v="RISARALDA"/>
    <s v="PEREIRA"/>
    <s v="PEREIRA"/>
    <n v="66001"/>
    <s v="2025-09-25"/>
    <n v="1"/>
    <s v="PEREIRA"/>
    <x v="6"/>
    <n v="37313"/>
    <n v="37313"/>
  </r>
  <r>
    <n v="59497"/>
    <s v="BARRIO EL BOSQUE POPAYAN 1"/>
    <n v="83241159"/>
    <s v="0"/>
    <s v="3163080170"/>
    <s v="3153290002"/>
    <s v="TV 9 A CL 59 N 18 BODEGA,EL BOSQUE"/>
    <s v="2.4838034"/>
    <s v="-76.5783188"/>
    <s v="CAUCA"/>
    <s v="POPAYÁN"/>
    <s v="POPAYÁN"/>
    <n v="19001"/>
    <s v="2025-09-25"/>
    <n v="1"/>
    <s v="CALI"/>
    <x v="3"/>
    <n v="37313"/>
    <n v="37313"/>
  </r>
  <r>
    <n v="62033"/>
    <s v="BARRIO BOSTON BARRANQUILLA 7"/>
    <n v="1140874590"/>
    <s v="3042679039"/>
    <s v="3015281380"/>
    <s v="3015281380"/>
    <s v="CR 44 54 47"/>
    <s v="10.98625"/>
    <s v="-74.79233"/>
    <s v="ATLÁNTICO"/>
    <s v="BARRANQUILLA"/>
    <s v="BARRANQUILLA"/>
    <n v="8001"/>
    <s v="2025-09-25"/>
    <n v="1"/>
    <s v="BARRANQUILLA"/>
    <x v="5"/>
    <n v="37313"/>
    <n v="37313"/>
  </r>
  <r>
    <n v="62372"/>
    <s v="BARRIO SEÑORIAL ENVIGADO 1"/>
    <n v="80072413"/>
    <s v="6044237353"/>
    <s v="3173485344"/>
    <s v="3173485344"/>
    <s v="CL 48 C SUR 40 56"/>
    <s v="6.158808"/>
    <s v="-75.596179"/>
    <s v="ANTIOQUIA"/>
    <s v="ENVIGADO"/>
    <s v="ENVIGADO"/>
    <n v="5266"/>
    <s v="2025-09-25"/>
    <n v="1"/>
    <s v="MEDELLIN"/>
    <x v="0"/>
    <n v="37313"/>
    <n v="37313"/>
  </r>
  <r>
    <n v="59681"/>
    <s v="BARRIO ALTAMIRA TUNJA"/>
    <n v="24221340"/>
    <s v="3118749670"/>
    <s v="0"/>
    <s v="3118749670"/>
    <s v="CR 19 A 28 74,ALTAMIRA"/>
    <s v="5.5449260"/>
    <s v="-73.3681999"/>
    <s v="BOYACÁ"/>
    <s v="TUNJA"/>
    <s v="TUNJA"/>
    <n v="15001"/>
    <s v="2025-09-25"/>
    <n v="1"/>
    <s v="TUNJA"/>
    <x v="4"/>
    <n v="49671.7"/>
    <n v="49671.7"/>
  </r>
  <r>
    <n v="59839"/>
    <s v="BARRIO MANDALA MONTERIA"/>
    <n v="1096204086"/>
    <s v="3156270640"/>
    <s v="3156270640"/>
    <s v="3156270640"/>
    <s v="MZ C LT1,BRR MANDALA"/>
    <s v="8.7295151"/>
    <s v="-75.8657795"/>
    <s v="CÓRDOBA"/>
    <s v="MONTERÍA"/>
    <s v="MONTERÍA"/>
    <n v="23001"/>
    <s v="2025-09-25"/>
    <n v="1"/>
    <s v="MONTERIA"/>
    <x v="5"/>
    <n v="37313"/>
    <n v="37313"/>
  </r>
  <r>
    <n v="65783"/>
    <s v="BARRIO PRADOS DE SAN LUIS TUNJA"/>
    <n v="1049646916"/>
    <s v="3176189038"/>
    <s v="0"/>
    <s v="3176189038"/>
    <s v="CR 2 ESTE 26 30,PRADOS DE SAN LUIS"/>
    <s v="5.534564"/>
    <s v="-73.346008"/>
    <s v="BOYACÁ"/>
    <s v="TUNJA"/>
    <s v="TUNJA"/>
    <n v="15001"/>
    <s v="2025-09-25"/>
    <n v="1"/>
    <s v="TUNJA"/>
    <x v="4"/>
    <n v="49671.7"/>
    <n v="49671.7"/>
  </r>
  <r>
    <n v="37471"/>
    <s v="BARRIO VEREDA PANTANILLO ENVIGADO "/>
    <n v="39434119"/>
    <s v="5742169"/>
    <s v="3103978232"/>
    <s v="3137496061"/>
    <s v=" VÍA PANTANILLO SANTA ELENA KM 2 VRD  PANTANILLO"/>
    <s v="6.1829206"/>
    <s v="-75.4890897"/>
    <s v="ANTIOQUIA"/>
    <s v="ENVIGADO"/>
    <s v="ENVIGADO"/>
    <n v="5266"/>
    <s v="2025-09-25"/>
    <n v="1"/>
    <s v="MEDELLIN"/>
    <x v="0"/>
    <n v="37313"/>
    <n v="37313"/>
  </r>
  <r>
    <n v="39902"/>
    <s v="BARRIO CENTRO POPAYAN 12"/>
    <n v="34537015"/>
    <s v="8320492"/>
    <s v="3137689277"/>
    <s v="3126041129"/>
    <s v="CR 3 4. 26,CENTRO"/>
    <s v="2.4410626"/>
    <s v="-76.6032281"/>
    <s v="CAUCA"/>
    <s v="POPAYÁN"/>
    <s v="POPAYÁN"/>
    <n v="19001"/>
    <s v="2025-09-25"/>
    <n v="1"/>
    <s v="CALI"/>
    <x v="3"/>
    <n v="37313"/>
    <n v="37313"/>
  </r>
  <r>
    <n v="41404"/>
    <s v="BARRIO GUATAPE II VILLAVICENCIO"/>
    <n v="1019072755"/>
    <s v="3138107084"/>
    <s v="3112164564"/>
    <s v="3058658572"/>
    <s v="CR 37 26 B 30 SUR,GUATAPE II"/>
    <s v="4.099685"/>
    <s v="-73.645855"/>
    <s v="META"/>
    <s v="VILLAVICENCIO"/>
    <s v="VILLAVICENCIO"/>
    <n v="50001"/>
    <s v="2025-09-25"/>
    <n v="1"/>
    <s v="VILLAVICENCIO"/>
    <x v="1"/>
    <n v="49671.7"/>
    <n v="49671.7"/>
  </r>
  <r>
    <n v="62093"/>
    <s v="BARRIO MARIA VALERIA VALLEDUPAR "/>
    <n v="1065843621"/>
    <s v="3022765266"/>
    <s v="3022765263"/>
    <s v="3186185289"/>
    <s v="MZ 58 CA 22 LC 1,MARIA VALERIA"/>
    <s v="10.4447225"/>
    <s v="-73.2716144"/>
    <s v="CESAR"/>
    <s v="VALLEDUPAR"/>
    <s v="VALLEDUPAR"/>
    <n v="20001"/>
    <s v="2025-09-25"/>
    <n v="1"/>
    <s v="VALLEDUPAR"/>
    <x v="5"/>
    <n v="49671.7"/>
    <n v="49671.7"/>
  </r>
  <r>
    <n v="62188"/>
    <s v="BARRIO LA TRINIDAD SINCELEJO"/>
    <n v="1102814485"/>
    <s v="3023370984"/>
    <s v="3104626927"/>
    <s v="3023370984"/>
    <s v="CR 20 42 64 BRR LA TRINIDAD"/>
    <s v="9.289767"/>
    <s v="-75.383156"/>
    <s v="SUCRE"/>
    <s v="SINCELEJO"/>
    <s v="SINCELEJO"/>
    <n v="70001"/>
    <s v="2025-09-25"/>
    <n v="1"/>
    <s v="SINCELEJO"/>
    <x v="5"/>
    <n v="49671.7"/>
    <n v="49671.7"/>
  </r>
  <r>
    <n v="36516"/>
    <s v="BARRIO MORICHAL YOPAL "/>
    <n v="1118536398"/>
    <m/>
    <s v="3138013952"/>
    <s v="3138013952"/>
    <s v=" KM 11 VIA TILODIRAN MORRICHAL"/>
    <s v="5.2244416"/>
    <s v="-72.3850446"/>
    <s v="CASANARE"/>
    <s v="YOPAL"/>
    <s v="YOPAL"/>
    <n v="85001"/>
    <s v="2025-09-25"/>
    <n v="1"/>
    <s v="YOPAL"/>
    <x v="1"/>
    <n v="49671.7"/>
    <n v="49671.7"/>
  </r>
  <r>
    <n v="37714"/>
    <s v="BARRIO AVES MARIA SABANETA 1"/>
    <n v="1016010306"/>
    <s v="2883946"/>
    <s v="3148689348"/>
    <s v="3148689348"/>
    <s v=" CR 43 A 69 SUR 39 AVS MARIA"/>
    <s v="6.1498325"/>
    <s v="-75.6142133"/>
    <s v="ANTIOQUIA"/>
    <s v="SABANETA"/>
    <s v="SABANETA"/>
    <n v="5631"/>
    <s v="2025-09-25"/>
    <n v="1"/>
    <s v="MEDELLIN"/>
    <x v="0"/>
    <n v="37313"/>
    <n v="37313"/>
  </r>
  <r>
    <n v="41442"/>
    <s v="BARRIO SAN ANTONIO DE CARRIZAL GIRON"/>
    <n v="5621649"/>
    <s v="6983526"/>
    <s v="3144108523"/>
    <s v="3144108523"/>
    <s v="TV 22 B 54 D 15,SAN ANTONIO DE CARRIZAL"/>
    <s v="7.0825305"/>
    <s v="-73.1733533"/>
    <s v="SANTANDER"/>
    <s v="GIRÓN"/>
    <s v="GIRÓN"/>
    <n v="68307"/>
    <s v="2025-09-25"/>
    <n v="1"/>
    <s v="BUCARAMANGA"/>
    <x v="4"/>
    <n v="37313"/>
    <n v="37313"/>
  </r>
  <r>
    <n v="42517"/>
    <s v="BARRIO LOS HEROES DUITAMA"/>
    <n v="7227923"/>
    <s v="3213984019"/>
    <s v="3133506067"/>
    <s v="3133506067"/>
    <s v="CR 10 18-17,LOS HEROES"/>
    <s v="5.83393"/>
    <s v="-73.0333272"/>
    <s v="BOYACÁ"/>
    <s v="DUITAMA"/>
    <s v="DUITAMA"/>
    <n v="15238"/>
    <s v="2025-09-25"/>
    <n v="1"/>
    <s v="TUNJA"/>
    <x v="4"/>
    <n v="49671.7"/>
    <n v="49671.7"/>
  </r>
  <r>
    <n v="45368"/>
    <s v="BARRIO ACOPI MENGA YUMBO"/>
    <n v="901206171"/>
    <s v="6643078"/>
    <s v="3113450503"/>
    <s v="3113450503"/>
    <s v="CR 38 8 72,ACOPI MENGA"/>
    <s v="3.497817"/>
    <s v="-76.525233"/>
    <s v="VALLE DEL CAUCA"/>
    <s v="YUMBO"/>
    <s v="YUMBO"/>
    <n v="76892"/>
    <s v="2025-09-25"/>
    <n v="1"/>
    <s v="CALI"/>
    <x v="3"/>
    <n v="37313"/>
    <n v="37313"/>
  </r>
  <r>
    <n v="61579"/>
    <s v="BARRIO 5 ESTRELLAS BELLO 1"/>
    <n v="1110547538"/>
    <s v="3188113598"/>
    <s v="3188113598"/>
    <s v="3245790222"/>
    <s v="AV 38 C 42 DB 15 BRR 5 ESTRELLAS,5 ESTRELLAS"/>
    <s v="6.3264007"/>
    <s v="-75.5423210"/>
    <s v="ANTIOQUIA"/>
    <s v="BELLO"/>
    <s v="BELLO"/>
    <n v="5088"/>
    <s v="2025-09-25"/>
    <n v="2"/>
    <s v="MEDELLIN"/>
    <x v="0"/>
    <n v="37313"/>
    <n v="74626"/>
  </r>
  <r>
    <n v="61870"/>
    <s v="BARRIO 19 DE ENERO ARMENIA"/>
    <n v="7543698"/>
    <s v="3004710036"/>
    <s v="3004710036"/>
    <s v="3145052311"/>
    <s v="CR 19 46 20 BRR 19 DE ENERO"/>
    <s v="4.5350004"/>
    <s v="-75.6756888"/>
    <s v="QUINDÍO"/>
    <s v="ARMENIA"/>
    <s v="ARMENIA"/>
    <n v="63001"/>
    <s v="2025-09-25"/>
    <n v="1"/>
    <s v="PEREIRA"/>
    <x v="6"/>
    <n v="37313"/>
    <n v="37313"/>
  </r>
  <r>
    <n v="62348"/>
    <s v="BARRIO ALFONSO LOPEZ BOGOTA 5"/>
    <n v="52936955"/>
    <s v="6017152312"/>
    <s v="3216557307"/>
    <s v="3216557307"/>
    <s v="CR 6 F ESTE 98 A SUR 14"/>
    <s v="4.492072"/>
    <s v="-74.103078"/>
    <s v="CUNDINAMARCA"/>
    <s v="BOGOTÁ"/>
    <s v="BOGOTÁ"/>
    <n v="11001"/>
    <s v="2025-09-25"/>
    <n v="1"/>
    <s v="BOGOTA"/>
    <x v="2"/>
    <n v="37313"/>
    <n v="37313"/>
  </r>
  <r>
    <n v="66161"/>
    <s v="BARRIO BELALCAZAR CALI 1"/>
    <n v="1112475896"/>
    <s v="0"/>
    <s v="3502423950"/>
    <s v="3502662356"/>
    <s v="CR 18 23 19 BELALCAZAR,BELALCAZAR"/>
    <s v="3.438793888"/>
    <s v="-76.519587777"/>
    <s v="VALLE DEL CAUCA"/>
    <s v="CALI"/>
    <s v="SANTIAGO DE CALI"/>
    <n v="76001"/>
    <s v="2025-09-25"/>
    <n v="1"/>
    <s v="CALI"/>
    <x v="3"/>
    <n v="37313"/>
    <n v="37313"/>
  </r>
  <r>
    <n v="66407"/>
    <s v="BARRIO MOGAMBO MONTERIA 6"/>
    <n v="33307790"/>
    <s v="3008178510"/>
    <s v="3008178510"/>
    <s v="3008178510"/>
    <s v="MZ 6 LT1,MOGAMBO"/>
    <s v="8.729920"/>
    <s v="-75.882957"/>
    <s v="CÓRDOBA"/>
    <s v="MONTERÍA"/>
    <s v="MONTERÍA"/>
    <n v="23001"/>
    <s v="2025-09-25"/>
    <n v="1"/>
    <s v="MONTERIA"/>
    <x v="5"/>
    <n v="37313"/>
    <n v="37313"/>
  </r>
  <r>
    <n v="60113"/>
    <s v="BARRIO CUBA PEREIRA 6"/>
    <n v="1112775410"/>
    <s v="3116533754"/>
    <s v="3184808503"/>
    <s v="3184808503"/>
    <s v="MZ 16 CS 8 SEC BOQUIA BRR PARQUE INDUSTRIAL"/>
    <s v="4.8224303"/>
    <s v="-75.7308143"/>
    <s v="RISARALDA"/>
    <s v="PEREIRA"/>
    <s v="PEREIRA"/>
    <n v="66001"/>
    <s v="2025-09-25"/>
    <n v="1"/>
    <s v="PEREIRA"/>
    <x v="6"/>
    <n v="37313"/>
    <n v="37313"/>
  </r>
  <r>
    <n v="68113"/>
    <s v="BARRIO MANUELA SOLEDAD"/>
    <n v="1042467704"/>
    <s v="3222124785"/>
    <s v="3006893377"/>
    <s v="3006893377"/>
    <s v="CR 6B # 56 46 TO 8 AP 103"/>
    <s v="10.8985047"/>
    <s v="-74.7883002"/>
    <s v="ATLÁNTICO"/>
    <s v="SOLEDAD"/>
    <s v="SOLEDAD"/>
    <n v="8758"/>
    <s v="2025-09-25"/>
    <n v="1"/>
    <s v="BARRANQUILLA"/>
    <x v="5"/>
    <n v="37313"/>
    <n v="37313"/>
  </r>
  <r>
    <n v="68358"/>
    <s v="BARRIO URBANIZACION LA VICTORIA MONTERIA"/>
    <n v="25799830"/>
    <s v="3126904222"/>
    <s v="3126904222"/>
    <s v="3126904222"/>
    <s v="MZ 3 LT1,URBANIZACIÓN LA VICTORIA"/>
    <s v="8.7307414"/>
    <s v="-75.8630219"/>
    <s v="CÓRDOBA"/>
    <s v="MONTERÍA"/>
    <s v="MONTERÍA"/>
    <n v="23001"/>
    <s v="2025-09-25"/>
    <n v="1"/>
    <s v="MONTERIA"/>
    <x v="5"/>
    <n v="37313"/>
    <n v="37313"/>
  </r>
  <r>
    <n v="43082"/>
    <s v="BARRIO LA ESMERALDA FLORIDABLANCA"/>
    <n v="91525022"/>
    <s v="6491132"/>
    <s v="3176807198"/>
    <s v="3176807198"/>
    <s v="CR 58 121 02,LA ESMERALDA"/>
    <s v="7.0897745"/>
    <s v="-73.0904223"/>
    <s v="SANTANDER"/>
    <s v="FLORIDABLANCA"/>
    <s v="FLORIDABLANCA"/>
    <n v="68276"/>
    <s v="2025-09-25"/>
    <n v="1"/>
    <s v="BUCARAMANGA"/>
    <x v="4"/>
    <n v="37313"/>
    <n v="37313"/>
  </r>
  <r>
    <n v="45363"/>
    <s v="BARRIO SAN NICOLAS CALI 6"/>
    <n v="901061045"/>
    <s v="8892666"/>
    <s v="3155767619"/>
    <s v="3154108735"/>
    <s v="CR 8 15 30,SAN NICOLAS"/>
    <s v="3.450104"/>
    <s v="-76.527903"/>
    <s v="VALLE DEL CAUCA"/>
    <s v="CALI"/>
    <s v="SANTIAGO DE CALI"/>
    <n v="76001"/>
    <s v="2025-09-25"/>
    <n v="1"/>
    <s v="CALI"/>
    <x v="3"/>
    <n v="37313"/>
    <n v="37313"/>
  </r>
  <r>
    <n v="46296"/>
    <s v="BARRIO EL TOPACIO IBAGUE"/>
    <n v="1110462211"/>
    <m/>
    <s v="3118677675"/>
    <s v="3118677675"/>
    <s v="MZ 54 CASA 18,EL TOPACIO"/>
    <s v="4.4405911"/>
    <s v="-75.1640683"/>
    <s v="TOLIMA"/>
    <s v="IBAGUÉ"/>
    <s v="IBAGUÉ"/>
    <n v="73001"/>
    <s v="2025-09-25"/>
    <n v="1"/>
    <s v="IBAGUE"/>
    <x v="1"/>
    <n v="49671.7"/>
    <n v="49671.7"/>
  </r>
  <r>
    <n v="45355"/>
    <s v="BARRIO TAMASAGRA PASTO"/>
    <n v="59816485"/>
    <s v="3053374174"/>
    <s v="3053374174"/>
    <s v="3053374174"/>
    <s v="MZ 41 CASA 6  TAMASAGRA"/>
    <s v="1.2005902"/>
    <s v="-77.2928559"/>
    <s v="NARIÑO"/>
    <s v="PASTO"/>
    <s v="SAN JUAN DE PASTO"/>
    <n v="52001"/>
    <s v="2025-09-25"/>
    <n v="1"/>
    <s v="PASTO"/>
    <x v="3"/>
    <n v="49671.7"/>
    <n v="49671.7"/>
  </r>
  <r>
    <n v="46403"/>
    <s v="BARRIO CENTRO MANIZALES 11"/>
    <n v="75077398"/>
    <s v="8961824"/>
    <s v="3103985480"/>
    <s v="3103985480"/>
    <s v="CR 20 19 08 ,CENTRO"/>
    <s v="5.0689824"/>
    <s v="-75.5194785"/>
    <s v="CALDAS"/>
    <s v="MANIZALES"/>
    <s v="MANIZALES"/>
    <n v="17001"/>
    <s v="2025-09-25"/>
    <n v="1"/>
    <s v="MANIZALES"/>
    <x v="6"/>
    <n v="49671.7"/>
    <n v="49671.7"/>
  </r>
  <r>
    <n v="49982"/>
    <s v="BARRIO LA ESTRADA BOGOTA 4"/>
    <n v="79813699"/>
    <s v="5485046"/>
    <s v="3105520983"/>
    <s v="3105520983"/>
    <s v="CR 69 P N 68 - 12,LA ESTRADA"/>
    <s v="4.6737703"/>
    <s v="-74.0938339"/>
    <s v="CUNDINAMARCA"/>
    <s v="BOGOTÁ"/>
    <s v="BOGOTÁ"/>
    <n v="11001"/>
    <s v="2025-09-25"/>
    <n v="1"/>
    <s v="BOGOTA"/>
    <x v="2"/>
    <n v="37313"/>
    <n v="37313"/>
  </r>
  <r>
    <n v="51094"/>
    <s v="BARRIO RINCON DE GIRON GIRON 3"/>
    <n v="1095807824"/>
    <s v="3118903165"/>
    <s v="3118903165"/>
    <s v="3118903165"/>
    <s v="CL 39 18 03 LC 4,RINCON DE GIRON"/>
    <s v="7.0714846"/>
    <s v="-73.1642160"/>
    <s v="SANTANDER"/>
    <s v="GIRÓN"/>
    <s v="GIRÓN"/>
    <n v="68307"/>
    <s v="2025-09-25"/>
    <n v="2"/>
    <s v="BUCARAMANGA"/>
    <x v="4"/>
    <n v="37313"/>
    <n v="74626"/>
  </r>
  <r>
    <n v="59676"/>
    <s v="BARRIO PIEDRA DE BOLIVAR CARTAGENA DE INDIAS 1"/>
    <n v="1047413693"/>
    <s v="6755115"/>
    <s v="3006515582"/>
    <s v="3006515582"/>
    <s v="CR 49 B NO 26A -16,PIEDRA DE BOLIVAR"/>
    <s v="10.3991986"/>
    <s v="-75.5084292"/>
    <s v="BOLÍVAR"/>
    <s v="CARTAGENA DE INDIAS"/>
    <s v="CARTAGENA DE INDIAS"/>
    <n v="13001"/>
    <s v="2025-09-25"/>
    <n v="1"/>
    <s v="CARTAGENA"/>
    <x v="5"/>
    <n v="49671.7"/>
    <n v="49671.7"/>
  </r>
  <r>
    <n v="59900"/>
    <s v="BARRIO EL CRUDO BOGOTA"/>
    <n v="1013622043"/>
    <s v="0"/>
    <s v="3123733028"/>
    <s v="3108019325"/>
    <s v="CL 80 SUR # 1 - 62 ESTE,EL CRUBO"/>
    <s v="4.5101739"/>
    <s v="-74.1050544"/>
    <s v="CUNDINAMARCA"/>
    <s v="BOGOTÁ"/>
    <s v="BOGOTÁ"/>
    <n v="11001"/>
    <s v="2025-09-25"/>
    <n v="1"/>
    <s v="BOGOTA"/>
    <x v="2"/>
    <n v="37313"/>
    <n v="37313"/>
  </r>
  <r>
    <n v="65725"/>
    <s v="BARRIO LA RELIQUIA VILLAVICENCIO 1"/>
    <n v="1121820835"/>
    <s v="3176806597"/>
    <s v="3204153370"/>
    <s v="3212895045"/>
    <s v="CR 62. E NRO. 25 A - 05 BRR LA RELIQUIA ,LA RELIQUIA"/>
    <s v="4.12471"/>
    <s v="-73.54294"/>
    <s v="META"/>
    <s v="VILLAVICENCIO"/>
    <s v="VILLAVICENCIO"/>
    <n v="50001"/>
    <s v="2025-09-25"/>
    <n v="1"/>
    <s v="VILLAVICENCIO"/>
    <x v="1"/>
    <n v="49671.7"/>
    <n v="49671.7"/>
  </r>
  <r>
    <n v="65897"/>
    <s v="BARRIO QUINTA BOSCH CUCUTA 4"/>
    <n v="1090405003"/>
    <s v="3219503080"/>
    <s v="3219503080"/>
    <s v="3219503080"/>
    <s v="CL 5 # 3 - 18 BRR CARLOS RAMIREZ"/>
    <s v="7.8959096"/>
    <s v="-72.5238050"/>
    <s v="NORTE DE SANTANDER"/>
    <s v="CÚCUTA"/>
    <s v="CÚCUTA"/>
    <n v="54001"/>
    <s v="2025-09-25"/>
    <n v="1"/>
    <s v="CUCUTA"/>
    <x v="4"/>
    <n v="49671.7"/>
    <n v="49671.7"/>
  </r>
  <r>
    <n v="66232"/>
    <s v="BARRIO SAN JOSE MONTERIA 1"/>
    <n v="1067955724"/>
    <s v="3042943736"/>
    <s v="3187162546"/>
    <s v="3042943736"/>
    <s v="CR 21 34 59,SAN JOSE"/>
    <s v="8.74897340"/>
    <s v="-75.87164290"/>
    <s v="CÓRDOBA"/>
    <s v="MONTERÍA"/>
    <s v="MONTERÍA"/>
    <n v="23001"/>
    <s v="2025-09-25"/>
    <n v="1"/>
    <s v="MONTERIA"/>
    <x v="5"/>
    <n v="37313"/>
    <n v="37313"/>
  </r>
  <r>
    <n v="66240"/>
    <s v="BARRIO VILLAS DE SAN RAFAEL PASTO 1"/>
    <n v="59819474"/>
    <s v="0"/>
    <s v="3014255710"/>
    <s v="3014255710"/>
    <s v="BRR VILLAS DE SAN RAFAEL CL 12 A 41 06"/>
    <s v="1.220490"/>
    <s v="-77.291728"/>
    <s v="NARIÑO"/>
    <s v="PASTO"/>
    <s v="SAN JUAN DE PASTO"/>
    <n v="52001"/>
    <s v="2025-09-25"/>
    <n v="1"/>
    <s v="PASTO"/>
    <x v="3"/>
    <n v="49671.7"/>
    <n v="49671.7"/>
  </r>
  <r>
    <n v="66418"/>
    <s v="BARRIO CANEY VILLAVICENCIO"/>
    <n v="901144733"/>
    <s v="3124759050"/>
    <s v="3107735123"/>
    <s v="3107735123"/>
    <s v="CL 25 20 106 BRR CANEY"/>
    <s v="4.1415984"/>
    <s v="-73.6232729"/>
    <s v="META"/>
    <s v="VILLAVICENCIO"/>
    <s v="VILLAVICENCIO"/>
    <n v="50001"/>
    <s v="2025-09-25"/>
    <n v="1"/>
    <s v="VILLAVICENCIO"/>
    <x v="1"/>
    <n v="49671.7"/>
    <n v="49671.7"/>
  </r>
  <r>
    <n v="66480"/>
    <s v="BARRIO ROSITA VILLAVICENCIO 1"/>
    <n v="52481995"/>
    <s v="3214769799"/>
    <s v="3214769799"/>
    <s v="3214769799"/>
    <s v="CL 12 SURB N°30A-28 BRR Rosita"/>
    <s v="4.1122579"/>
    <s v="-73.6151039"/>
    <s v="META"/>
    <s v="VILLAVICENCIO"/>
    <s v="VILLAVICENCIO"/>
    <n v="50001"/>
    <s v="2025-09-25"/>
    <n v="1"/>
    <s v="VILLAVICENCIO"/>
    <x v="1"/>
    <n v="49671.7"/>
    <n v="49671.7"/>
  </r>
  <r>
    <n v="66521"/>
    <s v="BARRIO CORBONES ARMENIA 1"/>
    <n v="1094926228"/>
    <s v="7318454"/>
    <s v="3206768317"/>
    <s v="3206768317"/>
    <s v="CR 24A  10 - 107 BRR CORBONES"/>
    <s v="4.5433884"/>
    <s v="-75.6766901"/>
    <s v="QUINDÍO"/>
    <s v="ARMENIA"/>
    <s v="ARMENIA"/>
    <n v="63001"/>
    <s v="2025-09-25"/>
    <n v="1"/>
    <s v="PEREIRA"/>
    <x v="6"/>
    <n v="37313"/>
    <n v="37313"/>
  </r>
  <r>
    <n v="66872"/>
    <s v="BARRIO SAN IGNACIO"/>
    <n v="46376987"/>
    <s v="3219183156"/>
    <s v="0"/>
    <s v="3219183156"/>
    <s v="CL 20 6 66,SAN FRANCISCO"/>
    <s v="5.53203003"/>
    <s v="-73.35866428"/>
    <s v="BOYACÁ"/>
    <s v="TUNJA"/>
    <s v="TUNJA"/>
    <n v="15001"/>
    <s v="2025-09-25"/>
    <n v="1"/>
    <s v="TUNJA"/>
    <x v="4"/>
    <n v="49671.7"/>
    <n v="49671.7"/>
  </r>
  <r>
    <n v="67045"/>
    <s v="BARRIO LA ESMERALDA PASTO"/>
    <n v="27090038"/>
    <s v="3192221572"/>
    <s v="3192221572"/>
    <s v="3002376194"/>
    <s v="MANZANA 19 CASA 14- LA ESMERALDA,LA ESMERALDA"/>
    <s v="1.2026670"/>
    <s v="-77.2667682"/>
    <s v="NARIÑO"/>
    <s v="PASTO"/>
    <s v="SAN JUAN DE PASTO"/>
    <n v="52001"/>
    <s v="2025-09-25"/>
    <n v="1"/>
    <s v="PASTO"/>
    <x v="3"/>
    <n v="49671.7"/>
    <n v="49671.7"/>
  </r>
  <r>
    <n v="67221"/>
    <s v="BARRIO CUBA PEREIRA 8"/>
    <n v="42091707"/>
    <s v="3217811884"/>
    <s v="3117496788"/>
    <s v="3217811884"/>
    <s v="CL 71 23 B 21 - BRR CUBA"/>
    <s v="4.805575"/>
    <s v="-75.739801"/>
    <s v="RISARALDA"/>
    <s v="PEREIRA"/>
    <s v="PEREIRA"/>
    <n v="66001"/>
    <s v="2025-09-25"/>
    <n v="1"/>
    <s v="PEREIRA"/>
    <x v="6"/>
    <n v="37313"/>
    <n v="37313"/>
  </r>
  <r>
    <n v="67106"/>
    <s v="BARRIO ESQUINA MORELIA"/>
    <n v="1117525770"/>
    <s v="3202012942"/>
    <s v="3202012942"/>
    <s v="3202012942"/>
    <s v="CL 2 2 03,ESQUINA"/>
    <s v="1.486820"/>
    <s v="-75.726524"/>
    <s v="CAQUETÁ"/>
    <s v="MORELIA"/>
    <s v="MORELIA"/>
    <n v="18479"/>
    <s v="2025-09-25"/>
    <n v="1"/>
    <s v="NEIVA"/>
    <x v="1"/>
    <n v="49671.7"/>
    <n v="49671.7"/>
  </r>
  <r>
    <n v="68702"/>
    <s v="BARRIO ROBLEDO MEDELLIN  23"/>
    <n v="21548591"/>
    <s v="0"/>
    <s v="3007211510"/>
    <s v="3007211510"/>
    <s v="CARRERA 93 64 B 07,ROBLEDO"/>
    <s v="6.2803458"/>
    <s v="-75.6029951"/>
    <s v="ANTIOQUIA"/>
    <s v="MEDELLÍN"/>
    <s v="MEDELLÍN"/>
    <n v="5001"/>
    <s v="2025-09-25"/>
    <n v="1"/>
    <s v="MEDELLIN"/>
    <x v="0"/>
    <n v="37313"/>
    <n v="37313"/>
  </r>
  <r>
    <n v="69345"/>
    <s v="BARRIO RESTREPO BOGOTA 19"/>
    <n v="1023873609"/>
    <s v="0"/>
    <s v="3219087373"/>
    <s v="3219087373"/>
    <s v="CALLE 17 SUR 17 44 LOCAL 19-20,RESTREPO"/>
    <s v="4.5853432"/>
    <s v="-74.1004726"/>
    <s v="CUNDINAMARCA"/>
    <s v="BOGOTÁ"/>
    <s v="BOGOTÁ"/>
    <n v="11001"/>
    <s v="2025-09-25"/>
    <n v="1"/>
    <s v="BOGOTA"/>
    <x v="2"/>
    <n v="37313"/>
    <n v="37313"/>
  </r>
  <r>
    <n v="69559"/>
    <s v="BARRIO EL UVO POPAYAN 2"/>
    <n v="1143850267"/>
    <s v="3205579681"/>
    <s v="3205579681"/>
    <s v="3205579681"/>
    <s v="CR 17 NRO. 58 N - 09 - EL UVO,EL UVO"/>
    <s v="2.4886265"/>
    <s v="-76.5780481"/>
    <s v="CAUCA"/>
    <s v="POPAYÁN"/>
    <s v="POPAYÁN"/>
    <n v="19001"/>
    <s v="2025-09-25"/>
    <n v="1"/>
    <s v="CALI"/>
    <x v="3"/>
    <n v="37313"/>
    <n v="37313"/>
  </r>
  <r>
    <n v="70053"/>
    <s v="BARRIO MOGAMBO MONTERIA 8"/>
    <n v="34988758"/>
    <s v="3216969478"/>
    <s v="3216969478"/>
    <s v="3216969478"/>
    <s v="MZ 42 LT7 ET 3,MOGAMBO"/>
    <s v="8.7287575"/>
    <s v="-75.8819695"/>
    <s v="CÓRDOBA"/>
    <s v="MONTERÍA"/>
    <s v="MONTERÍA"/>
    <n v="23001"/>
    <s v="2025-09-25"/>
    <n v="1"/>
    <s v="MONTERIA"/>
    <x v="5"/>
    <n v="37313"/>
    <n v="37313"/>
  </r>
  <r>
    <n v="65807"/>
    <s v="BARRIO MONCALEANO FLORIDA"/>
    <n v="25527108"/>
    <s v="0"/>
    <s v="3113064036"/>
    <s v="3113143659"/>
    <s v="CL 12 CR 12 ESQUINA NO. 11 78,MONCALEANO"/>
    <s v="3.3243677"/>
    <s v="-76.2292636"/>
    <s v="VALLE DEL CAUCA"/>
    <s v="FLORIDA"/>
    <s v="FLORIDA"/>
    <n v="76275"/>
    <s v="2025-09-25"/>
    <n v="1"/>
    <s v="CALI"/>
    <x v="3"/>
    <n v="37313"/>
    <n v="37313"/>
  </r>
  <r>
    <n v="66167"/>
    <s v="BARRIO BULEVAR DEL SUR BOGOTA"/>
    <n v="1022962994"/>
    <s v="0"/>
    <s v="3208635566"/>
    <s v="3208635566"/>
    <s v="TRANSVERSAL 1 ESTE 83 55 SUR,BULEVAR DEL SUR"/>
    <s v="4.536738"/>
    <s v="-74.1176177"/>
    <s v="CUNDINAMARCA"/>
    <s v="BOGOTÁ"/>
    <s v="BOGOTÁ"/>
    <n v="11001"/>
    <s v="2025-09-25"/>
    <n v="1"/>
    <s v="BOGOTA"/>
    <x v="2"/>
    <n v="37313"/>
    <n v="37313"/>
  </r>
  <r>
    <n v="66164"/>
    <s v="BARRIO SAN NICOLAS CALI 12"/>
    <n v="94544212"/>
    <s v="0"/>
    <s v="3025885036"/>
    <s v="3217255548"/>
    <s v="CL 21 2 N 80 LC 102,SAN NICOLÁS"/>
    <s v="3.4594287"/>
    <s v="-76.5265104"/>
    <s v="VALLE DEL CAUCA"/>
    <s v="CALI"/>
    <s v="SANTIAGO DE CALI"/>
    <n v="76001"/>
    <s v="2025-09-25"/>
    <n v="1"/>
    <s v="CALI"/>
    <x v="3"/>
    <n v="37313"/>
    <n v="37313"/>
  </r>
  <r>
    <n v="66428"/>
    <s v="BARRIO MINUTO DE DIOS BUCARAMANGA"/>
    <n v="6803458"/>
    <s v="3158268452"/>
    <s v="3158268452"/>
    <s v="3169465520"/>
    <s v="CL 9 A BIS N 10A 29 TORRE 24 APARTAMENTO 102,MINUTO DE DIOS"/>
    <s v="7.1496798"/>
    <s v="-73.1346745"/>
    <s v="SANTANDER"/>
    <s v="BUCARAMANGA"/>
    <s v="BUCARAMANGA"/>
    <n v="68001"/>
    <s v="2025-09-25"/>
    <n v="1"/>
    <s v="BUCARAMANGA"/>
    <x v="4"/>
    <n v="37313"/>
    <n v="37313"/>
  </r>
  <r>
    <n v="66922"/>
    <s v="BARRIO MORASURCO PASTO"/>
    <n v="1085263441"/>
    <s v="0"/>
    <s v="3205107075"/>
    <s v="3205107075"/>
    <s v="BRR MORASURCO CR 44 20 05 LC 2 ED PIE DE MONTE"/>
    <s v="1.234081"/>
    <s v="-77.285898"/>
    <s v="NARIÑO"/>
    <s v="PASTO"/>
    <s v="SAN JUAN DE PASTO"/>
    <n v="52001"/>
    <s v="2025-09-25"/>
    <n v="1"/>
    <s v="PASTO"/>
    <x v="3"/>
    <n v="49671.7"/>
    <n v="49671.7"/>
  </r>
  <r>
    <n v="67052"/>
    <s v="BARRIO FUERA DEL MUNICIPIO DE SAN CAYETANO SAN CAYETANO 3"/>
    <n v="37333877"/>
    <s v="3114774363"/>
    <s v="3214352199"/>
    <s v="3144352199"/>
    <s v="VRD SAN ISIDRO ANILLO VIAL OCCIDENTAL KDX 20,FUERA DEL MUNICIPIO DE SAN CAYETANO"/>
    <s v="7.88296474"/>
    <s v="-72.54772493"/>
    <s v="NORTE DE SANTANDER"/>
    <s v="SAN CAYETANO"/>
    <s v="SAN CAYETANO"/>
    <n v="54673"/>
    <s v="2025-09-25"/>
    <n v="1"/>
    <s v="CUCUTA"/>
    <x v="4"/>
    <n v="49671.7"/>
    <n v="49671.7"/>
  </r>
  <r>
    <n v="67136"/>
    <s v="BARRIO CENTRO CHINACOTA 6"/>
    <n v="27603115"/>
    <s v="0"/>
    <s v="3224648551"/>
    <s v="3224648551"/>
    <s v="CR 4 4-14,CENTRO"/>
    <s v="7.6083897"/>
    <s v="-72.6007407"/>
    <s v="NORTE DE SANTANDER"/>
    <s v="CHINÁCOTA"/>
    <s v="CHINÁCOTA"/>
    <n v="54172"/>
    <s v="2025-09-25"/>
    <n v="1"/>
    <s v="CUCUTA"/>
    <x v="4"/>
    <n v="49671.7"/>
    <n v="49671.7"/>
  </r>
  <r>
    <n v="63795"/>
    <s v="BARRIO VILLA FLOR II PASTO"/>
    <n v="59834150"/>
    <s v="7412821"/>
    <s v="3117407429"/>
    <s v="3117407429"/>
    <s v="MANZANA 27 CASA 21 BARRIO VILLA FLOR ii - VILLAFLOR ii"/>
    <s v="1.2008986"/>
    <s v="-77.2571274"/>
    <s v="NARIÑO"/>
    <s v="PASTO"/>
    <s v="SAN JUAN DE PASTO"/>
    <n v="52001"/>
    <s v="2025-09-25"/>
    <n v="1"/>
    <s v="PASTO"/>
    <x v="3"/>
    <n v="49671.7"/>
    <n v="49671.7"/>
  </r>
  <r>
    <n v="70846"/>
    <s v="FLORIDABLANCA BRISAS DE LA FLORIDA"/>
    <n v="1095843152"/>
    <s v="3156248916"/>
    <s v="3187385346"/>
    <s v="3187385346"/>
    <s v="CL 200 26 28,BRISAS DE LA FLORIDA"/>
    <s v="7.0608160"/>
    <s v="-73.0932870"/>
    <s v="SANTANDER"/>
    <s v="FLORIDABLANCA"/>
    <s v="FLORIDABLANCA"/>
    <n v="68276"/>
    <s v="2025-09-25"/>
    <n v="1"/>
    <s v="BUCARAMANGA"/>
    <x v="4"/>
    <n v="37313"/>
    <n v="37313"/>
  </r>
  <r>
    <n v="68885"/>
    <s v="CENTRO MANIZALES 23"/>
    <n v="15955721"/>
    <s v="3108997738"/>
    <s v="3108997738"/>
    <s v="3108997738"/>
    <s v="CL 17 25 - 14,CENTRO"/>
    <s v="5.0655639"/>
    <s v="-75.5208061"/>
    <s v="CALDAS"/>
    <s v="MANIZALES"/>
    <s v="MANIZALES"/>
    <n v="17001"/>
    <s v="2025-09-25"/>
    <n v="1"/>
    <s v="MANIZALES"/>
    <x v="6"/>
    <n v="49671.7"/>
    <n v="49671.7"/>
  </r>
  <r>
    <n v="69533"/>
    <s v="BARRIO MARIA COPACABANA 2"/>
    <n v="1044502431"/>
    <s v="6001329"/>
    <s v="3108898195"/>
    <s v="3016178384"/>
    <s v="CALLE 50 29 210,MARIA"/>
    <s v="6.3542673"/>
    <s v="-75.4984533"/>
    <s v="ANTIOQUIA"/>
    <s v="COPACABANA"/>
    <s v="COPACABANA"/>
    <n v="5212"/>
    <s v="2025-09-25"/>
    <n v="2"/>
    <s v="MEDELLIN"/>
    <x v="0"/>
    <n v="37313"/>
    <n v="74626"/>
  </r>
  <r>
    <n v="69740"/>
    <s v="BARRIO VILLA OCCIDENTE POPAYAN"/>
    <n v="10538733"/>
    <s v="3206189818"/>
    <s v="3117813212"/>
    <s v="3206189818"/>
    <s v="CR 41 NRO. 7 - 02 , Villa Occidente"/>
    <s v="2.4533602"/>
    <s v="-76.6346082"/>
    <s v="CAUCA"/>
    <s v="POPAYÁN"/>
    <s v="POPAYÁN"/>
    <n v="19001"/>
    <s v="2025-09-25"/>
    <n v="1"/>
    <s v="CALI"/>
    <x v="3"/>
    <n v="37313"/>
    <n v="37313"/>
  </r>
  <r>
    <n v="70098"/>
    <s v="BARRIO LOS OCOBOS YOPAL"/>
    <n v="1121843416"/>
    <s v="3112935286"/>
    <s v="3112935286"/>
    <s v="3112935286"/>
    <s v="CL 40 1 61 MANZANA 9C CASA 1,LOS OCOBOS"/>
    <s v="5.3189523"/>
    <s v="-72.4109601"/>
    <s v="CASANARE"/>
    <s v="YOPAL"/>
    <s v="YOPAL"/>
    <n v="85001"/>
    <s v="2025-09-25"/>
    <n v="1"/>
    <s v="YOPAL"/>
    <x v="1"/>
    <n v="49671.7"/>
    <n v="49671.7"/>
  </r>
  <r>
    <n v="59685"/>
    <s v="BARRIO SAN ANTONIO NORTE DUITAMA"/>
    <n v="1052383639"/>
    <s v="3118607301"/>
    <s v="3118607301"/>
    <s v="3103273144"/>
    <s v="CR 2 NO.25-19,BARRIO SAN ANTONIO NORTE"/>
    <s v="5.840734"/>
    <s v="-73.021963"/>
    <s v="BOYACÁ"/>
    <s v="DUITAMA"/>
    <s v="DUITAMA"/>
    <n v="15238"/>
    <s v="2025-09-25"/>
    <n v="1"/>
    <s v="TUNJA"/>
    <x v="4"/>
    <n v="49671.7"/>
    <n v="49671.7"/>
  </r>
  <r>
    <n v="71032"/>
    <s v="BARRIO NUEVO MEXICO SINCELEJO"/>
    <n v="80214779"/>
    <s v="3160432266"/>
    <s v="3160432266"/>
    <s v="3160432266"/>
    <s v="CL 30 14 A 126,NUEVO MÉXICO"/>
    <s v="9.2923222"/>
    <s v="-75.3984157"/>
    <s v="SUCRE"/>
    <s v="SINCELEJO"/>
    <s v="SINCELEJO"/>
    <n v="70001"/>
    <s v="2025-09-25"/>
    <n v="1"/>
    <s v="SINCELEJO"/>
    <x v="5"/>
    <n v="49671.7"/>
    <n v="49671.7"/>
  </r>
  <r>
    <n v="71335"/>
    <s v="BARRIO SANTA CLARA  CUCUTA"/>
    <n v="60332939"/>
    <s v="3054428839"/>
    <s v="3054428839"/>
    <s v="3054428839"/>
    <s v="CL 1 6-64,SANTA CLARA"/>
    <s v="7.8960529"/>
    <s v="-72.4675309"/>
    <s v="NORTE DE SANTANDER"/>
    <s v="CÚCUTA"/>
    <s v="CÚCUTA"/>
    <n v="54001"/>
    <s v="2025-09-25"/>
    <n v="1"/>
    <s v="CUCUTA"/>
    <x v="4"/>
    <n v="49671.7"/>
    <n v="49671.7"/>
  </r>
  <r>
    <n v="71610"/>
    <s v="BARRIO CARLOS RAMIRES PARIS CUCUTA"/>
    <n v="88168442"/>
    <s v="3214225802"/>
    <s v="3214225802"/>
    <s v="3124995377"/>
    <s v="CL 7 NRO 4-19,CARLOS RAMIREZ PARIS"/>
    <s v="7.8940564"/>
    <s v="-72.5237609"/>
    <s v="NORTE DE SANTANDER"/>
    <s v="CÚCUTA"/>
    <s v="CÚCUTA"/>
    <n v="54001"/>
    <s v="2025-09-25"/>
    <n v="1"/>
    <s v="CUCUTA"/>
    <x v="4"/>
    <n v="49671.7"/>
    <n v="49671.7"/>
  </r>
  <r>
    <n v="71604"/>
    <s v="VILALVICENCIO EL RETIRO"/>
    <n v="1110457169"/>
    <s v="3112946000"/>
    <s v="3232108429"/>
    <s v="3232315235"/>
    <s v="CL 23 24 BIS 27 LC 1 (!) CONDOMINIO MARSELLA - MARSELLA,EL RETIRO"/>
    <s v="4.139439"/>
    <s v="-73.626176"/>
    <s v="META"/>
    <s v="VILLAVICENCIO"/>
    <s v="VILLAVICENCIO"/>
    <n v="50001"/>
    <s v="2025-09-25"/>
    <n v="1"/>
    <s v="VILLAVICENCIO"/>
    <x v="1"/>
    <n v="49671.7"/>
    <n v="49671.7"/>
  </r>
  <r>
    <n v="71710"/>
    <s v="SABANETA ANTIOQUIA"/>
    <n v="43421261"/>
    <s v="3104206996"/>
    <s v="3136637795"/>
    <s v="3053437122"/>
    <s v="CALLE 62 SUR 43 C 36,SABANETA"/>
    <s v="6.1547617"/>
    <s v="-75.6108376"/>
    <s v="ANTIOQUIA"/>
    <s v="SABANETA"/>
    <s v="SABANETA"/>
    <n v="5631"/>
    <s v="2025-09-25"/>
    <n v="1"/>
    <s v="MEDELLIN"/>
    <x v="0"/>
    <n v="37313"/>
    <n v="37313"/>
  </r>
  <r>
    <n v="68384"/>
    <s v="BARRIO BELEN CUCUTA 5"/>
    <n v="60325402"/>
    <s v="0"/>
    <s v="3124355725"/>
    <s v="3108597349"/>
    <s v="CL 29 26-29,BELEN"/>
    <s v="7.8724812"/>
    <s v="-72.5287514"/>
    <s v="NORTE DE SANTANDER"/>
    <s v="CÚCUTA"/>
    <s v="CÚCUTA"/>
    <n v="54001"/>
    <s v="2025-09-25"/>
    <n v="1"/>
    <s v="CUCUTA"/>
    <x v="4"/>
    <n v="49671.7"/>
    <n v="49671.7"/>
  </r>
  <r>
    <n v="68538"/>
    <s v="EL PRADO  7"/>
    <n v="1091660153"/>
    <s v="3182331042"/>
    <s v="3182331042"/>
    <s v="3182331042"/>
    <s v="CR 34 36 50 BARRIO EL PRADO,EL PRADO"/>
    <s v="7.1236285"/>
    <s v="-73.111557"/>
    <s v="SANTANDER"/>
    <s v="BUCARAMANGA"/>
    <s v="BUCARAMANGA"/>
    <n v="68001"/>
    <s v="2025-09-25"/>
    <n v="1"/>
    <s v="BUCARAMANGA"/>
    <x v="4"/>
    <n v="37313"/>
    <n v="37313"/>
  </r>
  <r>
    <n v="68652"/>
    <s v="BARRIO ROBLEDO MIRADOR DEL  VALLE  MEDELLIN"/>
    <n v="43422861"/>
    <s v="5704108"/>
    <s v="3113618022"/>
    <s v="3113618022"/>
    <s v="CALLE 63 A H CR 99 85,ROBLEDO–MIRADOR DEL VALLE"/>
    <s v="6.280016922511876"/>
    <s v="-75.61143574843462"/>
    <s v="ANTIOQUIA"/>
    <s v="MEDELLÍN"/>
    <s v="MEDELLÍN"/>
    <n v="5001"/>
    <s v="2025-09-25"/>
    <n v="1"/>
    <s v="MEDELLIN"/>
    <x v="0"/>
    <n v="37313"/>
    <n v="37313"/>
  </r>
  <r>
    <n v="68675"/>
    <s v="BARRIO VILLA MARIA SUBA  BOGOTA"/>
    <n v="1001295128"/>
    <s v="0"/>
    <s v="3227327841"/>
    <s v="3227327841"/>
    <s v="CL 129D 121C 21"/>
    <s v="4.7336867"/>
    <s v="-74.1065510"/>
    <s v="CUNDINAMARCA"/>
    <s v="BOGOTÁ"/>
    <s v="BOGOTÁ"/>
    <n v="11001"/>
    <s v="2025-09-25"/>
    <n v="1"/>
    <s v="BOGOTA"/>
    <x v="2"/>
    <n v="37313"/>
    <n v="37313"/>
  </r>
  <r>
    <n v="69281"/>
    <s v="LAURELES- LORENA"/>
    <n v="32298261"/>
    <s v="3053816871"/>
    <s v="3147018487"/>
    <s v="3147018487"/>
    <s v="CARRERA 81 # 43 72,LAURELES-LORENA"/>
    <s v="6.2502556"/>
    <s v="-75.6020049"/>
    <s v="ANTIOQUIA"/>
    <s v="MEDELLÍN"/>
    <s v="MEDELLÍN"/>
    <n v="5001"/>
    <s v="2025-09-25"/>
    <n v="2"/>
    <s v="MEDELLIN"/>
    <x v="0"/>
    <n v="37313"/>
    <n v="74626"/>
  </r>
  <r>
    <n v="69648"/>
    <s v="ARRIO SAN MARCOS BOGOTA 1"/>
    <n v="1006579732"/>
    <s v="3195610371"/>
    <s v="3016535892"/>
    <s v="3195610371"/>
    <s v="CL 66 # 77 A 25 LC 101,SAN MARCOS"/>
    <s v="4.6848553"/>
    <s v="-74.1049204 "/>
    <s v="CUNDINAMARCA"/>
    <s v="BOGOTÁ"/>
    <s v="BOGOTÁ"/>
    <n v="11001"/>
    <s v="2025-09-25"/>
    <n v="1"/>
    <s v="BOGOTA"/>
    <x v="2"/>
    <n v="37313"/>
    <n v="37313"/>
  </r>
  <r>
    <n v="69996"/>
    <s v="BARRIO EL PROGRESO SINCELEJO  3"/>
    <n v="1102890402"/>
    <s v="3003097496"/>
    <s v="3003097496"/>
    <s v="3003097496"/>
    <s v="CR 19 41 A 20,EL PROGRESO"/>
    <s v="9.2901554"/>
    <s v="-75.3864445"/>
    <s v="SUCRE"/>
    <s v="SINCELEJO"/>
    <s v="SINCELEJO"/>
    <n v="70001"/>
    <s v="2025-09-25"/>
    <n v="2"/>
    <s v="SINCELEJO"/>
    <x v="5"/>
    <n v="49671.7"/>
    <n v="99343.4"/>
  </r>
  <r>
    <n v="40135"/>
    <s v="BARRIO PRADITO MEDELLIN 1"/>
    <n v="21833388"/>
    <m/>
    <s v="3052256049"/>
    <s v="3052256049"/>
    <s v="CR 70A # 56A SUR - 15"/>
    <s v="6.173452"/>
    <s v="-75.650163"/>
    <s v="ANTIOQUIA"/>
    <s v="MEDELLÍN"/>
    <s v="MEDELLÍN"/>
    <n v="5001"/>
    <s v="2025-09-25"/>
    <n v="1"/>
    <s v="MEDELLIN"/>
    <x v="0"/>
    <n v="37313"/>
    <n v="37313"/>
  </r>
  <r>
    <n v="40163"/>
    <s v="BARRIO CASCO ANTIGUO FLORIDABLANCA "/>
    <n v="91156058"/>
    <s v="6488271"/>
    <s v="3178175513"/>
    <s v="3228726694"/>
    <s v="CR 8 8 77,CASCO ANTIGUO"/>
    <s v="7.0599820"/>
    <s v="-73.0852124"/>
    <s v="SANTANDER"/>
    <s v="FLORIDABLANCA"/>
    <s v="FLORIDABLANCA"/>
    <n v="68276"/>
    <s v="2025-09-25"/>
    <n v="1"/>
    <s v="BUCARAMANGA"/>
    <x v="4"/>
    <n v="37313"/>
    <n v="37313"/>
  </r>
  <r>
    <n v="40176"/>
    <s v="BARRIO LA CABAÑA FLORIDA 1"/>
    <n v="66881251"/>
    <s v="2644556"/>
    <s v="3146231595"/>
    <s v="3175491689"/>
    <s v="CR 13 7 21,LA CABAÑA"/>
    <s v="3.3211563"/>
    <s v="-76.231676"/>
    <s v="VALLE DEL CAUCA"/>
    <s v="FLORIDA"/>
    <s v="FLORIDA"/>
    <n v="76275"/>
    <s v="2025-09-25"/>
    <n v="1"/>
    <s v="CALI"/>
    <x v="3"/>
    <n v="37313"/>
    <n v="37313"/>
  </r>
  <r>
    <n v="42518"/>
    <s v="BARRIO VILLA VIANEY PAIPA"/>
    <n v="74360504"/>
    <s v="3223123486"/>
    <s v="3223788434"/>
    <s v="3187155409"/>
    <s v="CR 26 27 A 02,VILLA VIANEY"/>
    <s v="5.7847014"/>
    <s v="-73.1153107"/>
    <s v="BOYACÁ"/>
    <s v="PAIPA"/>
    <s v="PAIPA"/>
    <n v="15516"/>
    <s v="2025-09-25"/>
    <n v="1"/>
    <s v="TUNJA"/>
    <x v="4"/>
    <n v="49671.7"/>
    <n v="49671.7"/>
  </r>
  <r>
    <n v="47420"/>
    <s v="BARRIO RESTREPO BOGOTA  9"/>
    <n v="52523682"/>
    <s v="1"/>
    <s v="3162382538"/>
    <s v="3162382538"/>
    <s v="CL 19 B 16 80 SUR ,RESTREPO"/>
    <s v="4.583323"/>
    <s v="-74.102081"/>
    <s v="CUNDINAMARCA"/>
    <s v="BOGOTÁ"/>
    <s v="BOGOTÁ"/>
    <n v="11001"/>
    <s v="2025-09-25"/>
    <n v="1"/>
    <s v="BOGOTA"/>
    <x v="2"/>
    <n v="37313"/>
    <n v="37313"/>
  </r>
  <r>
    <n v="49945"/>
    <s v="BARRIO TORICES CARTAGENA DE INDIAS 1"/>
    <n v="9099460"/>
    <s v="0"/>
    <s v="3223069770"/>
    <s v="3003332528"/>
    <s v="CR 14 42 92,TORICES"/>
    <s v="10.43165416"/>
    <s v="-75.5357600"/>
    <s v="BOLÍVAR"/>
    <s v="CARTAGENA DE INDIAS"/>
    <s v="CARTAGENA DE INDIAS"/>
    <n v="13001"/>
    <s v="2025-09-25"/>
    <n v="1"/>
    <s v="CARTAGENA"/>
    <x v="5"/>
    <n v="49671.7"/>
    <n v="49671.7"/>
  </r>
  <r>
    <n v="49987"/>
    <s v="BARRIO BOSQUES DE MARIANA BOGOTA 2"/>
    <n v="1015405623"/>
    <s v="2270223"/>
    <s v="3013763843"/>
    <s v="3013763843"/>
    <s v="CR 108 NO. 70 C - 90,BOSQUES DE MARIANA"/>
    <s v="4.7077669"/>
    <s v="-74.1251423"/>
    <s v="CUNDINAMARCA"/>
    <s v="BOGOTÁ"/>
    <s v="BOGOTÁ"/>
    <n v="11001"/>
    <s v="2025-09-25"/>
    <n v="1"/>
    <s v="BOGOTA"/>
    <x v="2"/>
    <n v="37313"/>
    <n v="37313"/>
  </r>
  <r>
    <n v="66457"/>
    <s v="BARRIO CENTRO YOPAL 6"/>
    <n v="39546006"/>
    <s v="0"/>
    <s v="3124479351"/>
    <s v="3112850059"/>
    <s v=" MARGINAL 4 16  CHAPARRERA"/>
    <s v="5.495948"/>
    <s v="-72.226820"/>
    <s v="CASANARE"/>
    <s v="YOPAL"/>
    <s v="YOPAL"/>
    <n v="85001"/>
    <s v="2025-09-25"/>
    <n v="1"/>
    <s v="YOPAL"/>
    <x v="1"/>
    <n v="49671.7"/>
    <n v="49671.7"/>
  </r>
  <r>
    <n v="65732"/>
    <s v="BARRIO PALMITAS COMUNA 50 MEDELLIN"/>
    <n v="8473345"/>
    <s v="0"/>
    <s v="3136584015"/>
    <s v="3136584015"/>
    <s v="CR 219 134 81 - CGT PALMITAS"/>
    <s v="6.3428196"/>
    <s v="-75.7038732"/>
    <s v="ANTIOQUIA"/>
    <s v="MEDELLÍN"/>
    <s v="MEDELLÍN"/>
    <n v="5001"/>
    <s v="2025-09-25"/>
    <n v="1"/>
    <s v="MEDELLIN"/>
    <x v="0"/>
    <n v="37313"/>
    <n v="37313"/>
  </r>
  <r>
    <n v="66088"/>
    <s v="BARRIO CIUDAD EQUIDAD SANTA MARTA 2"/>
    <n v="1082991065"/>
    <s v="0"/>
    <s v="3128225446"/>
    <s v="3043765553"/>
    <s v="MZ 4 LC 3,CIUDAD EQUIDAD"/>
    <s v="11.2058316"/>
    <s v="-74.1665715"/>
    <s v="MAGDALENA"/>
    <s v="SANTA MARTA"/>
    <s v="SANTA MARTA"/>
    <n v="47001"/>
    <s v="2025-09-25"/>
    <n v="1"/>
    <s v="SANTA MARTA"/>
    <x v="5"/>
    <n v="49671.7"/>
    <n v="49671.7"/>
  </r>
  <r>
    <n v="66102"/>
    <s v="BARRIO LAS FERIAS AGUAZUL"/>
    <n v="1116544931"/>
    <s v="0"/>
    <s v="3144891700"/>
    <s v="3144891700"/>
    <s v="CR 12 10 49 LAS FERIAS"/>
    <s v="5.5191413"/>
    <s v="-72.2104465"/>
    <s v="CASANARE"/>
    <s v="AGUAZUL"/>
    <s v="AGUAZUL"/>
    <n v="85010"/>
    <s v="2025-09-25"/>
    <n v="1"/>
    <s v="YOPAL"/>
    <x v="1"/>
    <n v="49671.7"/>
    <n v="49671.7"/>
  </r>
  <r>
    <n v="66220"/>
    <s v="BARRIO ESMERALDA UNO CARTAGENA DE INIDAS"/>
    <n v="1137219330"/>
    <s v="3004558544"/>
    <s v="3003156201"/>
    <s v="3003156201"/>
    <s v="CR 79 D MZ B LOTE 13,ESMERALDA UNO"/>
    <s v="10.3691783"/>
    <s v="-75.4836325"/>
    <s v="BOLÍVAR"/>
    <s v="CARTAGENA DE INDIAS"/>
    <s v="CARTAGENA DE INDIAS"/>
    <n v="13001"/>
    <s v="2025-09-25"/>
    <n v="1"/>
    <s v="CARTAGENA"/>
    <x v="5"/>
    <n v="49671.7"/>
    <n v="49671.7"/>
  </r>
  <r>
    <n v="66823"/>
    <s v="BARRIO EL PROGRESO PEREIRA"/>
    <n v="42083312"/>
    <s v="3113031129"/>
    <s v="3113031129"/>
    <s v="3113031129"/>
    <s v="CR 2 29 - 162 ESQUINA BRR EL PROGRESO"/>
    <s v="4.820075"/>
    <s v="-75.703665"/>
    <s v="RISARALDA"/>
    <s v="PEREIRA"/>
    <s v="PEREIRA"/>
    <n v="66001"/>
    <s v="2025-09-25"/>
    <n v="1"/>
    <s v="PEREIRA"/>
    <x v="6"/>
    <n v="37313"/>
    <n v="37313"/>
  </r>
  <r>
    <n v="67031"/>
    <s v="BARRIO BONANZA MONTERIA"/>
    <n v="42651980"/>
    <s v="3006761388"/>
    <s v="3006761388"/>
    <s v="3006761388"/>
    <s v="CL 29 40 04,BONANZA"/>
    <s v="8.740539"/>
    <s v="-75.859154"/>
    <s v="CÓRDOBA"/>
    <s v="MONTERÍA"/>
    <s v="MONTERÍA"/>
    <n v="23001"/>
    <s v="2025-09-25"/>
    <n v="1"/>
    <s v="MONTERIA"/>
    <x v="5"/>
    <n v="37313"/>
    <n v="37313"/>
  </r>
  <r>
    <n v="62940"/>
    <s v="BARRIO LOS COLORES MEDELLIN 9"/>
    <n v="1128483682"/>
    <s v="5099811"/>
    <s v="3152054805"/>
    <s v="3152054805"/>
    <s v="CL 53 78 55"/>
    <s v="6.2658903"/>
    <s v="-75.5933841"/>
    <s v="ANTIOQUIA"/>
    <s v="MEDELLÍN"/>
    <s v="MEDELLÍN"/>
    <n v="5001"/>
    <s v="2025-09-25"/>
    <n v="1"/>
    <s v="MEDELLIN"/>
    <x v="0"/>
    <n v="37313"/>
    <n v="37313"/>
  </r>
  <r>
    <n v="63048"/>
    <s v="BARRIO CORABASTOS BOGOTA 5"/>
    <n v="1010223433"/>
    <s v="3183776049"/>
    <s v="3143121495"/>
    <s v="3125229296"/>
    <s v="AVENIDA CARRERA 80 2-51 EDIFICIO A LOCAL 1 CORABASTOS,CORABASTOS"/>
    <s v="4.6313018"/>
    <s v="-74.1560056"/>
    <s v="CUNDINAMARCA"/>
    <s v="BOGOTÁ"/>
    <s v="BOGOTÁ"/>
    <n v="11001"/>
    <s v="2025-09-25"/>
    <n v="1"/>
    <s v="BOGOTA"/>
    <x v="2"/>
    <n v="37313"/>
    <n v="37313"/>
  </r>
  <r>
    <n v="63912"/>
    <s v="BARRIO LA VAINILLA VILLAVICENCIO"/>
    <n v="1121838802"/>
    <s v="3105790271"/>
    <s v="3105790271"/>
    <s v="3105790271"/>
    <s v="CL 35 N 20 C 03 LC 1 LA VAINILLA - VAINILLA,LA VAINILLA"/>
    <s v="4.1520239"/>
    <s v="-73.6577222"/>
    <s v="META"/>
    <s v="VILLAVICENCIO"/>
    <s v="VILLAVICENCIO"/>
    <n v="50001"/>
    <s v="2025-09-25"/>
    <n v="1"/>
    <s v="VILLAVICENCIO"/>
    <x v="1"/>
    <n v="49671.7"/>
    <n v="49671.7"/>
  </r>
  <r>
    <n v="64176"/>
    <s v="BARRIO GAITAN PARTE ALTA IBAGUE 4"/>
    <n v="65758136"/>
    <s v="2669613"/>
    <s v="3176442938"/>
    <s v="3176442938"/>
    <s v="AV 37 # 8-14,GAITÁN PARTE ALTA"/>
    <s v="4.4418582"/>
    <s v="-75.2160881"/>
    <s v="TOLIMA"/>
    <s v="IBAGUÉ"/>
    <s v="IBAGUÉ"/>
    <n v="73001"/>
    <s v="2025-09-25"/>
    <n v="1"/>
    <s v="IBAGUE"/>
    <x v="1"/>
    <n v="49671.7"/>
    <n v="49671.7"/>
  </r>
  <r>
    <n v="64471"/>
    <s v="BARRIO VERSALLES FLORIDABLANCA "/>
    <n v="37843746"/>
    <s v="3153605564"/>
    <s v="3134143150"/>
    <s v="3185708651"/>
    <s v="TV 198 16 295 LOCAL 2,VERSALLES"/>
    <s v="7.0625639"/>
    <s v="-73.0978245"/>
    <s v="SANTANDER"/>
    <s v="FLORIDABLANCA"/>
    <s v="FLORIDABLANCA"/>
    <n v="68276"/>
    <s v="2025-09-25"/>
    <n v="1"/>
    <s v="BUCARAMANGA"/>
    <x v="4"/>
    <n v="37313"/>
    <n v="37313"/>
  </r>
  <r>
    <n v="64412"/>
    <s v="BARRIO QUINCE DE MAYO TUNJA"/>
    <n v="1049609918"/>
    <s v="3203934518"/>
    <s v="3167726079"/>
    <s v="3203934518"/>
    <s v="CR 4 43 22,QUINCE DE MAYO"/>
    <s v="5.5512046"/>
    <s v="-73.3503203"/>
    <s v="BOYACÁ"/>
    <s v="TUNJA"/>
    <s v="TUNJA"/>
    <n v="15001"/>
    <s v="2025-09-25"/>
    <n v="1"/>
    <s v="TUNJA"/>
    <x v="4"/>
    <n v="49671.7"/>
    <n v="49671.7"/>
  </r>
  <r>
    <n v="65068"/>
    <s v="BARRIO PARQUE INDUSTRIAL PEREIRA 5"/>
    <n v="42096029"/>
    <s v="0"/>
    <s v="3136569603"/>
    <s v="3136569603"/>
    <s v="MZ 12 CA 10 CIUDAD BOQUIA PAR INDUSTRIAL"/>
    <s v="4.8233375"/>
    <s v="-75.7310797"/>
    <s v="RISARALDA"/>
    <s v="PEREIRA"/>
    <s v="PEREIRA"/>
    <n v="66001"/>
    <s v="2025-09-25"/>
    <n v="1"/>
    <s v="PEREIRA"/>
    <x v="6"/>
    <n v="37313"/>
    <n v="37313"/>
  </r>
  <r>
    <n v="62770"/>
    <s v="BARRIO CASCO ANTIGUO FLORIDABLANCA 5"/>
    <n v="63450527"/>
    <s v="3013292188"/>
    <s v="3118265813"/>
    <s v="3118265813"/>
    <s v="CL 7 11 A 12,CASCO ANTIGUO"/>
    <s v="7.0624340"/>
    <s v="-73.0831450"/>
    <s v="SANTANDER"/>
    <s v="FLORIDABLANCA"/>
    <s v="FLORIDABLANCA"/>
    <n v="68276"/>
    <s v="2025-09-25"/>
    <n v="1"/>
    <s v="BUCARAMANGA"/>
    <x v="4"/>
    <n v="37313"/>
    <n v="37313"/>
  </r>
  <r>
    <n v="71303"/>
    <s v="BARRIO SAN ANTONIO  TUNJA"/>
    <n v="40030095"/>
    <s v="3124477594"/>
    <s v="3124477594"/>
    <s v="3124477594"/>
    <s v="CL 8 CON CARRERA 4 8 05,SAN ANTONIO"/>
    <s v="5.5201075"/>
    <s v="-73.3594704"/>
    <s v="BOYACÁ"/>
    <s v="TUNJA"/>
    <s v="TUNJA"/>
    <n v="15001"/>
    <s v="2025-09-25"/>
    <n v="1"/>
    <s v="TUNJA"/>
    <x v="4"/>
    <n v="49671.7"/>
    <n v="49671.7"/>
  </r>
  <r>
    <n v="71324"/>
    <s v="BARRIO JORDAN VILLAVICENCIO 11"/>
    <n v="901722161"/>
    <s v="3118082920"/>
    <s v="3209699141"/>
    <s v="3209699141"/>
    <s v="CL 37 A 20 26 - JORDAN,JORDAN"/>
    <s v="4.150515"/>
    <s v="-73.621317"/>
    <s v="META"/>
    <s v="VILLAVICENCIO"/>
    <s v="VILLAVICENCIO"/>
    <n v="50001"/>
    <s v="2025-09-25"/>
    <n v="1"/>
    <s v="VILLAVICENCIO"/>
    <x v="1"/>
    <n v="49671.7"/>
    <n v="49671.7"/>
  </r>
  <r>
    <n v="71681"/>
    <s v="GIRÓN GIRON "/>
    <n v="1098738011"/>
    <s v="3164219730"/>
    <s v="3164096692"/>
    <s v="3164219730"/>
    <s v="CL 19 A 29 11,GIRON"/>
    <s v="7.061357"/>
    <s v="-73.172207"/>
    <s v="SANTANDER"/>
    <s v="GIRÓN"/>
    <s v="GIRÓN"/>
    <n v="68307"/>
    <s v="2025-09-25"/>
    <n v="1"/>
    <s v="BUCARAMANGA"/>
    <x v="4"/>
    <n v="37313"/>
    <n v="37313"/>
  </r>
  <r>
    <n v="67255"/>
    <s v="BARRIO MANRIQUE MEDELLIN 23"/>
    <n v="1128426303"/>
    <s v="0"/>
    <s v="3148612074"/>
    <s v="3148612074"/>
    <s v="CR 32 71 B 51 IN 201,MANRIQUE"/>
    <s v="6.2674848"/>
    <s v="-75.5442916"/>
    <s v="ANTIOQUIA"/>
    <s v="MEDELLÍN"/>
    <s v="MEDELLÍN"/>
    <n v="5001"/>
    <s v="2025-09-25"/>
    <n v="2"/>
    <s v="MEDELLIN"/>
    <x v="0"/>
    <n v="37313"/>
    <n v="74626"/>
  </r>
  <r>
    <n v="63742"/>
    <s v="BARRIO BOSTON BARRANQUILLA 9"/>
    <n v="901511320"/>
    <s v="3014058369"/>
    <s v="3014058369"/>
    <s v="3005988780"/>
    <s v="CR 47 60 1"/>
    <s v="10.99160"/>
    <s v="-74.79553"/>
    <s v="ATLÁNTICO"/>
    <s v="BARRANQUILLA"/>
    <s v="BARRANQUILLA"/>
    <n v="8001"/>
    <s v="2025-09-25"/>
    <n v="1"/>
    <s v="BARRANQUILLA"/>
    <x v="5"/>
    <n v="37313"/>
    <n v="37313"/>
  </r>
  <r>
    <n v="70918"/>
    <s v="BARRIO MARIA DE LOS ANGELES SOLEDAD"/>
    <n v="1143426935"/>
    <s v="3013789134"/>
    <s v="3013789134"/>
    <s v="3013789134"/>
    <s v="CR 13 A 69 46,MARÍA DE LOS ANGELES"/>
    <s v="10.906854"/>
    <s v="-74.807994"/>
    <s v="ATLÁNTICO"/>
    <s v="SOLEDAD"/>
    <s v="SOLEDAD"/>
    <n v="8758"/>
    <s v="2025-09-25"/>
    <n v="1"/>
    <s v="BARRANQUILLA"/>
    <x v="5"/>
    <n v="37313"/>
    <n v="37313"/>
  </r>
  <r>
    <n v="71143"/>
    <s v="BUCARAMANGA CABECERA 1"/>
    <n v="1067710842"/>
    <s v="3164809189"/>
    <s v="3164809189"/>
    <s v="3164809189"/>
    <s v="CR 34 48 136 LOCAL 4,CABECERA"/>
    <s v="7.1154409"/>
    <s v="-73.1103134"/>
    <s v="SANTANDER"/>
    <s v="BUCARAMANGA"/>
    <s v="BUCARAMANGA"/>
    <n v="68001"/>
    <s v="2025-09-25"/>
    <n v="1"/>
    <s v="BUCARAMANGA"/>
    <x v="4"/>
    <n v="37313"/>
    <n v="37313"/>
  </r>
  <r>
    <n v="71340"/>
    <s v="VILLAS DE SANTIAGO"/>
    <n v="1094859086"/>
    <s v="3125810128"/>
    <s v="3125810128"/>
    <s v="3125810128"/>
    <s v="MZ B LT 12  - VILLAS DE SANTIAGO"/>
    <s v="7.8680069"/>
    <s v="-72.7152479"/>
    <s v="NORTE DE SANTANDER"/>
    <s v="SANTIAGO"/>
    <s v="SANTIAGO"/>
    <n v="54680"/>
    <s v="2025-09-25"/>
    <n v="1"/>
    <s v="CUCUTA"/>
    <x v="4"/>
    <n v="49671.7"/>
    <n v="49671.7"/>
  </r>
  <r>
    <n v="71835"/>
    <s v="PEREIRA COMBIA"/>
    <n v="4518354"/>
    <s v="3114369695"/>
    <s v="3114369695"/>
    <s v="3234877473"/>
    <s v="KM 5 LC 7 MALL DE COMBIA"/>
    <s v="4.8381336"/>
    <s v="-75.7687603"/>
    <s v="RISARALDA"/>
    <s v="PEREIRA"/>
    <s v="PEREIRA"/>
    <n v="66001"/>
    <s v="2025-09-25"/>
    <n v="1"/>
    <s v="PEREIRA"/>
    <x v="6"/>
    <n v="37313"/>
    <n v="37313"/>
  </r>
  <r>
    <n v="60139"/>
    <s v="BARRIO TILODIRAN YOPAL 1"/>
    <n v="9432261"/>
    <s v="0"/>
    <s v="3123608139"/>
    <s v="3123608139"/>
    <s v=" CORREGIMIENTO TILODIRAN,TILODIRAN"/>
    <s v="5.07565726"/>
    <s v="-72.11487608"/>
    <s v="CASANARE"/>
    <s v="YOPAL"/>
    <s v="YOPAL"/>
    <n v="85001"/>
    <s v="2025-09-25"/>
    <n v="1"/>
    <s v="YOPAL"/>
    <x v="1"/>
    <n v="49671.7"/>
    <n v="49671.7"/>
  </r>
  <r>
    <n v="60075"/>
    <s v="BARRIO ROBINSON PITALUA MONTERIA 2"/>
    <n v="6888369"/>
    <s v="3022294696"/>
    <s v="3005866034"/>
    <s v="3162984686"/>
    <s v="CL 3 D 24 79,ROBINSON PITALUA"/>
    <s v="8.726357"/>
    <s v="-75.880657"/>
    <s v="CÓRDOBA"/>
    <s v="MONTERÍA"/>
    <s v="MONTERÍA"/>
    <n v="23001"/>
    <s v="2025-09-25"/>
    <n v="1"/>
    <s v="MONTERIA"/>
    <x v="5"/>
    <n v="37313"/>
    <n v="37313"/>
  </r>
  <r>
    <n v="68148"/>
    <s v="SAN FRANCISCO COPACABANA 1"/>
    <n v="1035426317"/>
    <s v="6043586345"/>
    <s v="3104396019"/>
    <s v="3104396019"/>
    <s v="CALLE 49 47 16,SAN FRANCISCO"/>
    <s v="6.3468077"/>
    <s v="-75.5058041"/>
    <s v="ANTIOQUIA"/>
    <s v="COPACABANA"/>
    <s v="COPACABANA"/>
    <n v="5212"/>
    <s v="2025-09-25"/>
    <n v="1"/>
    <s v="MEDELLIN"/>
    <x v="0"/>
    <n v="37313"/>
    <n v="37313"/>
  </r>
  <r>
    <n v="69022"/>
    <s v="BARRIO GALERIA MANIZALES 1"/>
    <n v="75090810"/>
    <m/>
    <s v="3044313606"/>
    <s v="3044313606"/>
    <s v="CR 16 23 25 - CENTRO,GALERIA"/>
    <s v="5.0722532"/>
    <s v="-75.5170751"/>
    <s v="CALDAS"/>
    <s v="MANIZALES"/>
    <s v="MANIZALES"/>
    <n v="17001"/>
    <s v="2025-09-25"/>
    <n v="1"/>
    <s v="MANIZALES"/>
    <x v="6"/>
    <n v="49671.7"/>
    <n v="49671.7"/>
  </r>
  <r>
    <n v="69754"/>
    <s v="BARRIO GIRON GIRON  12"/>
    <n v="900177565"/>
    <s v="3157662142"/>
    <s v="0"/>
    <s v="3156480483"/>
    <s v="CR 2 2 LOTE 15,GIRON"/>
    <s v="7.0934337"/>
    <s v="-73.1692876"/>
    <s v="SANTANDER"/>
    <s v="GIRÓN"/>
    <s v="GIRÓN"/>
    <n v="68307"/>
    <s v="2025-09-25"/>
    <n v="1"/>
    <s v="BUCARAMANGA"/>
    <x v="4"/>
    <n v="37313"/>
    <n v="37313"/>
  </r>
  <r>
    <n v="65327"/>
    <s v="BARRIO VILLA FLOR YOPAL"/>
    <n v="20951855"/>
    <s v="0"/>
    <s v="3142232921"/>
    <s v="3143886705"/>
    <s v="CL 57 A 3 OESTE 03"/>
    <s v="5.305225"/>
    <s v="-72.415423"/>
    <s v="CASANARE"/>
    <s v="YOPAL"/>
    <s v="YOPAL"/>
    <n v="85001"/>
    <s v="2025-09-25"/>
    <n v="1"/>
    <s v="YOPAL"/>
    <x v="1"/>
    <n v="49671.7"/>
    <n v="49671.7"/>
  </r>
  <r>
    <n v="65321"/>
    <s v="BARRIO URBANIZACION VILLA DEL NORTE IBAGUE"/>
    <n v="1111198355"/>
    <s v="0"/>
    <s v="3132180744"/>
    <s v="3132180744"/>
    <s v="CR 6 # 97 A - 06 MZ C CASA 9,URBANIZACION VILLA DEL NORTE"/>
    <s v="4.444676"/>
    <s v="-75.242438"/>
    <s v="TOLIMA"/>
    <s v="IBAGUÉ"/>
    <s v="IBAGUÉ"/>
    <n v="73001"/>
    <s v="2025-09-25"/>
    <n v="1"/>
    <s v="IBAGUE"/>
    <x v="1"/>
    <n v="49671.7"/>
    <n v="49671.7"/>
  </r>
  <r>
    <n v="65354"/>
    <s v="BARRIO CENTRO MEDELLIN 94"/>
    <n v="75048148"/>
    <s v="5038975"/>
    <s v="3122595095"/>
    <s v="3122595095"/>
    <s v="CL 50 # 35- 46"/>
    <s v="6.24369907"/>
    <s v="-75.5564498900"/>
    <s v="ANTIOQUIA"/>
    <s v="MEDELLÍN"/>
    <s v="MEDELLÍN"/>
    <n v="5001"/>
    <s v="2025-09-25"/>
    <n v="1"/>
    <s v="MEDELLIN"/>
    <x v="0"/>
    <n v="37313"/>
    <n v="37313"/>
  </r>
  <r>
    <n v="73742"/>
    <s v="BARRIO MONTEBLANCO BOGOTA"/>
    <n v="52533721"/>
    <s v="6013880499"/>
    <s v="3132194054"/>
    <s v="3132194054"/>
    <s v="CR 14 B BIS 95 A 17 SUR,MONTEBLANCO"/>
    <s v="4.5027828"/>
    <s v="-74.1181761"/>
    <s v="CUNDINAMARCA"/>
    <s v="BOGOTÁ"/>
    <s v="BOGOTÁ"/>
    <n v="11001"/>
    <s v="2025-09-25"/>
    <n v="1"/>
    <s v="BOGOTA"/>
    <x v="2"/>
    <n v="37313"/>
    <n v="37313"/>
  </r>
  <r>
    <n v="73786"/>
    <s v="BARRIO NUEVA FLORIDA MEDELLIN"/>
    <n v="8029690"/>
    <s v="3013408217"/>
    <s v="3122425773"/>
    <s v="3113943765"/>
    <s v="CARRERA 72 44 62,NUEVA FLORIDA"/>
    <s v="6.2501803"/>
    <s v="-75.5910036"/>
    <s v="ANTIOQUIA"/>
    <s v="MEDELLÍN"/>
    <s v="MEDELLÍN"/>
    <n v="5001"/>
    <s v="2025-09-25"/>
    <n v="1"/>
    <s v="MEDELLIN"/>
    <x v="0"/>
    <n v="37313"/>
    <n v="37313"/>
  </r>
  <r>
    <n v="70243"/>
    <s v="BARRIO SAN FERNANDO DUITAMA  1"/>
    <n v="1052313446"/>
    <s v="3136765704"/>
    <s v="3136765704"/>
    <s v="3209304577"/>
    <s v="CL 1 23 A -32,SAN FERNANDO"/>
    <s v="5.8160907"/>
    <s v="-73.0395931"/>
    <s v="BOYACÁ"/>
    <s v="DUITAMA"/>
    <s v="DUITAMA"/>
    <n v="15238"/>
    <s v="2025-09-25"/>
    <n v="1"/>
    <s v="TUNJA"/>
    <x v="4"/>
    <n v="49671.7"/>
    <n v="49671.7"/>
  </r>
  <r>
    <n v="70508"/>
    <s v="BARRIO MIJITAYO PASTO"/>
    <n v="59314318"/>
    <s v="3015701972"/>
    <s v="3015701972"/>
    <s v="3015701972"/>
    <s v="CR  2    17-98  BRR Lorenzo"/>
    <s v="1.1980978"/>
    <s v="-77.2659118"/>
    <s v="NARIÑO"/>
    <s v="PASTO"/>
    <s v="SAN JUAN DE PASTO"/>
    <n v="52001"/>
    <s v="2025-09-25"/>
    <n v="1"/>
    <s v="PASTO"/>
    <x v="3"/>
    <n v="49671.7"/>
    <n v="49671.7"/>
  </r>
  <r>
    <n v="70699"/>
    <s v="PATIO BONITO BOGOTA CUNDINAMARCA"/>
    <n v="1233497592"/>
    <s v="3202671611"/>
    <s v="3202671611"/>
    <s v="3202671611"/>
    <s v="CR 90 A 38 B 21 SUR.PATIO BONITO"/>
    <s v="4.6412086"/>
    <s v="-74.1690644"/>
    <s v="CUNDINAMARCA"/>
    <s v="BOGOTÁ"/>
    <s v="BOGOTÁ"/>
    <n v="11001"/>
    <s v="2025-09-25"/>
    <n v="1"/>
    <s v="BOGOTA"/>
    <x v="2"/>
    <n v="37313"/>
    <n v="37313"/>
  </r>
  <r>
    <n v="70770"/>
    <s v="BARRIO LA PAZ FLORIDABLANCA"/>
    <n v="28224936"/>
    <s v="3184147761"/>
    <s v="3184147761"/>
    <s v="3184147761"/>
    <s v="CR 20 201 A 10,LA PAZ"/>
    <s v="7.0602960"/>
    <s v="-73.0965690"/>
    <s v="SANTANDER"/>
    <s v="FLORIDABLANCA"/>
    <s v="FLORIDABLANCA"/>
    <n v="68276"/>
    <s v="2025-09-25"/>
    <n v="1"/>
    <s v="BUCARAMANGA"/>
    <x v="4"/>
    <n v="37313"/>
    <n v="37313"/>
  </r>
  <r>
    <n v="78070"/>
    <s v="BARRIO SAN GERARDO BUCARAMANGA 2"/>
    <n v="1100963951"/>
    <s v="3187726462"/>
    <s v="3187726462"/>
    <s v="3187726462"/>
    <s v="CL 63 15 B 126 SAN GERARDO,SAN GERARDO"/>
    <s v="7.103860"/>
    <s v="-73.119095"/>
    <s v="SANTANDER"/>
    <s v="BUCARAMANGA"/>
    <s v="BUCARAMANGA"/>
    <n v="68001"/>
    <s v="2025-09-25"/>
    <n v="1"/>
    <s v="BUCARAMANGA"/>
    <x v="4"/>
    <n v="37313"/>
    <n v="37313"/>
  </r>
  <r>
    <n v="78069"/>
    <s v="BARRIO GARCES BOGOTA 1"/>
    <n v="1098604183"/>
    <s v="3173316376"/>
    <s v="3173316376"/>
    <s v="3177287104"/>
    <s v="CL 75 C 105 06,GARCES NAVAS"/>
    <s v="4.7091201"/>
    <s v="-74.1180604"/>
    <s v="CUNDINAMARCA"/>
    <s v="BOGOTÁ"/>
    <s v="BOGOTÁ"/>
    <n v="11001"/>
    <s v="2025-09-25"/>
    <n v="1"/>
    <s v="BOGOTA"/>
    <x v="2"/>
    <n v="37313"/>
    <n v="37313"/>
  </r>
  <r>
    <n v="71888"/>
    <s v="MONTERIA MANDALA"/>
    <n v="1067886014"/>
    <s v="3106050900"/>
    <s v="3106050900"/>
    <s v="3106050900"/>
    <s v="MZ F LT 10,MANDALA"/>
    <s v="8.7336089"/>
    <s v="-75.8619807"/>
    <s v="CÓRDOBA"/>
    <s v="MONTERÍA"/>
    <s v="MONTERÍA"/>
    <n v="23001"/>
    <s v="2025-09-25"/>
    <n v="1"/>
    <s v="MONTERIA"/>
    <x v="5"/>
    <n v="37313"/>
    <n v="37313"/>
  </r>
  <r>
    <n v="72046"/>
    <s v="VILLAVICENCIO TRECE DE MAYO"/>
    <n v="5602580"/>
    <s v="3156127088"/>
    <s v="3102148717"/>
    <s v="3223762955"/>
    <s v="MZ 29 CA 1 BRR TRECE DE MAYO - RELIQUIA,TRECE DE MAYO"/>
    <s v="4.1223718"/>
    <s v="-73.5401482"/>
    <s v="META"/>
    <s v="VILLAVICENCIO"/>
    <s v="VILLAVICENCIO"/>
    <n v="50001"/>
    <s v="2025-09-25"/>
    <n v="1"/>
    <s v="VILLAVICENCIO"/>
    <x v="1"/>
    <n v="49671.7"/>
    <n v="49671.7"/>
  </r>
  <r>
    <n v="72137"/>
    <s v="CAQUETA BELEN DE LOS ANDAQUIES"/>
    <n v="17684054"/>
    <s v="3132841808"/>
    <s v="3132841808"/>
    <s v="3132841808"/>
    <s v="CL 4 5 05,CAJA AGRARIA"/>
    <s v="1.416471"/>
    <s v="-75.871906"/>
    <s v="CAQUETÁ"/>
    <s v="BELÉN DE LOS ANDAQUÍES"/>
    <s v="BELÉN DE LOS ANDAQUÍES"/>
    <n v="18094"/>
    <s v="2025-09-25"/>
    <n v="1"/>
    <s v="NEIVA"/>
    <x v="1"/>
    <n v="49671.7"/>
    <n v="49671.7"/>
  </r>
  <r>
    <n v="72285"/>
    <s v="ALTOS DE POMPEYA VILLAVICENCIO "/>
    <n v="1121872387"/>
    <s v="3209430595"/>
    <s v="3132290367"/>
    <s v="3116820119"/>
    <s v="VRD KM 26 VIA PUERTO LOPEZ ALTOS DE POMPEYA,ALTOS DE POMPEYA"/>
    <s v="4.0638796"/>
    <s v="-73.3980287"/>
    <s v="META"/>
    <s v="VILLAVICENCIO"/>
    <s v="VILLAVICENCIO"/>
    <n v="50001"/>
    <s v="2025-09-25"/>
    <n v="1"/>
    <s v="VILLAVICENCIO"/>
    <x v="1"/>
    <n v="49671.7"/>
    <n v="49671.7"/>
  </r>
  <r>
    <n v="63343"/>
    <s v="BARRIO LAURELES MEDELLIN 13"/>
    <n v="1039454875"/>
    <s v="4953793"/>
    <s v="3197037193"/>
    <s v="3197037193"/>
    <s v="CR 73 CIRCULAR 4 2,LAURELES"/>
    <s v="6.2455360"/>
    <s v="-75.5920475"/>
    <s v="ANTIOQUIA"/>
    <s v="MEDELLÍN"/>
    <s v="MEDELLÍN"/>
    <n v="5001"/>
    <s v="2025-09-25"/>
    <n v="1"/>
    <s v="MEDELLIN"/>
    <x v="0"/>
    <n v="37313"/>
    <n v="37313"/>
  </r>
  <r>
    <n v="38513"/>
    <s v="BARRIO PORVENIR JAMUNDI"/>
    <n v="31533854"/>
    <s v="5539625"/>
    <s v="3182801532"/>
    <s v="3215878780"/>
    <s v=" CL 11 8 20 PORVENIR"/>
    <s v="3.2608380"/>
    <s v="-76.53899"/>
    <s v="VALLE DEL CAUCA"/>
    <s v="JAMUNDÍ"/>
    <s v="JAMUNDÍ"/>
    <n v="76364"/>
    <s v="2025-09-25"/>
    <n v="1"/>
    <s v="CALI"/>
    <x v="3"/>
    <n v="37313"/>
    <n v="37313"/>
  </r>
  <r>
    <n v="72142"/>
    <s v="EL PARAISO MONTERIA 3"/>
    <n v="1003396965"/>
    <s v="3136045429"/>
    <s v="3136045429"/>
    <s v="3136045429"/>
    <s v="SECTOR 1 MZ 1 1 LOC 01,EL PARAISO"/>
    <s v="8.7254231"/>
    <s v="-75.8744146"/>
    <s v="CÓRDOBA"/>
    <s v="MONTERÍA"/>
    <s v="MONTERÍA"/>
    <n v="23001"/>
    <s v="2025-09-25"/>
    <n v="1"/>
    <s v="MONTERIA"/>
    <x v="5"/>
    <n v="37313"/>
    <n v="37313"/>
  </r>
  <r>
    <n v="72332"/>
    <s v="BARRIO SAUBA LOMBARDIA BOGOTA"/>
    <n v="79868972"/>
    <s v="60173474"/>
    <s v="3059093509"/>
    <s v="3059093509"/>
    <s v="CR 111 A 145 87 TO 26 AP 104"/>
    <s v="4.749823"/>
    <s v="-74.100472"/>
    <s v="CUNDINAMARCA"/>
    <s v="BOGOTÁ"/>
    <s v="BOGOTÁ"/>
    <n v="11001"/>
    <s v="2025-09-25"/>
    <n v="1"/>
    <s v="BOGOTA"/>
    <x v="2"/>
    <n v="37313"/>
    <n v="37313"/>
  </r>
  <r>
    <n v="63040"/>
    <s v="BARRIO JOSE ANTONIO GALAN BOGOTA"/>
    <n v="52116509"/>
    <s v="3142095772"/>
    <s v="3132248505"/>
    <s v="3125212705"/>
    <s v="CALLE 59 SUR # 78 J 58,JOSE ANTONIO GALAN"/>
    <s v="4.6064241"/>
    <s v="-74.1803031"/>
    <s v="CUNDINAMARCA"/>
    <s v="BOGOTÁ"/>
    <s v="BOGOTÁ"/>
    <n v="11001"/>
    <s v="2025-09-25"/>
    <n v="1"/>
    <s v="BOGOTA"/>
    <x v="2"/>
    <n v="37313"/>
    <n v="37313"/>
  </r>
  <r>
    <n v="63440"/>
    <s v="BARRIO 6 DE MARZO MONTERIA 3"/>
    <n v="1067927686"/>
    <s v="3113664493"/>
    <s v="3113664493"/>
    <s v="3113664493"/>
    <s v="CR 19 8 05,BRR 6 DE MARZO"/>
    <s v="8.7395198"/>
    <s v="-75.8814483"/>
    <s v="CÓRDOBA"/>
    <s v="MONTERÍA"/>
    <s v="MONTERÍA"/>
    <n v="23001"/>
    <s v="2025-09-25"/>
    <n v="1"/>
    <s v="MONTERIA"/>
    <x v="5"/>
    <n v="37313"/>
    <n v="37313"/>
  </r>
  <r>
    <n v="64293"/>
    <s v="BARRIO VRD SAN ISIDRO SAN CAYETANO"/>
    <n v="1091074073"/>
    <s v="3115375980"/>
    <s v="3115375980"/>
    <s v="3115375980"/>
    <s v="VRD SAN ISIDRO KDX 38-A FUERA DEL MUNICIPIO DE SAN CAYETANO,VRD SAN ISIDRO"/>
    <s v="7.8846605"/>
    <s v="-72.5471972"/>
    <s v="NORTE DE SANTANDER"/>
    <s v="SAN CAYETANO"/>
    <s v="SAN CAYETANO"/>
    <n v="54673"/>
    <s v="2025-09-25"/>
    <n v="1"/>
    <s v="CUCUTA"/>
    <x v="4"/>
    <n v="49671.7"/>
    <n v="49671.7"/>
  </r>
  <r>
    <n v="70226"/>
    <s v="BARRIO ACAPULCO VILLAVICENCIO 1"/>
    <n v="17343285"/>
    <s v="3203026968"/>
    <s v="3128758630"/>
    <s v="3125366954"/>
    <s v="CL 17 SUR NRO. 15 - 05 BARRIO ACAPULCO - ACAPULCO,ACAPULCO"/>
    <s v="4.118096"/>
    <s v="-73.590194"/>
    <s v="META"/>
    <s v="VILLAVICENCIO"/>
    <s v="VILLAVICENCIO"/>
    <n v="50001"/>
    <s v="2025-09-25"/>
    <n v="1"/>
    <s v="VILLAVICENCIO"/>
    <x v="1"/>
    <n v="49671.7"/>
    <n v="49671.7"/>
  </r>
  <r>
    <n v="70335"/>
    <s v="BARRIO BOLONIA BOGOTA 1"/>
    <n v="1045022607"/>
    <s v="3162969465"/>
    <s v="3213091748"/>
    <s v="3196570464"/>
    <s v="CR9 ESTE 81-20 SUR BL I CA 14"/>
    <s v="4.5106984"/>
    <s v="-74.0990495"/>
    <s v="CUNDINAMARCA"/>
    <s v="BOGOTÁ"/>
    <s v="BOGOTÁ"/>
    <n v="11001"/>
    <s v="2025-09-25"/>
    <n v="1"/>
    <s v="BOGOTA"/>
    <x v="2"/>
    <n v="37313"/>
    <n v="37313"/>
  </r>
  <r>
    <n v="68182"/>
    <s v="BOGOTÁ GRANJAS DEL DORADO"/>
    <n v="79789524"/>
    <s v="3118247743"/>
    <s v="3118247743"/>
    <s v="3118247743"/>
    <s v="TV 113F 64 D 20,GRANJAS DEL DORADO"/>
    <s v="4.710660000"/>
    <s v="-74.13798166"/>
    <s v="CUNDINAMARCA"/>
    <s v="BOGOTÁ"/>
    <s v="BOGOTÁ"/>
    <n v="11001"/>
    <s v="2025-09-25"/>
    <n v="1"/>
    <s v="BOGOTA"/>
    <x v="2"/>
    <n v="37313"/>
    <n v="37313"/>
  </r>
  <r>
    <n v="78307"/>
    <s v="BARRIO VILA SOFIA MEDELLIN"/>
    <n v="1063181658"/>
    <s v="3225218446"/>
    <s v="3135984205"/>
    <s v="3225218446"/>
    <s v="CR 93 A 86 19,VILLA SOFIA"/>
    <s v="6.2931503"/>
    <s v="-75.5910805"/>
    <s v="ANTIOQUIA"/>
    <s v="MEDELLÍN"/>
    <s v="MEDELLÍN"/>
    <n v="5001"/>
    <s v="2025-09-25"/>
    <n v="1"/>
    <s v="MEDELLIN"/>
    <x v="0"/>
    <n v="37313"/>
    <n v="37313"/>
  </r>
  <r>
    <n v="78347"/>
    <s v="BARRIO EL SALADO CUCUTA  3"/>
    <n v="1093790546"/>
    <s v="3102142280"/>
    <s v="3102142280"/>
    <s v="3102142280"/>
    <s v="CL KDX 3 LT 3 APTO,EL SALADO"/>
    <s v="7.950642"/>
    <s v="-72.506500"/>
    <s v="NORTE DE SANTANDER"/>
    <s v="CÚCUTA"/>
    <s v="CÚCUTA"/>
    <n v="54001"/>
    <s v="2025-09-25"/>
    <n v="1"/>
    <s v="CUCUTA"/>
    <x v="4"/>
    <n v="49671.7"/>
    <n v="49671.7"/>
  </r>
  <r>
    <n v="71064"/>
    <s v="BARRIO CORINTO BOGOTA 1"/>
    <n v="1233894716"/>
    <s v="3118146225"/>
    <s v="3186983490"/>
    <s v="3118146225"/>
    <s v="CARRERA 104 126 C 10,CORINTO"/>
    <s v="4.7276561"/>
    <s v="-74.1014610"/>
    <s v="CUNDINAMARCA"/>
    <s v="BOGOTÁ"/>
    <s v="BOGOTÁ"/>
    <n v="11001"/>
    <s v="2025-09-25"/>
    <n v="1"/>
    <s v="BOGOTA"/>
    <x v="2"/>
    <n v="37313"/>
    <n v="37313"/>
  </r>
  <r>
    <n v="76264"/>
    <s v="BARRIO BUENOS AIRES CUCUTA 4"/>
    <n v="1090444054"/>
    <s v="3107094871"/>
    <s v="3107094871"/>
    <s v="3107094871"/>
    <s v="CL 25 NRO 6-02,BUENOS AIRES"/>
    <s v="7.9285770"/>
    <s v="-72.5196630"/>
    <s v="NORTE DE SANTANDER"/>
    <s v="CÚCUTA"/>
    <s v="CÚCUTA"/>
    <n v="54001"/>
    <s v="2025-09-25"/>
    <n v="1"/>
    <s v="CUCUTA"/>
    <x v="4"/>
    <n v="49671.7"/>
    <n v="49671.7"/>
  </r>
  <r>
    <n v="76505"/>
    <s v="BARRIO CENTRO MANIZALES  25"/>
    <n v="75091221"/>
    <s v="3103887050"/>
    <s v="3103887050"/>
    <s v="3103887050"/>
    <s v="CR 18 19 39 - CENTRO,CENTRO"/>
    <s v="5.0703125"/>
    <s v="-75.5193102"/>
    <s v="CALDAS"/>
    <s v="MANIZALES"/>
    <s v="MANIZALES"/>
    <n v="17001"/>
    <s v="2025-09-25"/>
    <n v="1"/>
    <s v="MANIZALES"/>
    <x v="6"/>
    <n v="49671.7"/>
    <n v="49671.7"/>
  </r>
  <r>
    <n v="76485"/>
    <s v="BARRIO CAMPO VALDEZ MEDELLIN 2"/>
    <n v="70909239"/>
    <s v="3137969005"/>
    <s v="3137969005"/>
    <s v="3137969005"/>
    <s v="CL 68 51A 30,CAMPO VALDEZ"/>
    <s v="6.2659282"/>
    <s v="-75.5636129"/>
    <s v="ANTIOQUIA"/>
    <s v="MEDELLÍN"/>
    <s v="MEDELLÍN"/>
    <n v="5001"/>
    <s v="2025-09-25"/>
    <n v="1"/>
    <s v="MEDELLIN"/>
    <x v="0"/>
    <n v="37313"/>
    <n v="37313"/>
  </r>
  <r>
    <n v="70480"/>
    <s v="BARRIO URBANIZACION VEREDA TROPICAL MONTERIA"/>
    <n v="1067860715"/>
    <s v="3225443537"/>
    <s v="0"/>
    <s v="3225443537"/>
    <s v="MZ 31 LT4,URBANIZACIÓN VEREDA TROPICAL"/>
    <s v="8.7234618"/>
    <s v="-75.8757357"/>
    <s v="CÓRDOBA"/>
    <s v="MONTERÍA"/>
    <s v="MONTERÍA"/>
    <n v="23001"/>
    <s v="2025-09-25"/>
    <n v="1"/>
    <s v="MONTERIA"/>
    <x v="5"/>
    <n v="37313"/>
    <n v="37313"/>
  </r>
  <r>
    <n v="70754"/>
    <s v="ALAMEDA DEL BOSQUE "/>
    <n v="8745601"/>
    <s v="3125897612"/>
    <s v="3125897612"/>
    <s v="3219123935"/>
    <s v="CR 1 N 15 B - 61 LOCAL 8 ALAMEDA DEL BOSQUE,ALAMEDA DEL BOSQUE"/>
    <s v="4.133213"/>
    <s v="-73.604990"/>
    <s v="META"/>
    <s v="VILLAVICENCIO"/>
    <s v="VILLAVICENCIO"/>
    <n v="50001"/>
    <s v="2025-09-25"/>
    <n v="1"/>
    <s v="VILLAVICENCIO"/>
    <x v="1"/>
    <n v="49671.7"/>
    <n v="49671.7"/>
  </r>
  <r>
    <n v="70667"/>
    <s v="SAN FRANCISCO SANTANDER"/>
    <n v="1095912990"/>
    <s v="3166448019"/>
    <s v="3166448019"/>
    <s v="3195975519"/>
    <s v="CL 18 17 04 SAN FRANCISCO,SAN FRANCISCO"/>
    <s v="7.12105634"/>
    <s v="-73.13742757"/>
    <s v="SANTANDER"/>
    <s v="BUCARAMANGA"/>
    <s v="BUCARAMANGA"/>
    <n v="68001"/>
    <s v="2025-09-25"/>
    <n v="1"/>
    <s v="BUCARAMANGA"/>
    <x v="4"/>
    <n v="37313"/>
    <n v="37313"/>
  </r>
  <r>
    <n v="64847"/>
    <s v="BARRIO OSPINA PEREZ CUCUTA 7"/>
    <n v="88217828"/>
    <s v="3112966861"/>
    <s v="3112966861"/>
    <s v="3206891763"/>
    <s v="CL 15 NRO 1-97,BRR OSPINA PEREZ"/>
    <s v="7.9207986"/>
    <s v="-72.5203323"/>
    <s v="NORTE DE SANTANDER"/>
    <s v="CÚCUTA"/>
    <s v="CÚCUTA"/>
    <n v="54001"/>
    <s v="2025-09-25"/>
    <n v="1"/>
    <s v="CUCUTA"/>
    <x v="4"/>
    <n v="49671.7"/>
    <n v="49671.7"/>
  </r>
  <r>
    <n v="65062"/>
    <s v="BARRIO BENJAMIN HERRERA CUCUTA 2"/>
    <n v="60338033"/>
    <s v="3115132954"/>
    <s v="3115132954"/>
    <s v="3143802005"/>
    <s v="CL 16 NRO. 4 - 106,BENJAMIN HERRERA"/>
    <s v="7.9144032"/>
    <s v="-72.4993758"/>
    <s v="NORTE DE SANTANDER"/>
    <s v="CÚCUTA"/>
    <s v="CÚCUTA"/>
    <n v="54001"/>
    <s v="2025-09-25"/>
    <n v="1"/>
    <s v="CUCUTA"/>
    <x v="4"/>
    <n v="49671.7"/>
    <n v="49671.7"/>
  </r>
  <r>
    <n v="73783"/>
    <s v="BARRIO ROBLEDO BELLO HORIZONTE MEDELLIN 5"/>
    <n v="24790665"/>
    <s v="3023678441"/>
    <s v="3023678441"/>
    <s v="3005376982"/>
    <s v="CARRERA 82 A 77 CC 060,ROBLEDO BELLO HORIZONTE"/>
    <s v="6.2815244"/>
    <s v="-75.5874355"/>
    <s v="ANTIOQUIA"/>
    <s v="MEDELLÍN"/>
    <s v="MEDELLÍN"/>
    <n v="5001"/>
    <s v="2025-09-25"/>
    <n v="1"/>
    <s v="MEDELLIN"/>
    <x v="0"/>
    <n v="37313"/>
    <n v="37313"/>
  </r>
  <r>
    <n v="70283"/>
    <s v="BARRIO VEREDA ALTO POMPEYA"/>
    <n v="40433349"/>
    <s v="3157412385"/>
    <s v="3146709147"/>
    <s v="3134022698"/>
    <s v="CL 6 N 11 - 26 VEREDA ALTO POMPEYA,VEREDA ALTO POMPEYA"/>
    <s v="4.064512"/>
    <s v="-73.392743"/>
    <s v="META"/>
    <s v="VILLAVICENCIO"/>
    <s v="VILLAVICENCIO"/>
    <n v="50001"/>
    <s v="2025-09-25"/>
    <n v="1"/>
    <s v="VILLAVICENCIO"/>
    <x v="1"/>
    <n v="49671.7"/>
    <n v="49671.7"/>
  </r>
  <r>
    <n v="70785"/>
    <s v="BARRIO CASIQUIARE YOPAL"/>
    <n v="40365613"/>
    <s v="3208005960"/>
    <s v="3123581616"/>
    <s v="3208005960"/>
    <s v="CL 30 11 15,CASIQUIARE LC 1"/>
    <s v="5.3276268"/>
    <s v="-72.401153"/>
    <s v="CASANARE"/>
    <s v="YOPAL"/>
    <s v="YOPAL"/>
    <n v="85001"/>
    <s v="2025-09-25"/>
    <n v="1"/>
    <s v="YOPAL"/>
    <x v="1"/>
    <n v="49671.7"/>
    <n v="49671.7"/>
  </r>
  <r>
    <n v="64424"/>
    <s v="BARRIO LA PRADERA MONTERIA 9"/>
    <n v="901581530"/>
    <s v="3114080740"/>
    <s v="3135612579"/>
    <s v="3114080740"/>
    <s v="MZ 120 LT16 ETAPA 8,LA PRADERA"/>
    <s v="8.7390130"/>
    <s v="-75.8744720"/>
    <s v="CÓRDOBA"/>
    <s v="MONTERÍA"/>
    <s v="MONTERÍA"/>
    <n v="23001"/>
    <s v="2025-09-25"/>
    <n v="1"/>
    <s v="MONTERIA"/>
    <x v="5"/>
    <n v="37313"/>
    <n v="37313"/>
  </r>
  <r>
    <n v="70360"/>
    <s v="BARRIO REMANSOS DE SAN FRANCISCO"/>
    <n v="40030856"/>
    <s v="3203710331"/>
    <s v="3203710331"/>
    <s v="3203710331"/>
    <s v="CL 5 SUR5 11 LOCAL 5,REMANSOS DE SAN FRANCISCO"/>
    <s v="5.5116949"/>
    <s v="-73.3648404"/>
    <s v="BOYACÁ"/>
    <s v="TUNJA"/>
    <s v="TUNJA"/>
    <n v="15001"/>
    <s v="2025-09-25"/>
    <n v="1"/>
    <s v="TUNJA"/>
    <x v="4"/>
    <n v="49671.7"/>
    <n v="49671.7"/>
  </r>
  <r>
    <n v="78277"/>
    <s v="BARRIO VRD CHOCOSITO FLORIDA FLORIDA"/>
    <n v="16890167"/>
    <s v="3137352372"/>
    <s v="3137352372"/>
    <s v="3137352372"/>
    <s v="VRD CHOCOSITO VIA PARQUE"/>
    <s v="3.2875"/>
    <s v="-76.29943"/>
    <s v="VALLE DEL CAUCA"/>
    <s v="FLORIDA"/>
    <s v="FLORIDA"/>
    <n v="76275"/>
    <s v="2025-09-25"/>
    <n v="1"/>
    <s v="CALI"/>
    <x v="3"/>
    <n v="37313"/>
    <n v="37313"/>
  </r>
  <r>
    <n v="78384"/>
    <s v="BARRIO LA PRADERA MONTERIA  12"/>
    <n v="1067937118"/>
    <s v="3024186653"/>
    <s v="3024186653"/>
    <s v="3024186653"/>
    <s v="CL 33 #3 32 LC  39 BRR CENTRO"/>
    <s v="8.737238"/>
    <s v="-75.873615"/>
    <s v="CÓRDOBA"/>
    <s v="MONTERÍA"/>
    <s v="MONTERÍA"/>
    <n v="23001"/>
    <s v="2025-09-25"/>
    <n v="1"/>
    <s v="MONTERIA"/>
    <x v="5"/>
    <n v="37313"/>
    <n v="37313"/>
  </r>
  <r>
    <n v="78373"/>
    <s v="BARRIO ENGATIVA BOGOTA 11"/>
    <n v="1072494091"/>
    <s v="3508134163"/>
    <s v="3508134163"/>
    <s v="3508134163"/>
    <s v="CR 123 64 C 37,ENGATIVA"/>
    <s v="4.7160971"/>
    <s v="-74.1412867"/>
    <s v="CUNDINAMARCA"/>
    <s v="BOGOTÁ"/>
    <s v="BOGOTÁ"/>
    <n v="11001"/>
    <s v="2025-09-25"/>
    <n v="1"/>
    <s v="BOGOTA"/>
    <x v="2"/>
    <n v="37313"/>
    <n v="37313"/>
  </r>
  <r>
    <n v="78441"/>
    <s v="BARRIO VEINTE DE JULIO TUNJA 2"/>
    <n v="23622050"/>
    <s v="3115596659"/>
    <s v="3115596659"/>
    <s v="3115596659"/>
    <s v="AV COLON 28 34, ED SAN PABLO LOCAL 2,VEINTE DE JULIO"/>
    <s v="5.541612"/>
    <s v="-73.360688"/>
    <s v="BOYACÁ"/>
    <s v="TUNJA"/>
    <s v="TUNJA"/>
    <n v="15001"/>
    <s v="2025-09-25"/>
    <n v="1"/>
    <s v="TUNJA"/>
    <x v="4"/>
    <n v="49671.7"/>
    <n v="49671.7"/>
  </r>
  <r>
    <n v="78420"/>
    <s v="BARRIO CENTRO EDIFICIO MARA CARTAGENA DE  INDIAS"/>
    <n v="73207800"/>
    <s v="3002626405"/>
    <s v="3002626405"/>
    <s v="3002626405"/>
    <s v="BRR CENTRO ED MARA CL 33 10 A -44 AP 1,CENTRO EDIFICIO MARA"/>
    <s v="10.4242438"/>
    <s v="-75.5465947"/>
    <s v="BOLÍVAR"/>
    <s v="CARTAGENA DE INDIAS"/>
    <s v="CARTAGENA DE INDIAS"/>
    <n v="13001"/>
    <s v="2025-09-25"/>
    <n v="1"/>
    <s v="CARTAGENA"/>
    <x v="5"/>
    <n v="49671.7"/>
    <n v="49671.7"/>
  </r>
  <r>
    <n v="78469"/>
    <s v="BARRIO ROBLEDO EL DIAMANTE MEDELLIN 1"/>
    <n v="901618603"/>
    <s v="3103632241"/>
    <s v="3113646682"/>
    <s v="3207326169"/>
    <s v="DG 85 79 59,ROBLEDO EL DIAMANTE"/>
    <s v="6.2841542"/>
    <s v="-75.5859731"/>
    <s v="ANTIOQUIA"/>
    <s v="MEDELLÍN"/>
    <s v="MEDELLÍN"/>
    <n v="5001"/>
    <s v="2025-09-25"/>
    <n v="1"/>
    <s v="MEDELLIN"/>
    <x v="0"/>
    <n v="37313"/>
    <n v="37313"/>
  </r>
  <r>
    <n v="72489"/>
    <s v="BARRIO LA GRANJA  BOCHALEMA"/>
    <n v="5441749"/>
    <s v="3212846102"/>
    <s v="3212846102"/>
    <s v="3212846102"/>
    <s v="MZ F LOTE 9 BR LA GRANJA,BR LA GRANJA"/>
    <s v="7.6036036"/>
    <s v="-72.6386961"/>
    <s v="NORTE DE SANTANDER"/>
    <s v="BOCHALEMA"/>
    <s v="BOCHALEMA"/>
    <n v="54099"/>
    <s v="2025-09-25"/>
    <n v="1"/>
    <s v="CUCUTA"/>
    <x v="4"/>
    <n v="49671.7"/>
    <n v="49671.7"/>
  </r>
  <r>
    <n v="72624"/>
    <s v="BUCARAMANGA ALARCON"/>
    <n v="91229966"/>
    <s v="3165352130"/>
    <s v="3165352130"/>
    <s v="3165352130"/>
    <s v="CL 24 24 06 LC 4 BRR ALARCON,ALARCON"/>
    <s v="7.1268270"/>
    <s v="-73.1214240"/>
    <s v="SANTANDER"/>
    <s v="BUCARAMANGA"/>
    <s v="BUCARAMANGA"/>
    <n v="68001"/>
    <s v="2025-09-25"/>
    <n v="1"/>
    <s v="BUCARAMANGA"/>
    <x v="4"/>
    <n v="37313"/>
    <n v="37313"/>
  </r>
  <r>
    <n v="78148"/>
    <s v="BARRIO ARCOIRIS ARMENIA"/>
    <n v="7563880"/>
    <s v="3117175587"/>
    <s v="3114707529"/>
    <s v="3022122481"/>
    <s v="URB ARCOIRIS MZ F CS 6,ARCOIRIS"/>
    <s v="4.5275031"/>
    <s v="-75.6980802"/>
    <s v="QUINDÍO"/>
    <s v="ARMENIA"/>
    <s v="ARMENIA"/>
    <n v="63001"/>
    <s v="2025-09-25"/>
    <n v="1"/>
    <s v="PEREIRA"/>
    <x v="6"/>
    <n v="37313"/>
    <n v="37313"/>
  </r>
  <r>
    <n v="71618"/>
    <s v="BARRIO BELEN DE UMBRIA CUCUTA"/>
    <n v="1090439103"/>
    <s v="3125793278"/>
    <s v="3125793278"/>
    <s v="3125793278"/>
    <s v="MZ X LOTE 9,BELEN DE UMBRIA"/>
    <s v="7.8788019"/>
    <s v="-72.5370093"/>
    <s v="NORTE DE SANTANDER"/>
    <s v="CÚCUTA"/>
    <s v="CÚCUTA"/>
    <n v="54001"/>
    <s v="2025-09-25"/>
    <n v="1"/>
    <s v="CUCUTA"/>
    <x v="4"/>
    <n v="49671.7"/>
    <n v="49671.7"/>
  </r>
  <r>
    <n v="71842"/>
    <s v="GIRON BALCONES DE GIRON"/>
    <n v="1095913033"/>
    <s v="3008709513"/>
    <s v="3008709513"/>
    <s v="3184128673"/>
    <s v="CR 34 32 C 03 BALCONES DE GIRON,BLACONES DE GIRON"/>
    <s v="7.6833058"/>
    <s v="-73.17741077"/>
    <s v="SANTANDER"/>
    <s v="GIRÓN"/>
    <s v="GIRÓN"/>
    <n v="68307"/>
    <s v="2025-09-25"/>
    <n v="1"/>
    <s v="BUCARAMANGA"/>
    <x v="4"/>
    <n v="37313"/>
    <n v="37313"/>
  </r>
  <r>
    <n v="71796"/>
    <s v="ANTIOQUIA MEDELLIN 1"/>
    <n v="43477975"/>
    <s v="3206078395"/>
    <s v="3128352973"/>
    <s v="3128352973"/>
    <s v="CARRERA 68 A 108 12,TEJELO"/>
    <s v="6.3058159"/>
    <s v="-75.5677073"/>
    <s v="ANTIOQUIA"/>
    <s v="MEDELLÍN"/>
    <s v="MEDELLÍN"/>
    <n v="5001"/>
    <s v="2025-09-25"/>
    <n v="1"/>
    <s v="MEDELLIN"/>
    <x v="0"/>
    <n v="37313"/>
    <n v="37313"/>
  </r>
  <r>
    <n v="72032"/>
    <s v="VALELDUPAR MARIA CAMILA"/>
    <n v="1065622089"/>
    <s v="305472778"/>
    <s v="3166211231"/>
    <s v="3017256390"/>
    <s v="MZ 80 CS 1 C,MARIA CAMILA"/>
    <s v="10.4433830"/>
    <s v="-73.2719052"/>
    <s v="CESAR"/>
    <s v="VALLEDUPAR"/>
    <s v="VALLEDUPAR"/>
    <n v="20001"/>
    <s v="2025-09-25"/>
    <n v="1"/>
    <s v="VALLEDUPAR"/>
    <x v="5"/>
    <n v="49671.7"/>
    <n v="49671.7"/>
  </r>
  <r>
    <n v="72284"/>
    <s v="VILLAVICENCIO LLANO LINDO"/>
    <n v="1057015702"/>
    <s v="3125122895"/>
    <s v="3125122895"/>
    <s v="3212512881"/>
    <s v="CL 2 SUR 51 25 BRR LLANO LINDO,LLANO LINDO"/>
    <s v="4.1235434"/>
    <s v="-73.6482340"/>
    <s v="META"/>
    <s v="VILLAVICENCIO"/>
    <s v="VILLAVICENCIO"/>
    <n v="50001"/>
    <s v="2025-09-25"/>
    <n v="1"/>
    <s v="VILLAVICENCIO"/>
    <x v="1"/>
    <n v="49671.7"/>
    <n v="49671.7"/>
  </r>
  <r>
    <n v="78081"/>
    <s v="BARRIO SIETE DE AGOSTO FLORENCIA 5"/>
    <n v="40595533"/>
    <s v="3102261361"/>
    <s v="3102261361"/>
    <s v="3102261361"/>
    <s v="CR 6 14 18,SIETE DE AGOSTO"/>
    <s v="1.616254"/>
    <s v=" -75.608528"/>
    <s v="CAQUETÁ"/>
    <s v="FLORENCIA"/>
    <s v="FLORENCIA"/>
    <n v="18001"/>
    <s v="2025-09-25"/>
    <n v="1"/>
    <s v="NEIVA"/>
    <x v="1"/>
    <n v="49671.7"/>
    <n v="49671.7"/>
  </r>
  <r>
    <n v="78157"/>
    <s v="BARRIO CON FAMILIAR PARQUE INDUSTRIAL PEREIRA"/>
    <n v="1086278326"/>
    <s v="3227673922"/>
    <s v="3227673922"/>
    <s v="3207016751"/>
    <s v="MZ 5 CA 1 COMFAMILIAR PARQUE INDUSTRIAL"/>
    <s v="4.823547"/>
    <s v="-75.734484"/>
    <s v="RISARALDA"/>
    <s v="PEREIRA"/>
    <s v="PEREIRA"/>
    <n v="66001"/>
    <s v="2025-09-25"/>
    <n v="1"/>
    <s v="PEREIRA"/>
    <x v="6"/>
    <n v="37313"/>
    <n v="37313"/>
  </r>
  <r>
    <n v="78259"/>
    <s v="BARRIO LORENZO DE ALDANA PASTO  1"/>
    <n v="30743182"/>
    <s v="3106165278"/>
    <s v="3210855801"/>
    <s v="3106165278"/>
    <s v="CL 17 1 E - 06 - LORENZO DE ALDANA"/>
    <s v="1.1969095"/>
    <s v="-77.2655686"/>
    <s v="NARIÑO"/>
    <s v="PASTO"/>
    <s v="SAN JUAN DE PASTO"/>
    <n v="52001"/>
    <s v="2025-09-25"/>
    <n v="1"/>
    <s v="PASTO"/>
    <x v="3"/>
    <n v="49671.7"/>
    <n v="49671.7"/>
  </r>
  <r>
    <n v="78299"/>
    <s v="BARRIO PROTECHO IBAGUE"/>
    <n v="1110462110"/>
    <s v="3107500788"/>
    <s v="3107500788"/>
    <s v="3107500788"/>
    <s v="MZ 18 CA 18 LC 1,PROTECHO"/>
    <s v="4.437371"/>
    <s v="-75.162514"/>
    <s v="TOLIMA"/>
    <s v="IBAGUÉ"/>
    <s v="IBAGUÉ"/>
    <n v="73001"/>
    <s v="2025-09-25"/>
    <n v="1"/>
    <s v="IBAGUE"/>
    <x v="1"/>
    <n v="49671.7"/>
    <n v="49671.7"/>
  </r>
  <r>
    <n v="67487"/>
    <s v="BARRIO SECTOR DE MERCAR ARMENIA"/>
    <n v="901542983"/>
    <s v="0"/>
    <s v="3148901959"/>
    <s v="3148901959"/>
    <s v="CC CENTRAL MAYORISTA DE ARMENIA MERCAR BL 04 LC 05 P2,SECTOR DE MERCAR"/>
    <s v="4.5284916"/>
    <s v="-75.7140699"/>
    <s v="QUINDÍO"/>
    <s v="ARMENIA"/>
    <s v="ARMENIA"/>
    <n v="63001"/>
    <s v="2025-09-25"/>
    <n v="1"/>
    <s v="PEREIRA"/>
    <x v="6"/>
    <n v="37313"/>
    <n v="37313"/>
  </r>
  <r>
    <n v="67484"/>
    <s v="BARRIO QUINTA BOSCH CUCUTA 5"/>
    <n v="60352710"/>
    <s v="3184316849"/>
    <s v="3184316849"/>
    <s v="3184316849"/>
    <s v="AV 0 3 - 71 LC 3,QUINTA BOSCH"/>
    <s v="7.894673"/>
    <s v="-72.499690"/>
    <s v="NORTE DE SANTANDER"/>
    <s v="CÚCUTA"/>
    <s v="CÚCUTA"/>
    <n v="54001"/>
    <s v="2025-09-25"/>
    <n v="1"/>
    <s v="CUCUTA"/>
    <x v="4"/>
    <n v="49671.7"/>
    <n v="49671.7"/>
  </r>
  <r>
    <n v="67885"/>
    <s v="BARRIO SANTA MONICA MEDELLIN 3"/>
    <n v="72265416"/>
    <s v="0"/>
    <s v="3103686119"/>
    <s v="3103686119"/>
    <s v="CR 92 38 88,SANTA MONICA"/>
    <s v="6.250892"/>
    <s v="-75.61145"/>
    <s v="ANTIOQUIA"/>
    <s v="MEDELLÍN"/>
    <s v="MEDELLÍN"/>
    <n v="5001"/>
    <s v="2025-09-25"/>
    <n v="1"/>
    <s v="MEDELLIN"/>
    <x v="0"/>
    <n v="37313"/>
    <n v="37313"/>
  </r>
  <r>
    <n v="68390"/>
    <s v="FARALLONES ARMENIA"/>
    <n v="1125250294"/>
    <s v="3043278211"/>
    <s v="3043278211"/>
    <s v="3043278211"/>
    <s v="CR 20  48-17 ESQUINA BRR FARALLONES"/>
    <s v="4.5217488"/>
    <s v="-75.6893584"/>
    <s v="QUINDÍO"/>
    <s v="ARMENIA"/>
    <s v="ARMENIA"/>
    <n v="63001"/>
    <s v="2025-09-25"/>
    <n v="1"/>
    <s v="PEREIRA"/>
    <x v="6"/>
    <n v="37313"/>
    <n v="37313"/>
  </r>
  <r>
    <n v="75944"/>
    <s v="BARRIO URIBE ARMENIA"/>
    <n v="1094916017"/>
    <s v="0"/>
    <s v="3026156633"/>
    <s v="3205817071"/>
    <s v="BRR URIBE CR 13 26 39,URIBE"/>
    <s v="4.5295068"/>
    <s v="-75.6758210"/>
    <s v="QUINDÍO"/>
    <s v="ARMENIA"/>
    <s v="ARMENIA"/>
    <n v="63001"/>
    <s v="2025-09-25"/>
    <n v="1"/>
    <s v="PEREIRA"/>
    <x v="6"/>
    <n v="37313"/>
    <n v="37313"/>
  </r>
  <r>
    <n v="76133"/>
    <s v="BARRIO CASCO ANTIGUO FLORIDABLANCA 7"/>
    <n v="1104068869"/>
    <s v="3001462576"/>
    <s v="3001462576"/>
    <s v="3001462576"/>
    <s v="CL 6 9 45,CASCO ANTIGUO"/>
    <s v="7.0625990"/>
    <s v="-73.0849820"/>
    <s v="SANTANDER"/>
    <s v="FLORIDABLANCA"/>
    <s v="FLORIDABLANCA"/>
    <n v="68276"/>
    <s v="2025-09-25"/>
    <n v="1"/>
    <s v="BUCARAMANGA"/>
    <x v="4"/>
    <n v="37313"/>
    <n v="37313"/>
  </r>
  <r>
    <n v="76223"/>
    <s v="BARRIO JOSE ANTONIO GALAN B  BOGOTA"/>
    <n v="49699501"/>
    <s v="3027492898"/>
    <s v="3224748028"/>
    <s v="3224748028"/>
    <s v="CL 58 M SUR 79 B 05,JOSE ANTONIO GALAN B"/>
    <s v="4.6078878"/>
    <s v="-74.1795437"/>
    <s v="CUNDINAMARCA"/>
    <s v="BOGOTÁ"/>
    <s v="BOGOTÁ"/>
    <n v="11001"/>
    <s v="2025-09-25"/>
    <n v="1"/>
    <s v="BOGOTA"/>
    <x v="2"/>
    <n v="37313"/>
    <n v="37313"/>
  </r>
  <r>
    <n v="76355"/>
    <s v="BARRIO RODADERO SANTA MARTA  7"/>
    <n v="1045739372"/>
    <s v="3017753711"/>
    <s v="3017753711"/>
    <s v="3017753711"/>
    <s v="CL 6 CR 4 35 LC 01,RODADERO"/>
    <s v="11.20716294"/>
    <s v="-74.22472657"/>
    <s v="MAGDALENA"/>
    <s v="SANTA MARTA"/>
    <s v="SANTA MARTA"/>
    <n v="47001"/>
    <s v="2025-09-25"/>
    <n v="1"/>
    <s v="SANTA MARTA"/>
    <x v="5"/>
    <n v="49671.7"/>
    <n v="49671.7"/>
  </r>
  <r>
    <n v="76463"/>
    <s v="BARRIO ALTA SUIZA MANIZALES 6"/>
    <n v="75103045"/>
    <s v="3003621701"/>
    <s v="3003621701"/>
    <s v="3003621701"/>
    <s v="CR 19 74A 42 - ALTA SUIZA,ALTA SUIZA"/>
    <s v="5.0495862"/>
    <s v="-75.4788742"/>
    <s v="CALDAS"/>
    <s v="MANIZALES"/>
    <s v="MANIZALES"/>
    <n v="17001"/>
    <s v="2025-09-25"/>
    <n v="1"/>
    <s v="MANIZALES"/>
    <x v="6"/>
    <n v="49671.7"/>
    <n v="49671.7"/>
  </r>
  <r>
    <n v="72680"/>
    <s v="LA PAZ POPAYAN CAUCA"/>
    <n v="1058817000"/>
    <s v="3122018207"/>
    <s v="0"/>
    <s v="3122018207"/>
    <s v="CR 4 NRO. 70 N 27,LA PAZ"/>
    <s v="2.4739960"/>
    <s v="-76.5582009"/>
    <s v="CAUCA"/>
    <s v="POPAYÁN"/>
    <s v="POPAYÁN"/>
    <n v="19001"/>
    <s v="2025-09-25"/>
    <n v="1"/>
    <s v="CALI"/>
    <x v="3"/>
    <n v="37313"/>
    <n v="37313"/>
  </r>
  <r>
    <n v="72715"/>
    <s v="BARRIO JONGOVITO CENTRO PASTO"/>
    <n v="69020502"/>
    <s v="3187224467"/>
    <s v="3187224467"/>
    <s v="3187224467"/>
    <s v="MZ 1 CA 1 ALTOS DE CHAFALITO"/>
    <s v="1.1872733"/>
    <s v="-77.2729500"/>
    <s v="NARIÑO"/>
    <s v="PASTO"/>
    <s v="SAN JUAN DE PASTO"/>
    <n v="52001"/>
    <s v="2025-09-25"/>
    <n v="1"/>
    <s v="PASTO"/>
    <x v="3"/>
    <n v="49671.7"/>
    <n v="49671.7"/>
  </r>
  <r>
    <n v="72678"/>
    <s v="PAIPA  LOS ROSALES"/>
    <n v="23856138"/>
    <s v="3184653286"/>
    <s v="3184653286"/>
    <s v="3202901859"/>
    <s v="CL 24 # 25 - 43 LOS ROSALES"/>
    <s v="5.7843481"/>
    <s v="-73.1177666"/>
    <s v="BOYACÁ"/>
    <s v="PAIPA"/>
    <s v="PAIPA"/>
    <n v="15516"/>
    <s v="2025-09-25"/>
    <n v="1"/>
    <s v="TUNJA"/>
    <x v="4"/>
    <n v="49671.7"/>
    <n v="49671.7"/>
  </r>
  <r>
    <n v="73527"/>
    <s v="BARRIO BETANIA MEDELLIN"/>
    <n v="30356192"/>
    <s v="3114754299"/>
    <s v="3114754299"/>
    <s v="3114754299"/>
    <s v="CALLE 34 98 65,BETANIA"/>
    <s v="6.2442706"/>
    <s v="-75.6213258"/>
    <s v="ANTIOQUIA"/>
    <s v="MEDELLÍN"/>
    <s v="MEDELLÍN"/>
    <n v="5001"/>
    <s v="2025-09-25"/>
    <n v="1"/>
    <s v="MEDELLIN"/>
    <x v="0"/>
    <n v="37313"/>
    <n v="37313"/>
  </r>
  <r>
    <n v="73520"/>
    <s v="BARRIO SABANETA SABANETA 9"/>
    <n v="1047996698"/>
    <s v="3166764270"/>
    <s v="3215082438"/>
    <s v="3166764270"/>
    <s v="CALLE 72 SUR 46 A 31,SABANETA"/>
    <s v="6.1523266"/>
    <s v="-75.6181045"/>
    <s v="ANTIOQUIA"/>
    <s v="SABANETA"/>
    <s v="SABANETA"/>
    <n v="5631"/>
    <s v="2025-09-25"/>
    <n v="1"/>
    <s v="MEDELLIN"/>
    <x v="0"/>
    <n v="37313"/>
    <n v="37313"/>
  </r>
  <r>
    <n v="80815"/>
    <s v="BARRIO MARIA FERNANDA TUNJA 1"/>
    <n v="1049604931"/>
    <s v="3142160591"/>
    <s v="3142160591"/>
    <m/>
    <s v="CL 45 4 79 PLAZOLETA COMERCIAL MARÍA FERNANDA,LOCAL 11,MARIA FERNANDA"/>
    <s v="5.5519114"/>
    <s v="-73.3503866"/>
    <s v="BOYACÁ"/>
    <s v="TUNJA"/>
    <s v="TUNJA"/>
    <n v="15001"/>
    <s v="2025-09-25"/>
    <n v="1"/>
    <s v="TUNJA"/>
    <x v="4"/>
    <n v="49671.7"/>
    <n v="49671.7"/>
  </r>
  <r>
    <n v="67573"/>
    <s v="BARRIO ALPES FLORENCIA 1"/>
    <n v="1083875421"/>
    <s v="3202374077"/>
    <s v="3202374077"/>
    <s v="3202374077"/>
    <s v="CL 20 2 B 08,ALPES"/>
    <s v="1.624193"/>
    <s v="-75.604341"/>
    <s v="CAQUETÁ"/>
    <s v="FLORENCIA"/>
    <s v="FLORENCIA"/>
    <n v="18001"/>
    <s v="2025-09-25"/>
    <n v="1"/>
    <s v="NEIVA"/>
    <x v="1"/>
    <n v="49671.7"/>
    <n v="49671.7"/>
  </r>
  <r>
    <n v="76151"/>
    <s v="BARRIO CHAMBU 1 PASTO"/>
    <n v="1085306563"/>
    <s v="3216151154"/>
    <s v="3216151154"/>
    <s v="3216151154"/>
    <s v="MZ 29 CA 10 - CHAMBU I,CHAMBU 1"/>
    <s v="1.1910524"/>
    <s v="-77.2743533"/>
    <s v="NARIÑO"/>
    <s v="PASTO"/>
    <s v="SAN JUAN DE PASTO"/>
    <n v="52001"/>
    <s v="2025-09-25"/>
    <n v="1"/>
    <s v="PASTO"/>
    <x v="3"/>
    <n v="49671.7"/>
    <n v="49671.7"/>
  </r>
  <r>
    <n v="76366"/>
    <s v="BARRIO LOS LAGOS CALI 3"/>
    <n v="6524639"/>
    <s v="3187252513"/>
    <s v="3187252513"/>
    <s v="3157079691"/>
    <s v="CL 72U 26I 04 - LOS LAGOS,LOS LAGOS"/>
    <s v="3.4305974"/>
    <s v="-76.4858730"/>
    <s v="VALLE DEL CAUCA"/>
    <s v="CALI"/>
    <s v="SANTIAGO DE CALI"/>
    <n v="76001"/>
    <s v="2025-09-25"/>
    <n v="1"/>
    <s v="CALI"/>
    <x v="3"/>
    <n v="37313"/>
    <n v="37313"/>
  </r>
  <r>
    <n v="76553"/>
    <s v="BARRIO SAN DIEGO NORTE PASTO 2"/>
    <n v="1085276194"/>
    <s v="3177877990"/>
    <s v="3164504197"/>
    <s v="3164504197"/>
    <s v="MZ I CA 18 SAN DIEGO NORTE - SAN DIEGO NORTE,SAN DIEGO NORTE"/>
    <s v="1.2167103"/>
    <s v="-77.2670834"/>
    <s v="NARIÑO"/>
    <s v="PASTO"/>
    <s v="SAN JUAN DE PASTO"/>
    <n v="52001"/>
    <s v="2025-09-25"/>
    <n v="1"/>
    <s v="PASTO"/>
    <x v="3"/>
    <n v="49671.7"/>
    <n v="49671.7"/>
  </r>
  <r>
    <n v="72844"/>
    <s v="VILLA DEL NORTE POPAYAN CAUCA "/>
    <n v="30343129"/>
    <s v="3103384493"/>
    <s v="3152050249"/>
    <s v="3152050249"/>
    <s v="CL 73 B N 1 82,VILLA DEL NORTE"/>
    <s v="2.4752487"/>
    <s v="-76.5549495"/>
    <s v="CAUCA"/>
    <s v="POPAYÁN"/>
    <s v="POPAYÁN"/>
    <n v="19001"/>
    <s v="2025-09-25"/>
    <n v="1"/>
    <s v="CALI"/>
    <x v="3"/>
    <n v="37313"/>
    <n v="37313"/>
  </r>
  <r>
    <n v="73694"/>
    <s v="BARRIO GUABINAS YUMBO"/>
    <n v="1143869809"/>
    <s v="3187531046"/>
    <s v="3174822029"/>
    <s v="3174822029"/>
    <s v="CIRCUNVALAR KR 19 B ENTRE CALLE 10 CON 8 CENTRO COMERCIAL COUNTRYMALL GUABINAS LC 4,GUABINAS"/>
    <s v="3.5619469"/>
    <s v="-76.4973625"/>
    <s v="VALLE DEL CAUCA"/>
    <s v="YUMBO"/>
    <s v="YUMBO"/>
    <n v="76892"/>
    <s v="2025-09-25"/>
    <n v="1"/>
    <s v="CALI"/>
    <x v="3"/>
    <n v="37313"/>
    <n v="37313"/>
  </r>
  <r>
    <n v="80292"/>
    <s v="BARRIO LA ARBOLEDA POPAYAN"/>
    <n v="25284566"/>
    <s v="3187285627"/>
    <s v="3187285627"/>
    <m/>
    <s v="CR 17 60N 67,LA ARBOLEDA"/>
    <s v="2.4884806"/>
    <s v="-76.5760034"/>
    <s v="CAUCA"/>
    <s v="POPAYÁN"/>
    <s v="POPAYÁN"/>
    <n v="19001"/>
    <s v="2025-09-25"/>
    <n v="1"/>
    <s v="CALI"/>
    <x v="3"/>
    <n v="37313"/>
    <n v="37313"/>
  </r>
  <r>
    <n v="80415"/>
    <s v="BARRIO ROBLEDO LA AURORA MEDELLIN 1"/>
    <n v="1193564375"/>
    <s v="3007277302"/>
    <s v="3007277302"/>
    <s v="3007277302"/>
    <s v="CL 66 103B 56 TO 4 AP 9758,ROBLEDO LA AURORA"/>
    <s v="6.2846676"/>
    <s v="-75.6142353"/>
    <s v="ANTIOQUIA"/>
    <s v="MEDELLÍN"/>
    <s v="MEDELLÍN"/>
    <n v="5001"/>
    <s v="2025-09-25"/>
    <n v="1"/>
    <s v="MEDELLIN"/>
    <x v="0"/>
    <n v="37313"/>
    <n v="37313"/>
  </r>
  <r>
    <n v="80661"/>
    <s v="BARRIO TORICES CARTAGENA DE INDIAS 7"/>
    <n v="1047473830"/>
    <s v="3132380991"/>
    <s v="3132380991"/>
    <s v="3132380991"/>
    <s v="CR 17# 42- 17,BRR TORICES"/>
    <s v="10.4292506"/>
    <s v="-75.5344520"/>
    <s v="BOLÍVAR"/>
    <s v="CARTAGENA DE INDIAS"/>
    <s v="CARTAGENA DE INDIAS"/>
    <n v="13001"/>
    <s v="2025-09-25"/>
    <n v="1"/>
    <s v="CARTAGENA"/>
    <x v="5"/>
    <n v="49671.7"/>
    <n v="49671.7"/>
  </r>
  <r>
    <n v="80722"/>
    <s v="BARRIO ALARCON BUCARAMANGA 5"/>
    <n v="1098703455"/>
    <s v="3045613470"/>
    <s v="3045613470"/>
    <m/>
    <s v="CR 16 # 24 -35,ALARCON"/>
    <s v="7.1242413"/>
    <s v="-73.1277440"/>
    <s v="SANTANDER"/>
    <s v="BUCARAMANGA"/>
    <s v="BUCARAMANGA"/>
    <n v="68001"/>
    <s v="2025-09-25"/>
    <n v="1"/>
    <s v="BUCARAMANGA"/>
    <x v="4"/>
    <n v="37313"/>
    <n v="37313"/>
  </r>
  <r>
    <n v="63155"/>
    <s v="BARRIO LAS AMERICAS ARMENIA 1"/>
    <n v="66678496"/>
    <s v="3128881876"/>
    <s v="3128881876"/>
    <s v="3128881876"/>
    <s v="CL 22  30 - 58 BRR LAS AMERICAS"/>
    <s v="4.5424509"/>
    <s v="-75.6841661"/>
    <s v="QUINDÍO"/>
    <s v="ARMENIA"/>
    <s v="ARMENIA"/>
    <n v="63001"/>
    <s v="2025-09-25"/>
    <n v="1"/>
    <s v="PEREIRA"/>
    <x v="6"/>
    <n v="37313"/>
    <n v="37313"/>
  </r>
  <r>
    <n v="63378"/>
    <s v="BARRIO PARQUE INDUSTRIAL PEREIRA 4"/>
    <n v="10033333"/>
    <s v="0"/>
    <s v="3208804747"/>
    <s v="3208804747"/>
    <s v="MZ 29 CA 16 SEC A BRR PARQUE INDUSTRIAL"/>
    <s v="4.82486"/>
    <s v="-75.727466"/>
    <s v="RISARALDA"/>
    <s v="PEREIRA"/>
    <s v="PEREIRA"/>
    <n v="66001"/>
    <s v="2025-09-25"/>
    <n v="1"/>
    <s v="PEREIRA"/>
    <x v="6"/>
    <n v="37313"/>
    <n v="37313"/>
  </r>
  <r>
    <n v="72657"/>
    <s v="CENTRO USME BOGOTA "/>
    <n v="21074694"/>
    <s v="3115916355"/>
    <s v="3142459988"/>
    <s v="3115916355"/>
    <s v="CL 136 A SUR NO. 14 - 16,CENTRO USME"/>
    <s v="4.4729667"/>
    <s v="-74.1228961"/>
    <s v="CUNDINAMARCA"/>
    <s v="BOGOTÁ"/>
    <s v="BOGOTÁ"/>
    <n v="11001"/>
    <s v="2025-09-25"/>
    <n v="1"/>
    <s v="BOGOTA"/>
    <x v="2"/>
    <n v="37313"/>
    <n v="37313"/>
  </r>
  <r>
    <n v="72641"/>
    <s v="SAN LUIS II CALI"/>
    <n v="1114490130"/>
    <s v="3117000801"/>
    <s v="3177342829"/>
    <s v="3177342829"/>
    <s v="CL 67 1 H BIS 57"/>
    <s v="3.4729196"/>
    <s v="-76.4891551"/>
    <s v="VALLE DEL CAUCA"/>
    <s v="CALI"/>
    <s v="SANTIAGO DE CALI"/>
    <n v="76001"/>
    <s v="2025-09-25"/>
    <n v="1"/>
    <s v="CALI"/>
    <x v="3"/>
    <n v="37313"/>
    <n v="37313"/>
  </r>
  <r>
    <n v="73645"/>
    <s v="BARRIO LA FAENA BOGOTA 2"/>
    <n v="1018507237"/>
    <s v="3213841099"/>
    <s v="3213841099"/>
    <s v="3213841099"/>
    <s v="CL 67 115 A 55,LA FAENA"/>
    <s v="4.7117169"/>
    <s v="-74.1364184"/>
    <s v="CUNDINAMARCA"/>
    <s v="BOGOTÁ"/>
    <s v="BOGOTÁ"/>
    <n v="11001"/>
    <s v="2025-09-25"/>
    <n v="1"/>
    <s v="BOGOTA"/>
    <x v="2"/>
    <n v="37313"/>
    <n v="37313"/>
  </r>
  <r>
    <n v="80424"/>
    <s v="BARRIO MANANTIAL SOLEDAD 10"/>
    <n v="1082252303"/>
    <s v="3134505644"/>
    <s v="3134505644"/>
    <m/>
    <s v="CR 12 G 75 71 T 1 APT. 1002,MANANTIAL"/>
    <s v="10.9060372"/>
    <s v="-74.8131560"/>
    <s v="ATLÁNTICO"/>
    <s v="SOLEDAD"/>
    <s v="SOLEDAD"/>
    <n v="8758"/>
    <s v="2025-09-25"/>
    <n v="1"/>
    <s v="BARRANQUILLA"/>
    <x v="5"/>
    <n v="37313"/>
    <n v="37313"/>
  </r>
  <r>
    <n v="80615"/>
    <s v="BARRIO LOS CEDROS NEIVA"/>
    <n v="1118566331"/>
    <s v="3113680249"/>
    <s v="3113680249"/>
    <s v="3113680249"/>
    <s v="CL 26 A 43 09,LOS CEDROS"/>
    <s v="2.9472174"/>
    <s v="-75.2561787"/>
    <s v="HUILA"/>
    <s v="NEIVA"/>
    <s v="NEIVA"/>
    <n v="41001"/>
    <s v="2025-09-25"/>
    <n v="1"/>
    <s v="NEIVA"/>
    <x v="1"/>
    <n v="49671.7"/>
    <n v="49671.7"/>
  </r>
  <r>
    <n v="80743"/>
    <s v="BARRIO CAGUAN NEIVA 5"/>
    <n v="26421794"/>
    <s v="3133489998"/>
    <s v="3133489998"/>
    <m/>
    <s v="CL 4 1 59 CGT CAGUAN"/>
    <s v="2.8655926"/>
    <s v="-75.2362024"/>
    <s v="HUILA"/>
    <s v="NEIVA"/>
    <s v="NEIVA"/>
    <n v="41001"/>
    <s v="2025-09-25"/>
    <n v="1"/>
    <s v="NEIVA"/>
    <x v="1"/>
    <n v="49671.7"/>
    <n v="49671.7"/>
  </r>
  <r>
    <n v="80867"/>
    <s v="BARRIO KENNEDY BUCARAMANGA 2"/>
    <n v="900680730"/>
    <s v="3168798412"/>
    <s v="3168798412"/>
    <s v="3168798412"/>
    <s v="CR 12 17N - 31,KENNEDY"/>
    <s v="7.1528881"/>
    <s v="-73.1350370"/>
    <s v="SANTANDER"/>
    <s v="BUCARAMANGA"/>
    <s v="BUCARAMANGA"/>
    <n v="68001"/>
    <s v="2025-09-25"/>
    <n v="1"/>
    <s v="BUCARAMANGA"/>
    <x v="4"/>
    <n v="37313"/>
    <n v="37313"/>
  </r>
  <r>
    <n v="72714"/>
    <s v="CORREGIMIENTO LA LAGUNA"/>
    <n v="1085318288"/>
    <s v="3155342247"/>
    <s v="3155342247"/>
    <s v="3155342247"/>
    <s v="CORREGIMIENTO DE LA LAGUNA CA 21"/>
    <s v="1.2047561"/>
    <s v="-77.2107013"/>
    <s v="NARIÑO"/>
    <s v="PASTO"/>
    <s v="SAN JUAN DE PASTO"/>
    <n v="52001"/>
    <s v="2025-09-25"/>
    <n v="1"/>
    <s v="PASTO"/>
    <x v="3"/>
    <n v="49671.7"/>
    <n v="49671.7"/>
  </r>
  <r>
    <n v="72982"/>
    <s v="CORABASTOS BOGOTA CUNDINAMARCA"/>
    <n v="901641007"/>
    <s v="3143667822"/>
    <s v="3143667822"/>
    <s v="3143667822"/>
    <s v="CR 80 2 51. BOR LC 27 CORABASTOS"/>
    <s v="4.6325569"/>
    <s v="-74.1621742"/>
    <s v="CUNDINAMARCA"/>
    <s v="BOGOTÁ"/>
    <s v="BOGOTÁ"/>
    <n v="11001"/>
    <s v="2025-09-25"/>
    <n v="1"/>
    <s v="BOGOTA"/>
    <x v="2"/>
    <n v="37313"/>
    <n v="37313"/>
  </r>
  <r>
    <n v="67786"/>
    <s v="BARRIO CASTILLA MEDELLIN 9"/>
    <n v="70351583"/>
    <s v="3146306890"/>
    <s v="3104990765"/>
    <s v="3163955958"/>
    <s v="CR 68 98 20,CASTILLA"/>
    <s v="6.2939448"/>
    <s v="-75.5710597"/>
    <s v="ANTIOQUIA"/>
    <s v="MEDELLÍN"/>
    <s v="MEDELLÍN"/>
    <n v="5001"/>
    <s v="2025-09-25"/>
    <n v="1"/>
    <s v="MEDELLIN"/>
    <x v="0"/>
    <n v="37313"/>
    <n v="37313"/>
  </r>
  <r>
    <n v="68066"/>
    <s v="CHAPINERO CUCUTA NORTE DE SANTANDER"/>
    <n v="13462150"/>
    <s v="3054676179"/>
    <s v="3017463672"/>
    <s v="3127446547"/>
    <s v="CR ZULIA NRO 15-16 CHAPINERO ATALAYA I,CHAPINERO"/>
    <s v="7.9080675"/>
    <s v="-72.5159648"/>
    <s v="NORTE DE SANTANDER"/>
    <s v="CÚCUTA"/>
    <s v="CÚCUTA"/>
    <n v="54001"/>
    <s v="2025-09-25"/>
    <n v="1"/>
    <s v="CUCUTA"/>
    <x v="4"/>
    <n v="49671.7"/>
    <n v="49671.7"/>
  </r>
  <r>
    <n v="76015"/>
    <s v="BARRIO SAN ANTONIO MANIZALES 1"/>
    <n v="1053852692"/>
    <s v="3002498522"/>
    <s v="3002498522"/>
    <s v="3002498522"/>
    <s v="CL 18 26 06 SAN ANTONIO,SAN ANTONIO"/>
    <s v="5.0649377"/>
    <s v="-75.5200889"/>
    <s v="CALDAS"/>
    <s v="MANIZALES"/>
    <s v="MANIZALES"/>
    <n v="17001"/>
    <s v="2025-09-25"/>
    <n v="1"/>
    <s v="MANIZALES"/>
    <x v="6"/>
    <n v="49671.7"/>
    <n v="49671.7"/>
  </r>
  <r>
    <n v="76236"/>
    <s v="BARRIO EL CASTILLO JAMUNDI "/>
    <n v="1144029241"/>
    <s v="3152848806"/>
    <s v="3152848806"/>
    <s v="3152848806"/>
    <s v="KM 21 VIA CALI JAMUNDI CC HERRERIA LC 7,EL CASTILLO"/>
    <s v="3.2761650"/>
    <s v="-76.5168895"/>
    <s v="VALLE DEL CAUCA"/>
    <s v="JAMUNDÍ"/>
    <s v="JAMUNDÍ"/>
    <n v="76364"/>
    <s v="2025-09-25"/>
    <n v="1"/>
    <s v="CALI"/>
    <x v="3"/>
    <n v="37313"/>
    <n v="37313"/>
  </r>
  <r>
    <n v="76490"/>
    <s v="BARRIO LA PATRIA ARMENIA"/>
    <n v="1094898430"/>
    <s v="3113541262"/>
    <s v="3046388584"/>
    <s v="3046388584"/>
    <s v="MZ 42 CS 1 BRR LA PATRIA,LA PATRIA"/>
    <s v="4.5413515"/>
    <s v="-75.7025205"/>
    <s v="QUINDÍO"/>
    <s v="ARMENIA"/>
    <s v="ARMENIA"/>
    <n v="63001"/>
    <s v="2025-09-25"/>
    <n v="1"/>
    <s v="PEREIRA"/>
    <x v="6"/>
    <n v="37313"/>
    <n v="37313"/>
  </r>
  <r>
    <n v="76533"/>
    <s v="BARRIO SAN CARLOS KENNEDY BOGOTA"/>
    <n v="1030637626"/>
    <s v="3214764724"/>
    <s v="3214764724"/>
    <s v="3229429247"/>
    <s v="CL 41 B BIS 81 K 80 SUR,SAN CARLOS KENNEDY"/>
    <s v="4.6296244"/>
    <s v="-74.1662056"/>
    <s v="CUNDINAMARCA"/>
    <s v="BOGOTÁ"/>
    <s v="BOGOTÁ"/>
    <n v="11001"/>
    <s v="2025-09-25"/>
    <n v="1"/>
    <s v="BOGOTA"/>
    <x v="2"/>
    <n v="37313"/>
    <n v="37313"/>
  </r>
  <r>
    <n v="63744"/>
    <s v="BARRIO CENTRO BARRANQUILLA 38"/>
    <n v="890109982"/>
    <s v="3013688681"/>
    <s v="3013688681"/>
    <s v="3162331175"/>
    <s v="CL 37 46 138"/>
    <s v="10.9873248"/>
    <s v="-74.7790651"/>
    <s v="ATLÁNTICO"/>
    <s v="BARRANQUILLA"/>
    <s v="BARRANQUILLA"/>
    <n v="8001"/>
    <s v="2025-09-25"/>
    <n v="1"/>
    <s v="BARRANQUILLA"/>
    <x v="5"/>
    <n v="37313"/>
    <n v="37313"/>
  </r>
  <r>
    <n v="64072"/>
    <s v="  BARRIO FATIMA PAIPA   "/>
    <n v="1014189911"/>
    <s v="3114930043"/>
    <s v="3114930043"/>
    <s v="3124443894"/>
    <s v="Kr 24  14 -126 Lote 1"/>
    <s v="5.7841252"/>
    <s v="-73.1247309"/>
    <s v="BOYACÁ"/>
    <s v="PAIPA"/>
    <s v="PAIPA"/>
    <n v="15516"/>
    <s v="2025-09-25"/>
    <n v="1"/>
    <s v="TUNJA"/>
    <x v="4"/>
    <n v="49671.7"/>
    <n v="49671.7"/>
  </r>
  <r>
    <n v="64413"/>
    <s v="BARRIO LAS PEÑITAS TUNJA 1"/>
    <n v="24221843"/>
    <s v="3123055322"/>
    <s v="3123055322"/>
    <s v="3123055322"/>
    <s v="CL 12 01 05,LAS PEÑITAS"/>
    <s v="5.519498"/>
    <s v="-73.356163"/>
    <s v="BOYACÁ"/>
    <s v="TUNJA"/>
    <s v="TUNJA"/>
    <n v="15001"/>
    <s v="2025-09-25"/>
    <n v="1"/>
    <s v="TUNJA"/>
    <x v="4"/>
    <n v="49671.7"/>
    <n v="49671.7"/>
  </r>
  <r>
    <n v="65278"/>
    <s v="BARRIO PUERTO FLAUTA SOLEDAD SOLEDAD"/>
    <n v="36506144"/>
    <s v="3107083368"/>
    <s v="3107083368"/>
    <s v="3107083368"/>
    <s v="DG 41 23 17 ,PUERTO FLAUTA SOLEDAD"/>
    <s v="10.9203412"/>
    <s v="-74.7807552"/>
    <s v="ATLÁNTICO"/>
    <s v="SOLEDAD"/>
    <s v="SOLEDAD"/>
    <n v="8758"/>
    <s v="2025-09-25"/>
    <n v="1"/>
    <s v="BARRANQUILLA"/>
    <x v="5"/>
    <n v="37313"/>
    <n v="37313"/>
  </r>
  <r>
    <n v="78450"/>
    <s v="BARRIO MUNICIPAL CALI  2"/>
    <n v="66924905"/>
    <s v="3207018478"/>
    <s v="3207018478"/>
    <s v="3207018478"/>
    <s v="CL 33A 11 H 40 BRR MUNICIPAL,MUNICIPAL"/>
    <s v="3.4466041"/>
    <s v="-76.5118048"/>
    <s v="VALLE DEL CAUCA"/>
    <s v="CALI"/>
    <s v="SANTIAGO DE CALI"/>
    <n v="76001"/>
    <s v="2025-09-25"/>
    <n v="1"/>
    <s v="CALI"/>
    <x v="3"/>
    <n v="37313"/>
    <n v="37313"/>
  </r>
  <r>
    <n v="78922"/>
    <s v="BARRIO DOCE DE OCTUBRE VILLAVICENCIO 4"/>
    <n v="86069568"/>
    <s v="3174568720"/>
    <s v="3174568720"/>
    <s v="3174568720"/>
    <s v="CL 44 N 50 10 BRR DOCE DE OCTUBRE,BRR DOCE DE OCTUBRE"/>
    <s v="4.1568063"/>
    <s v="-73.6534783"/>
    <s v="META"/>
    <s v="VILLAVICENCIO"/>
    <s v="VILLAVICENCIO"/>
    <n v="50001"/>
    <s v="2025-09-25"/>
    <n v="1"/>
    <s v="VILLAVICENCIO"/>
    <x v="1"/>
    <n v="49671.7"/>
    <n v="49671.7"/>
  </r>
  <r>
    <n v="78871"/>
    <s v="BARRIO PANAMERICANO CUCUTA 2"/>
    <n v="1094281064"/>
    <s v="3219920119"/>
    <s v="3142873138"/>
    <s v="3219920119"/>
    <s v="CL 5 NRO 8-22 LC 101,PANAMERICANO"/>
    <s v="7.9297834"/>
    <s v="-72.5017883"/>
    <s v="NORTE DE SANTANDER"/>
    <s v="CÚCUTA"/>
    <s v="CÚCUTA"/>
    <n v="54001"/>
    <s v="2025-09-25"/>
    <n v="1"/>
    <s v="CUCUTA"/>
    <x v="4"/>
    <n v="49671.7"/>
    <n v="49671.7"/>
  </r>
  <r>
    <n v="79149"/>
    <s v="BARRIO NUEVA SANTA BARBARA TUNJA3"/>
    <n v="7163013"/>
    <s v="3112672642"/>
    <s v="3112672642"/>
    <m/>
    <s v="AV COLON 14 28,NUEVA SANTA BÁRBARA"/>
    <s v="5.5283064"/>
    <s v="-73.3664365"/>
    <s v="BOYACÁ"/>
    <s v="TUNJA"/>
    <s v="TUNJA"/>
    <n v="15001"/>
    <s v="2025-09-25"/>
    <n v="1"/>
    <s v="TUNJA"/>
    <x v="4"/>
    <n v="49671.7"/>
    <n v="49671.7"/>
  </r>
  <r>
    <n v="81201"/>
    <s v="BARRIO PORVENIR FLORENCIA"/>
    <n v="1117518971"/>
    <s v="3134692078"/>
    <s v="3134692078"/>
    <m/>
    <s v="CL 16 3 B 15 17,PORVENIR"/>
    <s v="1.6200176"/>
    <s v="-75.6051805"/>
    <s v="CAQUETÁ"/>
    <s v="FLORENCIA"/>
    <s v="FLORENCIA"/>
    <n v="18001"/>
    <s v="2025-09-25"/>
    <n v="1"/>
    <s v="NEIVA"/>
    <x v="1"/>
    <n v="49671.7"/>
    <n v="49671.7"/>
  </r>
  <r>
    <n v="73955"/>
    <s v="BARRIO BELMONTE PEREIRA 5"/>
    <n v="10026734"/>
    <s v="3006465153"/>
    <s v="3006465153"/>
    <s v="3006465153"/>
    <s v="BODEGAS VERDES CP 5 CENTRAL MAYORISTA MERCASA,BELMONTE"/>
    <s v="4.8048365"/>
    <s v="-75.7669816"/>
    <s v="RISARALDA"/>
    <s v="PEREIRA"/>
    <s v="PEREIRA"/>
    <n v="66001"/>
    <s v="2025-09-25"/>
    <n v="1"/>
    <s v="PEREIRA"/>
    <x v="6"/>
    <n v="37313"/>
    <n v="37313"/>
  </r>
  <r>
    <n v="74089"/>
    <s v="BARRIO CANDIDO LEGUIZAMO 1"/>
    <n v="1077224741"/>
    <s v="3219861864"/>
    <s v="3160684548"/>
    <s v="3160684548"/>
    <s v="CR 1 29 24,CANDIDO LEGUIZAMO"/>
    <s v="2.957780"/>
    <s v="-75.297043"/>
    <s v="HUILA"/>
    <s v="NEIVA"/>
    <s v="NEIVA"/>
    <n v="41001"/>
    <s v="2025-09-25"/>
    <n v="1"/>
    <s v="NEIVA"/>
    <x v="1"/>
    <n v="49671.7"/>
    <n v="49671.7"/>
  </r>
  <r>
    <n v="74095"/>
    <s v="BARRIO SANTA BARBARA BUCARAMANAGA"/>
    <n v="13178134"/>
    <s v="3214540143"/>
    <s v="3214540143"/>
    <s v="3214540143"/>
    <s v="CA 48 VEREDA SANTA BARBARA BUCARAMANGA,SANTA BARBARA"/>
    <s v="7.1068374"/>
    <s v="-73.0944908"/>
    <s v="SANTANDER"/>
    <s v="BUCARAMANGA"/>
    <s v="BUCARAMANGA"/>
    <n v="68001"/>
    <s v="2025-09-25"/>
    <n v="1"/>
    <s v="BUCARAMANGA"/>
    <x v="4"/>
    <n v="37313"/>
    <n v="37313"/>
  </r>
  <r>
    <n v="74226"/>
    <s v="BARRIO CASTILLA REAL 1 GIRON"/>
    <n v="901478213"/>
    <s v="3187379458"/>
    <s v="3187379458"/>
    <s v="3183982500"/>
    <s v="CR 19 28 12 MANZANA J CASA 7 CASTILLA REAL UNO,CASTILLA REAL 1"/>
    <s v="7.066013"/>
    <s v="-73.165069"/>
    <s v="SANTANDER"/>
    <s v="GIRÓN"/>
    <s v="GIRÓN"/>
    <n v="68307"/>
    <s v="2025-09-25"/>
    <n v="1"/>
    <s v="BUCARAMANGA"/>
    <x v="4"/>
    <n v="37313"/>
    <n v="37313"/>
  </r>
  <r>
    <n v="76638"/>
    <s v="BARRIO LOS ANDES ALTOS FLORENCIA"/>
    <n v="1006538123"/>
    <s v="3103453920"/>
    <s v="3103453920"/>
    <s v="3103453920"/>
    <s v="K 1 5 D 45,LOS ANDES ALTOS"/>
    <s v="1.612160"/>
    <s v="-75.596683"/>
    <s v="CAQUETÁ"/>
    <s v="FLORENCIA"/>
    <s v="FLORENCIA"/>
    <n v="18001"/>
    <s v="2025-09-25"/>
    <n v="1"/>
    <s v="NEIVA"/>
    <x v="1"/>
    <n v="49671.7"/>
    <n v="49671.7"/>
  </r>
  <r>
    <n v="73931"/>
    <s v="BARRIO BOSTON BARRANQUILLA 10"/>
    <n v="3876860"/>
    <s v="3106103367"/>
    <s v="3106103367"/>
    <s v="3113939775"/>
    <s v="CR 46 65-55 LO 3,BOSTON"/>
    <s v="10.99138"/>
    <s v="-74.79983"/>
    <s v="ATLÁNTICO"/>
    <s v="BARRANQUILLA"/>
    <s v="BARRANQUILLA"/>
    <n v="8001"/>
    <s v="2025-09-25"/>
    <n v="1"/>
    <s v="BARRANQUILLA"/>
    <x v="5"/>
    <n v="37313"/>
    <n v="37313"/>
  </r>
  <r>
    <n v="74106"/>
    <s v="BARRIO REAL DE MINAS BUCARAMANGA 3"/>
    <n v="91211177"/>
    <s v="3166195099"/>
    <s v="3157653524"/>
    <s v="3166195099"/>
    <s v="EN 15 LOCAL 109 PLAZA MAYOR REAL DE MINAS,REAL DE MINAS"/>
    <s v="7.1041609"/>
    <s v="-73.1242579"/>
    <s v="SANTANDER"/>
    <s v="BUCARAMANGA"/>
    <s v="BUCARAMANGA"/>
    <n v="68001"/>
    <s v="2025-09-25"/>
    <n v="1"/>
    <s v="BUCARAMANGA"/>
    <x v="4"/>
    <n v="37313"/>
    <n v="37313"/>
  </r>
  <r>
    <n v="74125"/>
    <s v="BARRIO LA CUMBRE FLORIDABLANCA 8"/>
    <n v="63320219"/>
    <s v="3219493406"/>
    <s v="3219493406"/>
    <s v="3158579418"/>
    <s v="CL 36 # 2 A E - 39 BARRIO LA CUMBRE FLORIDABLANCA,LA CUMBRE"/>
    <s v="7.0776618"/>
    <s v="-73.0914344"/>
    <s v="SANTANDER"/>
    <s v="FLORIDABLANCA"/>
    <s v="FLORIDABLANCA"/>
    <n v="68276"/>
    <s v="2025-09-25"/>
    <n v="1"/>
    <s v="BUCARAMANGA"/>
    <x v="4"/>
    <n v="37313"/>
    <n v="37313"/>
  </r>
  <r>
    <n v="74143"/>
    <s v="BARRIO VILLA CATANGA SOLEDAD 2"/>
    <n v="57417655"/>
    <s v="3015251086"/>
    <s v="3246806752"/>
    <s v="3246806752"/>
    <s v="CR 24 57 7,VILLA CATANGA"/>
    <s v="10.931988"/>
    <s v="-74.768170"/>
    <s v="ATLÁNTICO"/>
    <s v="SOLEDAD"/>
    <s v="SOLEDAD"/>
    <n v="8758"/>
    <s v="2025-09-25"/>
    <n v="1"/>
    <s v="BARRANQUILLA"/>
    <x v="5"/>
    <n v="37313"/>
    <n v="37313"/>
  </r>
  <r>
    <n v="74211"/>
    <s v="BARRIO LA ROSITA VILLAVICENCIO"/>
    <n v="1119893292"/>
    <s v="3115544953"/>
    <s v="3015060580"/>
    <s v="3015060580"/>
    <s v="MZ 1 B CASA 4 CALLE 9 SUR NRO 22 - 03 LA ROSITA,LA ROSITA"/>
    <s v="4.1153686"/>
    <s v="-73.6099613"/>
    <s v="META"/>
    <s v="VILLAVICENCIO"/>
    <s v="VILLAVICENCIO"/>
    <n v="50001"/>
    <s v="2025-09-25"/>
    <n v="1"/>
    <s v="VILLAVICENCIO"/>
    <x v="1"/>
    <n v="49671.7"/>
    <n v="49671.7"/>
  </r>
  <r>
    <n v="74197"/>
    <s v="BARRIO MANGA URB LA CABAÑA  CARTAGENA DE INDIAS"/>
    <n v="1118849518"/>
    <s v="3204150741"/>
    <s v="3204150741"/>
    <s v="3146495928"/>
    <s v="CR 25#27-55,MANGA URB LA CABAÑA"/>
    <s v="10.4098741"/>
    <s v="-75.5335245"/>
    <s v="BOLÍVAR"/>
    <s v="CARTAGENA DE INDIAS"/>
    <s v="CARTAGENA DE INDIAS"/>
    <n v="13001"/>
    <s v="2025-09-25"/>
    <n v="1"/>
    <s v="CARTAGENA"/>
    <x v="5"/>
    <n v="49671.7"/>
    <n v="49671.7"/>
  </r>
  <r>
    <n v="74462"/>
    <s v="BARRIO RETIRO ALTO POPAYAN  2"/>
    <n v="1061775772"/>
    <s v="3166025702"/>
    <s v="3166025702"/>
    <s v="3166025702"/>
    <s v="CL 15 20B - 10 BRR RETIRO ALTO,RETIRO ALTO"/>
    <s v="2.4392672"/>
    <s v="-76.6223698"/>
    <s v="CAUCA"/>
    <s v="POPAYÁN"/>
    <s v="POPAYÁN"/>
    <n v="19001"/>
    <s v="2025-09-25"/>
    <n v="1"/>
    <s v="CALI"/>
    <x v="3"/>
    <n v="37313"/>
    <n v="37313"/>
  </r>
  <r>
    <n v="76574"/>
    <s v="BARRIO JARDINES ARMENIA"/>
    <n v="1005093375"/>
    <s v="3217714610"/>
    <s v="3023081012"/>
    <s v="3206049937"/>
    <s v="FERIA DE LOS PLATANOS LC 5 JARDINES,JARDINES"/>
    <s v="4.5060825"/>
    <s v="-75.6915568"/>
    <s v="QUINDÍO"/>
    <s v="ARMENIA"/>
    <s v="ARMENIA"/>
    <n v="63001"/>
    <s v="2025-09-25"/>
    <n v="1"/>
    <s v="PEREIRA"/>
    <x v="6"/>
    <n v="37313"/>
    <n v="37313"/>
  </r>
  <r>
    <n v="76727"/>
    <s v="BARRIO VILLAS DEL TEJAR CUCUTA."/>
    <n v="1005029808"/>
    <s v="3146617796"/>
    <s v="3226048254"/>
    <s v="3146617796"/>
    <s v="AV 8 25 98 LC 2 VILLAS DEL TEJAR"/>
    <s v="7.944835"/>
    <s v="-72.508796"/>
    <s v="NORTE DE SANTANDER"/>
    <s v="CÚCUTA"/>
    <s v="CÚCUTA"/>
    <n v="54001"/>
    <s v="2025-09-25"/>
    <n v="1"/>
    <s v="CUCUTA"/>
    <x v="4"/>
    <n v="49671.7"/>
    <n v="49671.7"/>
  </r>
  <r>
    <n v="77029"/>
    <s v="BARRIO CAMILO TORRES POPAYAN 2"/>
    <n v="1065097939"/>
    <s v="3155632157"/>
    <s v="3127298402"/>
    <s v="3155632157"/>
    <s v="CR 26 3 A 12 CAMILO TORRES,CAMILO TORRES"/>
    <s v="2.4496545"/>
    <s v="-76.6221003"/>
    <s v="CAUCA"/>
    <s v="POPAYÁN"/>
    <s v="POPAYÁN"/>
    <n v="19001"/>
    <s v="2025-09-25"/>
    <n v="1"/>
    <s v="CALI"/>
    <x v="3"/>
    <n v="37313"/>
    <n v="37313"/>
  </r>
  <r>
    <n v="77305"/>
    <s v="BARRIO TOLEDO PLATA CUCUTA  2"/>
    <n v="1090482358"/>
    <s v="3042459085"/>
    <s v="3042459085"/>
    <s v="3042459085"/>
    <s v="AV CANAL BOGOTA 13 E 28 LC 1 ZULIMA URBANIZACIÓN ZULIMA"/>
    <s v="7.9172257"/>
    <s v="-72.4917431"/>
    <s v="NORTE DE SANTANDER"/>
    <s v="CÚCUTA"/>
    <s v="CÚCUTA"/>
    <n v="54001"/>
    <s v="2025-09-25"/>
    <n v="1"/>
    <s v="CUCUTA"/>
    <x v="4"/>
    <n v="49671.7"/>
    <n v="49671.7"/>
  </r>
  <r>
    <n v="74526"/>
    <s v="BARRIO MOGAMBO MONTERIA 9"/>
    <n v="1067845804"/>
    <s v="3144237363"/>
    <s v="3144237363"/>
    <s v="3144237363"/>
    <s v="MZ 43 LT10 LC 2 ,MOGAMBO"/>
    <s v="8.7282996"/>
    <s v="-75.8819909"/>
    <s v="CÓRDOBA"/>
    <s v="MONTERÍA"/>
    <s v="MONTERÍA"/>
    <n v="23001"/>
    <s v="2025-09-25"/>
    <n v="1"/>
    <s v="MONTERIA"/>
    <x v="5"/>
    <n v="37313"/>
    <n v="37313"/>
  </r>
  <r>
    <n v="74598"/>
    <s v="BARRIO VENECIA PEREIRA 2"/>
    <n v="1061803888"/>
    <s v="3217037337"/>
    <s v="3217037337"/>
    <s v="3217037337"/>
    <s v="CR 10 40 - 68,VENECIA"/>
    <s v="4.8140453"/>
    <s v="-75.7128797"/>
    <s v="RISARALDA"/>
    <s v="PEREIRA"/>
    <s v="PEREIRA"/>
    <n v="66001"/>
    <s v="2025-09-25"/>
    <n v="1"/>
    <s v="PEREIRA"/>
    <x v="6"/>
    <n v="37313"/>
    <n v="37313"/>
  </r>
  <r>
    <n v="74745"/>
    <s v="BARRIO JUAN XXIII MONTERIA 8"/>
    <n v="1064987577"/>
    <s v="3014407747"/>
    <s v="3014407747"/>
    <s v="3014407747"/>
    <s v="CR 1 W 38 37 APTO 01 ,JUAN XXIII"/>
    <s v="8.765718"/>
    <s v="-75.885502"/>
    <s v="CÓRDOBA"/>
    <s v="MONTERÍA"/>
    <s v="MONTERÍA"/>
    <n v="23001"/>
    <s v="2025-09-25"/>
    <n v="1"/>
    <s v="MONTERIA"/>
    <x v="5"/>
    <n v="37313"/>
    <n v="37313"/>
  </r>
  <r>
    <n v="74921"/>
    <s v="BARRIO CADIZ IBAGUE 2"/>
    <n v="26458404"/>
    <s v="3156462892"/>
    <s v="3156462892"/>
    <s v="3156462892"/>
    <s v="CR 4 D 35 12,CÁDIZ"/>
    <s v="4.437813"/>
    <s v="-75.218800 "/>
    <s v="TOLIMA"/>
    <s v="IBAGUÉ"/>
    <s v="IBAGUÉ"/>
    <n v="73001"/>
    <s v="2025-09-25"/>
    <n v="1"/>
    <s v="IBAGUE"/>
    <x v="1"/>
    <n v="49671.7"/>
    <n v="49671.7"/>
  </r>
  <r>
    <n v="74942"/>
    <s v="BARRIO VILLA CECILIA NEIVA"/>
    <n v="1075543775"/>
    <s v="3212534730"/>
    <s v="3222159536"/>
    <s v="3222159536"/>
    <s v="CL 50 26-76,VILLA CECILIA"/>
    <s v="2.778486"/>
    <s v="-75.258350"/>
    <s v="HUILA"/>
    <s v="NEIVA"/>
    <s v="NEIVA"/>
    <n v="41001"/>
    <s v="2025-09-25"/>
    <n v="1"/>
    <s v="NEIVA"/>
    <x v="1"/>
    <n v="49671.7"/>
    <n v="49671.7"/>
  </r>
  <r>
    <n v="75136"/>
    <s v="BARRIO LOS KIOSCOS ARMENIA"/>
    <n v="41957990"/>
    <s v="3004722466"/>
    <s v="3128558544"/>
    <s v="3128558544"/>
    <s v="BRR LOS KIOSCOS MZ D CASA 3 ,LOS KIOSCOS"/>
    <s v="4.5318358"/>
    <s v="-75.7027074"/>
    <s v="QUINDÍO"/>
    <s v="ARMENIA"/>
    <s v="ARMENIA"/>
    <n v="63001"/>
    <s v="2025-09-25"/>
    <n v="1"/>
    <s v="PEREIRA"/>
    <x v="6"/>
    <n v="37313"/>
    <n v="37313"/>
  </r>
  <r>
    <n v="79405"/>
    <s v="BARRIO BELLO HORIZONTE POPAYAN 112"/>
    <n v="1061774237"/>
    <s v="3122272062"/>
    <s v="3148136094"/>
    <s v="3148136094"/>
    <s v="CL 69 N 11 B 14 LC 1- BELLO HORIZONTE,BELLO HORIZONTE"/>
    <s v="2.4840141"/>
    <s v="-76.5652950"/>
    <s v="CAUCA"/>
    <s v="POPAYÁN"/>
    <s v="POPAYÁN"/>
    <n v="19001"/>
    <s v="2025-09-25"/>
    <n v="1"/>
    <s v="CALI"/>
    <x v="3"/>
    <n v="37313"/>
    <n v="37313"/>
  </r>
  <r>
    <n v="79512"/>
    <s v="BARRIO SALESIANO DUITAMA"/>
    <n v="23965297"/>
    <s v="3125101126"/>
    <s v="3214066215"/>
    <s v="3125101126"/>
    <s v="CR 9 NO 17A-09,SALESIANO"/>
    <s v="5.8342056"/>
    <s v="-73.0351303"/>
    <s v="BOYACÁ"/>
    <s v="DUITAMA"/>
    <s v="DUITAMA"/>
    <n v="15238"/>
    <s v="2025-09-25"/>
    <n v="1"/>
    <s v="TUNJA"/>
    <x v="4"/>
    <n v="49671.7"/>
    <n v="49671.7"/>
  </r>
  <r>
    <n v="79518"/>
    <s v="BARRIO URB CARACOLI MONTERIA"/>
    <n v="1065002910"/>
    <s v="3146324143"/>
    <s v="3146324143"/>
    <m/>
    <s v="CL 15 10 W 19 AP 02,URB CARACOLI"/>
    <s v="8.7540113"/>
    <s v="-75.9027996"/>
    <s v="CÓRDOBA"/>
    <s v="MONTERÍA"/>
    <s v="MONTERÍA"/>
    <n v="23001"/>
    <s v="2025-09-25"/>
    <n v="1"/>
    <s v="MONTERIA"/>
    <x v="5"/>
    <n v="37313"/>
    <n v="37313"/>
  </r>
  <r>
    <n v="76774"/>
    <s v="BARRIO COLINAS DE LA VICTORIA SAN CAYETANO"/>
    <n v="1007197305"/>
    <s v="3142765218"/>
    <s v="3142765218"/>
    <s v="3006737211"/>
    <s v="MZ 22 LT 5,COLINAS DE LA VICTORIA"/>
    <s v="7.87629718"/>
    <s v="-72.62923055"/>
    <s v="NORTE DE SANTANDER"/>
    <s v="SAN CAYETANO"/>
    <s v="SAN CAYETANO"/>
    <n v="54673"/>
    <s v="2025-09-25"/>
    <n v="1"/>
    <s v="CUCUTA"/>
    <x v="4"/>
    <n v="49671.7"/>
    <n v="49671.7"/>
  </r>
  <r>
    <n v="76859"/>
    <s v="BARRIO CGTO CORNEJO SAN CAYETANO"/>
    <n v="1090453130"/>
    <s v="3102923770"/>
    <s v="3102923770"/>
    <s v="3102923770"/>
    <s v="CA 78 5 CALLE 8A 28-52 LOTE 130,CGTO CORNEJO"/>
    <s v="7.907758"/>
    <s v="-72.648803"/>
    <s v="NORTE DE SANTANDER"/>
    <s v="SAN CAYETANO"/>
    <s v="SAN CAYETANO"/>
    <n v="54673"/>
    <s v="2025-09-25"/>
    <n v="1"/>
    <s v="CUCUTA"/>
    <x v="4"/>
    <n v="49671.7"/>
    <n v="49671.7"/>
  </r>
  <r>
    <n v="77045"/>
    <s v="BARRIO RELIQUIA VILLAVICENCIO 7"/>
    <n v="1006822067"/>
    <s v="3203501725"/>
    <s v="3017891434"/>
    <s v="3017891434"/>
    <s v="CR 62 ESTE 24 A # 05 MZ 91 CA 4 RELIQUIA"/>
    <s v="4.0821438"/>
    <s v="-73.5477091"/>
    <s v="META"/>
    <s v="VILLAVICENCIO"/>
    <s v="VILLAVICENCIO"/>
    <n v="50001"/>
    <s v="2025-09-25"/>
    <n v="1"/>
    <s v="VILLAVICENCIO"/>
    <x v="1"/>
    <n v="49671.7"/>
    <n v="49671.7"/>
  </r>
  <r>
    <n v="77173"/>
    <s v="BARRIO EL DORADO MONTERIA 12"/>
    <n v="1063725273"/>
    <s v="3107173059"/>
    <s v="3107173059"/>
    <s v="3107173059"/>
    <s v="CL 26 11 A W - 7,EL DORADO"/>
    <s v="8.761292"/>
    <s v="-75.897165"/>
    <s v="CÓRDOBA"/>
    <s v="MONTERÍA"/>
    <s v="MONTERÍA"/>
    <n v="23001"/>
    <s v="2025-09-25"/>
    <n v="1"/>
    <s v="MONTERIA"/>
    <x v="5"/>
    <n v="37313"/>
    <n v="37313"/>
  </r>
  <r>
    <n v="74493"/>
    <s v="BARRIO URB PRADOS DEL NORTE CUCUTA 11"/>
    <n v="88218669"/>
    <s v="3134692112"/>
    <s v="3134692112"/>
    <s v="3134692112"/>
    <s v="CL 19 A NORTE #2-167 LC 1,URB PRADOS DEL NORTE"/>
    <s v="7.91659347"/>
    <s v="-72.49761683"/>
    <s v="NORTE DE SANTANDER"/>
    <s v="CÚCUTA"/>
    <s v="CÚCUTA"/>
    <n v="54001"/>
    <s v="2025-09-25"/>
    <n v="1"/>
    <s v="CUCUTA"/>
    <x v="4"/>
    <n v="49671.7"/>
    <n v="49671.7"/>
  </r>
  <r>
    <n v="74547"/>
    <s v="BARRIO LOS ROSALES FLORIDABLANCA "/>
    <n v="1098709022"/>
    <s v="3154209040"/>
    <s v="3154209040"/>
    <s v="3154209040"/>
    <s v="CR 12 14 11,LOS ROSALES"/>
    <s v="7.0781323"/>
    <s v="-73.1032742"/>
    <s v="SANTANDER"/>
    <s v="FLORIDABLANCA"/>
    <s v="FLORIDABLANCA"/>
    <n v="68276"/>
    <s v="2025-09-25"/>
    <n v="1"/>
    <s v="BUCARAMANGA"/>
    <x v="4"/>
    <n v="37313"/>
    <n v="37313"/>
  </r>
  <r>
    <n v="74766"/>
    <s v="BARRIO PANAMA CAMPOALEGRE"/>
    <n v="1079179192"/>
    <s v="3157044371"/>
    <s v="3157044371"/>
    <s v="3157044371"/>
    <s v="CL 23 4 - 51,PANAMA"/>
    <s v="2.6865073"/>
    <s v="-75.3206769"/>
    <s v="HUILA"/>
    <s v="CAMPOALEGRE"/>
    <s v="CAMPOALEGRE"/>
    <n v="41132"/>
    <s v="2025-09-25"/>
    <n v="1"/>
    <s v="NEIVA"/>
    <x v="1"/>
    <n v="49671.7"/>
    <n v="49671.7"/>
  </r>
  <r>
    <n v="78881"/>
    <s v="BARRIO EL DORADO MONTERIA 13"/>
    <n v="1010063014"/>
    <s v="3014646810"/>
    <s v="3014646810"/>
    <m/>
    <s v="CL 23 14W - 23,EL DORADO"/>
    <s v="8.7611722"/>
    <s v="-75.9003958"/>
    <s v="CÓRDOBA"/>
    <s v="MONTERÍA"/>
    <s v="MONTERÍA"/>
    <n v="23001"/>
    <s v="2025-09-25"/>
    <n v="1"/>
    <s v="MONTERIA"/>
    <x v="5"/>
    <n v="37313"/>
    <n v="37313"/>
  </r>
  <r>
    <n v="78866"/>
    <s v="BARRIO SAN BARTOLOME BOCHALEMA"/>
    <n v="27634093"/>
    <s v="3123763042"/>
    <s v="3123763042"/>
    <m/>
    <s v="CL 2 2 78,SAN BARTOLOME"/>
    <s v="7.6131413"/>
    <s v="-72.6458726"/>
    <s v="NORTE DE SANTANDER"/>
    <s v="BOCHALEMA"/>
    <s v="BOCHALEMA"/>
    <n v="54099"/>
    <s v="2025-09-25"/>
    <n v="1"/>
    <s v="CUCUTA"/>
    <x v="4"/>
    <n v="49671.7"/>
    <n v="49671.7"/>
  </r>
  <r>
    <n v="78916"/>
    <s v="BARRIO SANTO DOMINGO VALLEDUPAR 1"/>
    <n v="1065659018"/>
    <s v="3182831113"/>
    <s v="3182831113"/>
    <m/>
    <s v="CR 4 20 99 P1 APTO 03,SANTO DOMINGO"/>
    <s v="10.4693384"/>
    <s v="-73.2359448"/>
    <s v="CESAR"/>
    <s v="VALLEDUPAR"/>
    <s v="VALLEDUPAR"/>
    <n v="20001"/>
    <s v="2025-09-25"/>
    <n v="1"/>
    <s v="VALLEDUPAR"/>
    <x v="5"/>
    <n v="49671.7"/>
    <n v="49671.7"/>
  </r>
  <r>
    <n v="79060"/>
    <s v="BARRIO ITAGUI ITAGUI 30"/>
    <n v="1036656315"/>
    <s v="3042083939"/>
    <s v="3042083939"/>
    <s v="3042083939"/>
    <s v="CR 57 B 69 B-05,ITAGUI"/>
    <s v="6.1850392"/>
    <s v="-75.6046136"/>
    <s v="ANTIOQUIA"/>
    <s v="ITAGÜÍ"/>
    <s v="ITAGÜÍ"/>
    <n v="5360"/>
    <s v="2025-09-25"/>
    <n v="1"/>
    <s v="MEDELLIN"/>
    <x v="0"/>
    <n v="37313"/>
    <n v="37313"/>
  </r>
  <r>
    <n v="78505"/>
    <s v="BARRIO SAN FRANCISCO BUCARAMANGA  18"/>
    <n v="1007726166"/>
    <s v="3012774688"/>
    <s v="3012774688"/>
    <s v="3012774688"/>
    <s v="CL 18 # 24 - 05 LOCAL 5 BARRIO SAN FRANCISCO BUCARAMANGA ,SAN FRANCISCO"/>
    <s v="7.1310711"/>
    <s v="-73.1219702"/>
    <s v="SANTANDER"/>
    <s v="BUCARAMANGA"/>
    <s v="BUCARAMANGA"/>
    <n v="68001"/>
    <s v="2025-09-25"/>
    <n v="1"/>
    <s v="BUCARAMANGA"/>
    <x v="4"/>
    <n v="37313"/>
    <n v="37313"/>
  </r>
  <r>
    <n v="78879"/>
    <s v="BARRIO RANCHO GRANDE MONTERIA 6"/>
    <n v="1007273070"/>
    <s v="3202388691"/>
    <s v="3202388691"/>
    <m/>
    <s v="SEC 1 MZ 39 - 8 AP 01 ,RANCHO GRANDE"/>
    <s v="8.7537042"/>
    <s v="-75.9069798"/>
    <s v="CÓRDOBA"/>
    <s v="MONTERÍA"/>
    <s v="MONTERÍA"/>
    <n v="23001"/>
    <s v="2025-09-25"/>
    <n v="1"/>
    <s v="MONTERIA"/>
    <x v="5"/>
    <n v="37313"/>
    <n v="37313"/>
  </r>
  <r>
    <n v="78897"/>
    <s v="BARRIO 450 AÑOS VALLEDUPAR"/>
    <n v="1003167094"/>
    <s v="3215789925"/>
    <s v="3215789925"/>
    <m/>
    <s v="MZ 60 CA 2 BRR 450 AÑOS ET 2,450 AÑOS"/>
    <s v="10.4419065"/>
    <s v="-73.2793087"/>
    <s v="CESAR"/>
    <s v="VALLEDUPAR"/>
    <s v="VALLEDUPAR"/>
    <n v="20001"/>
    <s v="2025-09-25"/>
    <n v="1"/>
    <s v="VALLEDUPAR"/>
    <x v="5"/>
    <n v="49671.7"/>
    <n v="49671.7"/>
  </r>
  <r>
    <n v="79109"/>
    <s v="BARRIO VILLA ANA I MONTERIA"/>
    <n v="10775381"/>
    <s v="3103651013"/>
    <s v="3103651013"/>
    <m/>
    <s v="MZ 9 LT 1 ,VILLA ANA I"/>
    <s v="8.7291727"/>
    <s v="-75.8744897"/>
    <s v="CÓRDOBA"/>
    <s v="MONTERÍA"/>
    <s v="MONTERÍA"/>
    <n v="23001"/>
    <s v="2025-09-25"/>
    <n v="1"/>
    <s v="MONTERIA"/>
    <x v="5"/>
    <n v="37313"/>
    <n v="37313"/>
  </r>
  <r>
    <n v="79150"/>
    <s v="BARRIO LIBERTADOR TUNJA 2"/>
    <n v="1049646188"/>
    <s v="3043690919"/>
    <s v="3043690919"/>
    <m/>
    <s v="CR 15 6 07,LIBERTADOR"/>
    <s v="5.5207410"/>
    <s v="-73.3705060"/>
    <s v="BOYACÁ"/>
    <s v="TUNJA"/>
    <s v="TUNJA"/>
    <n v="15001"/>
    <s v="2025-09-25"/>
    <n v="1"/>
    <s v="TUNJA"/>
    <x v="4"/>
    <n v="49671.7"/>
    <n v="49671.7"/>
  </r>
  <r>
    <n v="79197"/>
    <s v="BARRIO MARIA OCCIDENTE POPAYAN 1"/>
    <n v="1064434289"/>
    <s v="3133320008"/>
    <s v="3133320008"/>
    <s v="3133320008"/>
    <s v="CL 2 40A - 20 - MARIA OCCIDENTE,MARIA OCCIDENTE"/>
    <s v="2.4710149"/>
    <s v="-76.5820139"/>
    <s v="CAUCA"/>
    <s v="POPAYÁN"/>
    <s v="POPAYÁN"/>
    <n v="19001"/>
    <s v="2025-09-25"/>
    <n v="1"/>
    <s v="CALI"/>
    <x v="3"/>
    <n v="37313"/>
    <n v="37313"/>
  </r>
  <r>
    <n v="75743"/>
    <s v="BARRIO NUEVO CORINTO BOGOTA"/>
    <n v="40767642"/>
    <s v="3160565368"/>
    <s v="3134192895"/>
    <s v="3134192895"/>
    <s v="CR 104 C 128 C 76,NUEVO CORINTO"/>
    <s v="4.7301112"/>
    <s v="-74.1017283"/>
    <s v="CUNDINAMARCA"/>
    <s v="BOGOTÁ"/>
    <s v="BOGOTÁ"/>
    <n v="11001"/>
    <s v="2025-09-25"/>
    <n v="1"/>
    <s v="BOGOTA"/>
    <x v="2"/>
    <n v="37313"/>
    <n v="37313"/>
  </r>
  <r>
    <n v="78539"/>
    <s v="BARRIO CENTRO MANIZALES  26"/>
    <n v="901504193"/>
    <s v="3193927726"/>
    <s v="3193927726"/>
    <s v="3193927726"/>
    <s v="CR 22 14 67 - CENTRO,CENTRO"/>
    <s v="5.0674823"/>
    <s v="-75.5223060"/>
    <s v="CALDAS"/>
    <s v="MANIZALES"/>
    <s v="MANIZALES"/>
    <n v="17001"/>
    <s v="2025-09-25"/>
    <n v="1"/>
    <s v="MANIZALES"/>
    <x v="6"/>
    <n v="49671.7"/>
    <n v="49671.7"/>
  </r>
  <r>
    <n v="78802"/>
    <s v="BARRIO VILLABEL FLORIDABLANCA  2"/>
    <n v="63561814"/>
    <s v="3173170992"/>
    <s v="3173170992"/>
    <m/>
    <s v="CL 9 # 12 - 98 BR VILLABEL FLORIDABLANCA,VILLABEL"/>
    <s v="7.0811396"/>
    <s v="-73.1034847"/>
    <s v="SANTANDER"/>
    <s v="FLORIDABLANCA"/>
    <s v="FLORIDABLANCA"/>
    <n v="68276"/>
    <s v="2025-09-25"/>
    <n v="1"/>
    <s v="BUCARAMANGA"/>
    <x v="4"/>
    <n v="37313"/>
    <n v="37313"/>
  </r>
  <r>
    <n v="78829"/>
    <s v="BARRIO LA CENTRAL SOLEDAD 1"/>
    <n v="22647678"/>
    <s v="3245051519"/>
    <s v="3245051519"/>
    <s v="3245051519"/>
    <s v="CR 5 69 05,LA CENTRAL"/>
    <s v="10.8914102"/>
    <s v="-74.8086738"/>
    <s v="ATLÁNTICO"/>
    <s v="SOLEDAD"/>
    <s v="SOLEDAD"/>
    <n v="8758"/>
    <s v="2025-09-25"/>
    <n v="1"/>
    <s v="BARRANQUILLA"/>
    <x v="5"/>
    <n v="37313"/>
    <n v="37313"/>
  </r>
  <r>
    <n v="77235"/>
    <s v="BARRIO MINUTO DE DIOS FLORENCIA 2"/>
    <n v="1117523875"/>
    <s v="3197404241"/>
    <s v="3197404241"/>
    <s v="3197404241"/>
    <s v="MINUTO DE DIOS,MINUTO DE DIOS"/>
    <s v="1.617618"/>
    <s v="-75.594101"/>
    <s v="CAQUETÁ"/>
    <s v="FLORENCIA"/>
    <s v="FLORENCIA"/>
    <n v="18001"/>
    <s v="2025-09-25"/>
    <n v="1"/>
    <s v="NEIVA"/>
    <x v="1"/>
    <n v="49671.7"/>
    <n v="49671.7"/>
  </r>
  <r>
    <n v="77279"/>
    <s v="BARRIO _x0009_CENTRO COMERCIAL PARAGUITAS  FLORIDABLANCA"/>
    <n v="63541999"/>
    <s v="3175241827"/>
    <s v="3175241827"/>
    <s v="3175241827"/>
    <s v="CR 36 # 193 - 130 LOCAL C - 21,CENTRO COMERCIAL PARAGUITAS"/>
    <s v="7.0649900"/>
    <s v="-73.0852610"/>
    <s v="SANTANDER"/>
    <s v="FLORIDABLANCA"/>
    <s v="FLORIDABLANCA"/>
    <n v="68276"/>
    <s v="2025-09-25"/>
    <n v="1"/>
    <s v="BUCARAMANGA"/>
    <x v="4"/>
    <n v="37313"/>
    <n v="37313"/>
  </r>
  <r>
    <n v="77410"/>
    <s v="BARRIO 6 DE MARZO MONTERIA 5"/>
    <n v="71003625"/>
    <s v="3114288080"/>
    <s v="3137201169"/>
    <s v="3137201169"/>
    <s v="CR 21 CL 12 33,6 DE MARZO"/>
    <s v="8.740880"/>
    <s v="-75.878780"/>
    <s v="CÓRDOBA"/>
    <s v="MONTERÍA"/>
    <s v="MONTERÍA"/>
    <n v="23001"/>
    <s v="2025-09-25"/>
    <n v="1"/>
    <s v="MONTERIA"/>
    <x v="5"/>
    <n v="37313"/>
    <n v="37313"/>
  </r>
  <r>
    <n v="73916"/>
    <s v="BARRIO ROBLEDO AURES 3 MEDELLIN 3"/>
    <n v="98469616"/>
    <s v="6045838764"/>
    <s v="3112911210"/>
    <s v="3112911210"/>
    <s v="CARRERA 92 B 85 04,ROBLEDO AURES"/>
    <s v="6.2911866"/>
    <s v="-75.5912951"/>
    <s v="ANTIOQUIA"/>
    <s v="MEDELLÍN"/>
    <s v="MEDELLÍN"/>
    <n v="5001"/>
    <s v="2025-09-25"/>
    <n v="1"/>
    <s v="MEDELLIN"/>
    <x v="0"/>
    <n v="37313"/>
    <n v="37313"/>
  </r>
  <r>
    <n v="74045"/>
    <s v="BARRIO CARRIZAL BARRANQUILLA  8"/>
    <n v="13539753"/>
    <s v="3244166248"/>
    <s v="3154280243"/>
    <s v="3045885350"/>
    <s v="CL 49 F 02 F - 04,CARRIZAL"/>
    <s v="10.93576"/>
    <s v="-74.80591"/>
    <s v="ATLÁNTICO"/>
    <s v="BARRANQUILLA"/>
    <s v="BARRANQUILLA"/>
    <n v="8001"/>
    <s v="2025-09-25"/>
    <n v="1"/>
    <s v="BARRANQUILLA"/>
    <x v="5"/>
    <n v="37313"/>
    <n v="37313"/>
  </r>
  <r>
    <n v="74086"/>
    <s v="BARRIO SANTA ANA TUNJA 3"/>
    <n v="1049636397"/>
    <s v="3245677205"/>
    <s v="3245677205"/>
    <s v="3245677205"/>
    <s v="TV 3 A 59 18,SANTA ANA"/>
    <s v="5.5646876"/>
    <s v="-73.3458578"/>
    <s v="BOYACÁ"/>
    <s v="TUNJA"/>
    <s v="TUNJA"/>
    <n v="15001"/>
    <s v="2025-09-25"/>
    <n v="1"/>
    <s v="TUNJA"/>
    <x v="4"/>
    <n v="49671.7"/>
    <n v="49671.7"/>
  </r>
  <r>
    <n v="74087"/>
    <s v="BARRIO LOS PATRIOTAS TUNJA"/>
    <n v="1192761848"/>
    <s v="3204212224"/>
    <s v="3204212224"/>
    <s v="3204212224"/>
    <s v="CL 15 3 A 24,LOS PATRIOTAS"/>
    <s v="5.525"/>
    <s v="-73.356"/>
    <s v="BOYACÁ"/>
    <s v="TUNJA"/>
    <s v="TUNJA"/>
    <n v="15001"/>
    <s v="2025-09-25"/>
    <n v="1"/>
    <s v="TUNJA"/>
    <x v="4"/>
    <n v="49671.7"/>
    <n v="49671.7"/>
  </r>
  <r>
    <n v="74118"/>
    <s v="BARRIO VILLA DEL NORTE TUNJA"/>
    <n v="40048730"/>
    <s v="3213801289"/>
    <s v="3213801289"/>
    <s v="3213801289"/>
    <s v="CR 10 66 17,VILLA DEL NORTE"/>
    <s v="5.57209793"/>
    <s v="-73.34433707"/>
    <s v="BOYACÁ"/>
    <s v="TUNJA"/>
    <s v="TUNJA"/>
    <n v="15001"/>
    <s v="2025-09-25"/>
    <n v="1"/>
    <s v="TUNJA"/>
    <x v="4"/>
    <n v="49671.7"/>
    <n v="49671.7"/>
  </r>
  <r>
    <n v="74208"/>
    <s v="BARRIO TRINIDAD NEIVA "/>
    <n v="55067798"/>
    <s v="3176087671"/>
    <s v="3176087671"/>
    <s v="3176087671"/>
    <s v="CL 72 A 23 03,BARRIO TRINIDAD"/>
    <s v="2.966358"/>
    <s v="-75.278435"/>
    <s v="HUILA"/>
    <s v="NEIVA"/>
    <s v="NEIVA"/>
    <n v="41001"/>
    <s v="2025-09-25"/>
    <n v="1"/>
    <s v="NEIVA"/>
    <x v="1"/>
    <n v="49671.7"/>
    <n v="49671.7"/>
  </r>
  <r>
    <n v="74179"/>
    <s v="BARRIO BOSTON MEDELLI 5"/>
    <n v="43488918"/>
    <s v="3113391198"/>
    <s v="3113391198"/>
    <s v="3113391198"/>
    <s v="CL 54 # 42 -37"/>
    <s v="6.2497145"/>
    <s v="-75.5609289"/>
    <s v="ANTIOQUIA"/>
    <s v="MEDELLÍN"/>
    <s v="MEDELLÍN"/>
    <n v="5001"/>
    <s v="2025-09-25"/>
    <n v="2"/>
    <s v="MEDELLIN"/>
    <x v="0"/>
    <n v="37313"/>
    <n v="74626"/>
  </r>
  <r>
    <n v="79088"/>
    <s v="BARRIO GIRALUZ GIRON"/>
    <n v="1124863835"/>
    <s v="3156242085"/>
    <s v="3156242085"/>
    <m/>
    <s v="CR 29 A 34 A 284 GIRALUZ,GIRALUZ"/>
    <s v="7.0730773"/>
    <s v="-73.1726611"/>
    <s v="SANTANDER"/>
    <s v="GIRÓN"/>
    <s v="GIRÓN"/>
    <n v="68307"/>
    <s v="2025-09-25"/>
    <n v="1"/>
    <s v="BUCARAMANGA"/>
    <x v="4"/>
    <n v="37313"/>
    <n v="37313"/>
  </r>
  <r>
    <n v="79070"/>
    <s v="BARRIO BUENOS AIRES CUCUTA  5"/>
    <n v="1090363907"/>
    <s v="3138614486"/>
    <s v="3138614486"/>
    <m/>
    <s v="CL 25 NRO 7-02 LC 1,BUENOS AIRES"/>
    <s v="7.9289567"/>
    <s v="-72.5204696"/>
    <s v="NORTE DE SANTANDER"/>
    <s v="CÚCUTA"/>
    <s v="CÚCUTA"/>
    <n v="54001"/>
    <s v="2025-09-25"/>
    <n v="1"/>
    <s v="CUCUTA"/>
    <x v="4"/>
    <n v="49671.7"/>
    <n v="49671.7"/>
  </r>
  <r>
    <n v="79281"/>
    <s v="BARRIO LOMBARDIA BOGOTA"/>
    <n v="79046334"/>
    <s v="3052626162"/>
    <s v="3052626162"/>
    <s v="3052626162"/>
    <s v="CR 111 142 40 LC 101,LOMBARDIA"/>
    <s v="4.7466133"/>
    <s v="-74.1010233"/>
    <s v="CUNDINAMARCA"/>
    <s v="BOGOTÁ"/>
    <s v="BOGOTÁ"/>
    <n v="11001"/>
    <s v="2025-09-25"/>
    <n v="1"/>
    <s v="BOGOTA"/>
    <x v="2"/>
    <n v="37313"/>
    <n v="37313"/>
  </r>
  <r>
    <n v="79282"/>
    <s v="BARRIO TIERRA BUENA (PARQUE CENTRAL TINTAL 3) BOGOTA"/>
    <n v="1128441789"/>
    <s v="3170918945"/>
    <s v="3151161610"/>
    <s v="3170918945"/>
    <s v="TV 97 A 2 70 UR PAR CENTRAL TINTAL 3 POR 1 TO 22 AP 101,TIERRA BUENA (PARQUE CENTRAL TINTAL 3)"/>
    <s v="4.6517676"/>
    <s v="-74.1679949"/>
    <s v="CUNDINAMARCA"/>
    <s v="BOGOTÁ"/>
    <s v="BOGOTÁ"/>
    <n v="11001"/>
    <s v="2025-09-25"/>
    <n v="1"/>
    <s v="BOGOTA"/>
    <x v="2"/>
    <n v="37313"/>
    <n v="37313"/>
  </r>
  <r>
    <n v="79372"/>
    <s v="BARRIO ITAGUI ITAGUI 31"/>
    <n v="1007222959"/>
    <s v="3015356383"/>
    <s v="3015356383"/>
    <s v="3015356383"/>
    <s v="CR 57 40 67,ITAGÜÍ"/>
    <s v="6.1737702"/>
    <s v="-75.6176022"/>
    <s v="ANTIOQUIA"/>
    <s v="ITAGÜÍ"/>
    <s v="ITAGÜÍ"/>
    <n v="5360"/>
    <s v="2025-09-25"/>
    <n v="1"/>
    <s v="MEDELLIN"/>
    <x v="0"/>
    <n v="37313"/>
    <n v="37313"/>
  </r>
  <r>
    <n v="79396"/>
    <s v="BARRIO URB VILLA NOVA MONTERIA"/>
    <n v="1027954215"/>
    <s v="3026616503"/>
    <s v="3026616503"/>
    <s v="3026616503"/>
    <s v="CL 43 C 18 18 LC 02,URB VILLA NOVA"/>
    <s v="8.7513867"/>
    <s v="-75.8645481"/>
    <s v="CÓRDOBA"/>
    <s v="MONTERÍA"/>
    <s v="MONTERÍA"/>
    <n v="23001"/>
    <s v="2025-09-25"/>
    <n v="1"/>
    <s v="MONTERIA"/>
    <x v="5"/>
    <n v="37313"/>
    <n v="37313"/>
  </r>
  <r>
    <n v="79385"/>
    <s v="BARRIO CENTRO FLORENCIA 37"/>
    <n v="1117503344"/>
    <s v="3155671214"/>
    <s v="3155671214"/>
    <s v="3155671214"/>
    <s v="CL 16 13 35,CENTRO"/>
    <s v="1.6156436"/>
    <s v="-75.6151282"/>
    <s v="CAQUETÁ"/>
    <s v="FLORENCIA"/>
    <s v="FLORENCIA"/>
    <n v="18001"/>
    <s v="2025-09-25"/>
    <n v="1"/>
    <s v="NEIVA"/>
    <x v="1"/>
    <n v="49671.7"/>
    <n v="49671.7"/>
  </r>
  <r>
    <n v="74739"/>
    <s v="BARRIO CALIFORNIA POPAYAN"/>
    <n v="34327763"/>
    <s v="3041048819"/>
    <s v="3113051951"/>
    <s v="3113051951"/>
    <s v="CR 29 27 92 BRR CALIFORNIA"/>
    <s v="2.4401608"/>
    <s v="-76.6340133"/>
    <s v="CAUCA"/>
    <s v="POPAYÁN"/>
    <s v="POPAYÁN"/>
    <n v="19001"/>
    <s v="2025-09-25"/>
    <n v="1"/>
    <s v="CALI"/>
    <x v="3"/>
    <n v="37313"/>
    <n v="37313"/>
  </r>
  <r>
    <n v="74907"/>
    <s v="BARRIO SAN ANTONIO TUNJA 3"/>
    <n v="1057185898"/>
    <s v="3102503437"/>
    <s v="3102503437"/>
    <s v="3102503437"/>
    <s v="CL 8 2 B 14,SAN ANTONIO"/>
    <s v="5.5197900"/>
    <s v="-73.3581406"/>
    <s v="BOYACÁ"/>
    <s v="TUNJA"/>
    <s v="TUNJA"/>
    <n v="15001"/>
    <s v="2025-09-25"/>
    <n v="1"/>
    <s v="TUNJA"/>
    <x v="4"/>
    <n v="49671.7"/>
    <n v="49671.7"/>
  </r>
  <r>
    <n v="79545"/>
    <s v="BARRIO CENTRO CALI 40"/>
    <n v="31576067"/>
    <s v="3015027881"/>
    <s v="3015027881"/>
    <m/>
    <s v="--KR 4 9 47 LC 102,CENTRO"/>
    <s v="3.4515038"/>
    <s v="-76.5341146"/>
    <s v="VALLE DEL CAUCA"/>
    <s v="CALI"/>
    <s v="SANTIAGO DE CALI"/>
    <n v="76001"/>
    <s v="2025-09-25"/>
    <n v="1"/>
    <s v="CALI"/>
    <x v="3"/>
    <n v="37313"/>
    <n v="37313"/>
  </r>
  <r>
    <n v="74105"/>
    <s v="BARRIO SAN GERARDO BUCARAMANGA 1"/>
    <n v="91102714"/>
    <s v="3135330209"/>
    <s v="3135330209"/>
    <s v="3135330209"/>
    <s v="CL 63 11 146 BARRIO SAN GERARDO,SAN GERARDO"/>
    <s v="7.0978246"/>
    <s v="-73.1247739"/>
    <s v="SANTANDER"/>
    <s v="BUCARAMANGA"/>
    <s v="BUCARAMANGA"/>
    <n v="68001"/>
    <s v="2025-09-25"/>
    <n v="1"/>
    <s v="BUCARAMANGA"/>
    <x v="4"/>
    <n v="37313"/>
    <n v="37313"/>
  </r>
  <r>
    <n v="74167"/>
    <s v="BARRIO QUINTA DEL CAMPESTRE GIRON"/>
    <n v="1152469871"/>
    <s v="3183295333"/>
    <s v="3005003001"/>
    <s v="3183295333"/>
    <s v="CR 26 #  11 -  27 BRR ARENALES CANPESTRE"/>
    <s v="7.0563448"/>
    <s v="-73.1700731"/>
    <s v="SANTANDER"/>
    <s v="GIRÓN"/>
    <s v="GIRÓN"/>
    <n v="68307"/>
    <s v="2025-09-25"/>
    <n v="1"/>
    <s v="BUCARAMANGA"/>
    <x v="4"/>
    <n v="37313"/>
    <n v="37313"/>
  </r>
  <r>
    <n v="74198"/>
    <s v="BARRIO SANTA RITA TUNJA 3"/>
    <n v="23753295"/>
    <s v="3115978556"/>
    <s v="3115978556"/>
    <s v="3115978556"/>
    <s v="CL 56 A 10 50,SANTA RITA"/>
    <s v="5.56589181"/>
    <s v="-73.35017254"/>
    <s v="BOYACÁ"/>
    <s v="TUNJA"/>
    <s v="TUNJA"/>
    <n v="15001"/>
    <s v="2025-09-25"/>
    <n v="1"/>
    <s v="TUNJA"/>
    <x v="4"/>
    <n v="49671.7"/>
    <n v="49671.7"/>
  </r>
  <r>
    <n v="74472"/>
    <s v="BARRIO AMARAL VILLAVICENCIO "/>
    <n v="79451005"/>
    <s v="3125482088"/>
    <s v="3105547923"/>
    <s v="3105547923"/>
    <s v="CL 25 20 129 LC 2 AMARAL"/>
    <s v="4.141642"/>
    <s v="-73.623742"/>
    <s v="META"/>
    <s v="VILLAVICENCIO"/>
    <s v="VILLAVICENCIO"/>
    <n v="50001"/>
    <s v="2025-09-25"/>
    <n v="1"/>
    <s v="VILLAVICENCIO"/>
    <x v="1"/>
    <n v="49671.7"/>
    <n v="49671.7"/>
  </r>
  <r>
    <n v="74449"/>
    <s v="BARRIO RIOS DE AGUA VIVA DE LA ARBOLEDAD SOLEDAD"/>
    <n v="1129538936"/>
    <s v="3245344397"/>
    <s v="3006982524"/>
    <s v="3006982524"/>
    <s v="CR 33 44 A 12,RÍOS DE AGUA VIVA ” DETRÁS DE LA ARBOLEDA ”"/>
    <s v="10.932126"/>
    <s v="-74.768098"/>
    <s v="ATLÁNTICO"/>
    <s v="SOLEDAD"/>
    <s v="SOLEDAD"/>
    <n v="8758"/>
    <s v="2025-09-25"/>
    <n v="1"/>
    <s v="BARRANQUILLA"/>
    <x v="5"/>
    <n v="37313"/>
    <n v="37313"/>
  </r>
  <r>
    <n v="74961"/>
    <s v="BARRIO LA FLORESTA CAMPOALGRE"/>
    <n v="36087668"/>
    <s v="3187951555"/>
    <s v="3142364577"/>
    <s v="3142364577"/>
    <s v="CR 5 16 A 15,LA FLORESTA"/>
    <s v="2.682414"/>
    <s v="-75.323282"/>
    <s v="HUILA"/>
    <s v="CAMPOALEGRE"/>
    <s v="CAMPOALEGRE"/>
    <n v="41132"/>
    <s v="2025-09-25"/>
    <n v="1"/>
    <s v="NEIVA"/>
    <x v="1"/>
    <n v="49671.7"/>
    <n v="49671.7"/>
  </r>
  <r>
    <n v="75123"/>
    <s v="BARRIO LA CONCORDIA 1 BOGOTA"/>
    <n v="79845084"/>
    <s v="3103056053"/>
    <s v="3103056053"/>
    <s v="3202279138"/>
    <s v="CL 41 SUR 82 B 11.LA CONCORDIA 1"/>
    <s v="4.630251"/>
    <s v="-74.165802"/>
    <s v="CUNDINAMARCA"/>
    <s v="BOGOTÁ"/>
    <s v="BOGOTÁ"/>
    <n v="11001"/>
    <s v="2025-09-25"/>
    <n v="1"/>
    <s v="BOGOTA"/>
    <x v="2"/>
    <n v="37313"/>
    <n v="37313"/>
  </r>
  <r>
    <n v="78956"/>
    <s v="BARRIO VIVEROS IBAGUE 2 "/>
    <n v="1007410903"/>
    <s v="3113542148"/>
    <s v="3113542148"/>
    <m/>
    <s v="CR 12 33-67,VIVEROS"/>
    <s v="4.4450253"/>
    <s v="-75.2178687"/>
    <s v="TOLIMA"/>
    <s v="IBAGUÉ"/>
    <s v="IBAGUÉ"/>
    <n v="73001"/>
    <s v="2025-09-25"/>
    <n v="1"/>
    <s v="IBAGUE"/>
    <x v="1"/>
    <n v="49671.7"/>
    <n v="49671.7"/>
  </r>
  <r>
    <n v="79316"/>
    <s v="BARRIO LOMAS DE GRANADA POPAYAN 7"/>
    <n v="1059237329"/>
    <s v="3153117198"/>
    <s v="3150516228"/>
    <s v="3150516228"/>
    <s v="CL 3 56 - 01 LOMAS DE GRANADA ,LOMAS DE GRANADA"/>
    <s v="2.4598188"/>
    <s v="-76.6440333"/>
    <s v="CAUCA"/>
    <s v="POPAYÁN"/>
    <s v="POPAYÁN"/>
    <n v="19001"/>
    <s v="2025-09-25"/>
    <n v="1"/>
    <s v="CALI"/>
    <x v="3"/>
    <n v="37313"/>
    <n v="37313"/>
  </r>
  <r>
    <n v="79054"/>
    <s v="BARRIO LA GAITA CARTAGENA DE INDIAS"/>
    <n v="1142919881"/>
    <s v="3114220847"/>
    <s v="3114220847"/>
    <m/>
    <s v="MZ D LT 2 P1,BRR LA GAITA"/>
    <s v="10.3701975"/>
    <s v="-75.4832417"/>
    <s v="BOLÍVAR"/>
    <s v="CARTAGENA DE INDIAS"/>
    <s v="CARTAGENA DE INDIAS"/>
    <n v="13001"/>
    <s v="2025-09-25"/>
    <n v="1"/>
    <s v="CARTAGENA"/>
    <x v="5"/>
    <n v="49671.7"/>
    <n v="49671.7"/>
  </r>
  <r>
    <n v="79137"/>
    <s v="BARRIO VILLA MADY SINCELEJO"/>
    <n v="1102795436"/>
    <s v="3246186736"/>
    <s v="3246186736"/>
    <m/>
    <s v="CR 15 41 7,VILLA MADY"/>
    <s v="9.2861757"/>
    <s v="-75.3889909"/>
    <s v="SUCRE"/>
    <s v="SINCELEJO"/>
    <s v="SINCELEJO"/>
    <n v="70001"/>
    <s v="2025-09-25"/>
    <n v="1"/>
    <s v="SINCELEJO"/>
    <x v="5"/>
    <n v="49671.7"/>
    <n v="49671.7"/>
  </r>
  <r>
    <n v="79143"/>
    <s v="BARRIO EL PARQUE SOLEDAD 3"/>
    <n v="1045731615"/>
    <s v="3174119281"/>
    <s v="3174119281"/>
    <s v="3174119281"/>
    <s v="CL 43 44 40 PISO 1 LC 2,EL PARQUE"/>
    <s v="10.9329139"/>
    <s v="-74.7863256"/>
    <s v="ATLÁNTICO"/>
    <s v="SOLEDAD"/>
    <s v="SOLEDAD"/>
    <n v="8758"/>
    <s v="2025-09-25"/>
    <n v="1"/>
    <s v="BARRANQUILLA"/>
    <x v="5"/>
    <n v="37313"/>
    <n v="37313"/>
  </r>
  <r>
    <n v="79419"/>
    <s v="BARRIO EL RIO SOLEDAD"/>
    <n v="1082252061"/>
    <s v="3244886858"/>
    <s v="3225422676"/>
    <s v="3244886858"/>
    <s v="CL 27 C 34 A 24,EL RIO"/>
    <s v="10.9305008"/>
    <s v="-74.7735498"/>
    <s v="ATLÁNTICO"/>
    <s v="SOLEDAD"/>
    <s v="SOLEDAD"/>
    <n v="8758"/>
    <s v="2025-09-25"/>
    <n v="1"/>
    <s v="BARRANQUILLA"/>
    <x v="5"/>
    <n v="37313"/>
    <n v="37313"/>
  </r>
  <r>
    <n v="79540"/>
    <s v="BARRIO RUBI - ROMA BOGOTA"/>
    <n v="52879750"/>
    <s v="3132330094"/>
    <s v="3144425148"/>
    <s v="3144425148"/>
    <s v="CR 79 57 D 10 SUR,RUBI - ROMA"/>
    <s v="4.6096578"/>
    <s v="-74.1755229"/>
    <s v="CUNDINAMARCA"/>
    <s v="BOGOTÁ"/>
    <s v="BOGOTÁ"/>
    <n v="11001"/>
    <s v="2025-09-25"/>
    <n v="1"/>
    <s v="BOGOTA"/>
    <x v="2"/>
    <n v="37313"/>
    <n v="37313"/>
  </r>
  <r>
    <n v="79613"/>
    <s v="BARRIO LOMBARDIA BOGOTA 1"/>
    <n v="41752715"/>
    <s v="3104841090"/>
    <s v="3115080774"/>
    <s v="3115080774"/>
    <s v="CR 110 A 143 05,LOMBARDIA"/>
    <s v="4.7479605"/>
    <s v="-74.1003515"/>
    <s v="CUNDINAMARCA"/>
    <s v="BOGOTÁ"/>
    <s v="BOGOTÁ"/>
    <n v="11001"/>
    <s v="2025-09-25"/>
    <n v="1"/>
    <s v="BOGOTA"/>
    <x v="2"/>
    <n v="37313"/>
    <n v="37313"/>
  </r>
  <r>
    <n v="79606"/>
    <s v="BARRIO GRAN BRITALIA BOGOTA 2"/>
    <n v="1013593251"/>
    <s v="3154556413"/>
    <s v="3227607793"/>
    <s v="3227607793"/>
    <s v="CL 46 SUR 81 H 39 LC 1,GRAN BRITALIA"/>
    <s v="4.6245759"/>
    <s v="-74.1713857"/>
    <s v="CUNDINAMARCA"/>
    <s v="BOGOTÁ"/>
    <s v="BOGOTÁ"/>
    <n v="11001"/>
    <s v="2025-09-25"/>
    <n v="1"/>
    <s v="BOGOTA"/>
    <x v="2"/>
    <n v="37313"/>
    <n v="37313"/>
  </r>
  <r>
    <n v="75325"/>
    <s v="BARRIO CENTRO CALI 39"/>
    <n v="1107087086"/>
    <s v="3116081488"/>
    <s v="3116081488"/>
    <s v="3157456976"/>
    <s v="CL 9 5 - 72,CENTRO"/>
    <s v="3.4497624"/>
    <s v="-76.5340613"/>
    <s v="VALLE DEL CAUCA"/>
    <s v="CALI"/>
    <s v="SANTIAGO DE CALI"/>
    <n v="76001"/>
    <s v="2025-09-25"/>
    <n v="1"/>
    <s v="CALI"/>
    <x v="3"/>
    <n v="37313"/>
    <n v="37313"/>
  </r>
  <r>
    <n v="75694"/>
    <s v="BARRIO NUEVO HORIZONTE CAMPOALEGRE"/>
    <n v="1079175711"/>
    <s v="3166015079"/>
    <s v="3133881474"/>
    <s v="3166015079"/>
    <s v="CL 32 15-33,NUEVO HORIZONTE"/>
    <s v="2.6937852"/>
    <s v="-75.3265832"/>
    <s v="HUILA"/>
    <s v="CAMPOALEGRE"/>
    <s v="CAMPOALEGRE"/>
    <n v="41132"/>
    <s v="2025-09-25"/>
    <n v="1"/>
    <s v="NEIVA"/>
    <x v="1"/>
    <n v="49671.7"/>
    <n v="49671.7"/>
  </r>
  <r>
    <n v="75775"/>
    <s v="BARRIO LA MADRID VILLAVICENCIO 7"/>
    <n v="40380693"/>
    <s v="3142016969"/>
    <s v="3118495214"/>
    <s v="3118495214"/>
    <s v="CL 92 SUR54 04 LOCAL 3 LA MADRID,LA MADRID"/>
    <s v="4.057726"/>
    <s v="-73.674531"/>
    <s v="META"/>
    <s v="VILLAVICENCIO"/>
    <s v="VILLAVICENCIO"/>
    <n v="50001"/>
    <s v="2025-09-25"/>
    <n v="1"/>
    <s v="VILLAVICENCIO"/>
    <x v="1"/>
    <n v="49671.7"/>
    <n v="49671.7"/>
  </r>
  <r>
    <n v="75831"/>
    <s v="BARRIO SAN JOSE TUNJA"/>
    <n v="1002340133"/>
    <s v="3202272879"/>
    <s v="3202272879"/>
    <s v="3202272879"/>
    <s v="CL 78 1 E 12,SAN JOSE"/>
    <s v="5.57383154"/>
    <s v="-73.33367371"/>
    <s v="BOYACÁ"/>
    <s v="TUNJA"/>
    <s v="TUNJA"/>
    <n v="15001"/>
    <s v="2025-09-25"/>
    <n v="1"/>
    <s v="TUNJA"/>
    <x v="4"/>
    <n v="49671.7"/>
    <n v="49671.7"/>
  </r>
  <r>
    <n v="79590"/>
    <s v="BARRIO PICACHO MEDELLIN 5"/>
    <n v="1128454781"/>
    <s v="3207477092"/>
    <s v="3207477095"/>
    <m/>
    <s v="CL 98 C 8431 PICACHITO,PICACHO"/>
    <s v="6.3000688"/>
    <s v="-75.5837166"/>
    <s v="ANTIOQUIA"/>
    <s v="MEDELLÍN"/>
    <s v="MEDELLÍN"/>
    <n v="5001"/>
    <s v="2025-09-25"/>
    <n v="1"/>
    <s v="MEDELLIN"/>
    <x v="0"/>
    <n v="37313"/>
    <n v="37313"/>
  </r>
  <r>
    <n v="74465"/>
    <s v="BARRIO CENTRO MONTERIA 53"/>
    <n v="1067894424"/>
    <s v="301 6834352"/>
    <s v="3016834352"/>
    <s v="3016834352"/>
    <s v="CR 5 # 34 - 68 LC 1  BRR LA CEIBA"/>
    <s v="8.7587105"/>
    <s v="-75.8818993"/>
    <s v="CÓRDOBA"/>
    <s v="MONTERÍA"/>
    <s v="MONTERÍA"/>
    <n v="23001"/>
    <s v="2025-09-25"/>
    <n v="1"/>
    <s v="MONTERIA"/>
    <x v="5"/>
    <n v="37313"/>
    <n v="37313"/>
  </r>
  <r>
    <n v="74456"/>
    <s v="BARRIO SIMON BOLIVAR DUITAMA 1"/>
    <n v="1057710190"/>
    <s v="3177002080"/>
    <s v="3177002080"/>
    <s v="3103331692"/>
    <s v="CL 16 NO.35-30,SIMON BOLIVAR"/>
    <s v="5.8129169"/>
    <s v="-73.0248093"/>
    <s v="BOYACÁ"/>
    <s v="DUITAMA"/>
    <s v="DUITAMA"/>
    <n v="15238"/>
    <s v="2025-09-25"/>
    <n v="1"/>
    <s v="TUNJA"/>
    <x v="4"/>
    <n v="49671.7"/>
    <n v="49671.7"/>
  </r>
  <r>
    <n v="74764"/>
    <s v="BARRIO EDUARDO SANTO NEIVA"/>
    <n v="55113347"/>
    <s v="3125861588"/>
    <s v="3125861588"/>
    <s v="3125861588"/>
    <s v="CL 81 5 - 75,EDUARDO SANTOS"/>
    <s v="2.9741437"/>
    <s v="-75.2851998"/>
    <s v="HUILA"/>
    <s v="NEIVA"/>
    <s v="NEIVA"/>
    <n v="41001"/>
    <s v="2025-09-25"/>
    <n v="1"/>
    <s v="NEIVA"/>
    <x v="1"/>
    <n v="49671.7"/>
    <n v="49671.7"/>
  </r>
  <r>
    <n v="74848"/>
    <s v="BARRIO CHIPRE MANIZALES 5"/>
    <n v="30312246"/>
    <s v="3044943927"/>
    <s v="3044943927"/>
    <s v="3128605532"/>
    <s v="CR ONCE 12B 02 CHIPRE,CHIPRE"/>
    <s v="5.0742431"/>
    <s v="-75.5238342"/>
    <s v="CALDAS"/>
    <s v="MANIZALES"/>
    <s v="MANIZALES"/>
    <n v="17001"/>
    <s v="2025-09-25"/>
    <n v="1"/>
    <s v="MANIZALES"/>
    <x v="6"/>
    <n v="49671.7"/>
    <n v="49671.7"/>
  </r>
  <r>
    <n v="74936"/>
    <s v="BARRIO NORMANDI SOLEDAD"/>
    <n v="1004912475"/>
    <s v="3143963776"/>
    <s v="3222639354"/>
    <s v="3222639354"/>
    <s v="CL 48 16 B 5,NORMANDI"/>
    <s v="10.932169"/>
    <s v="-74.768366"/>
    <s v="ATLÁNTICO"/>
    <s v="SOLEDAD"/>
    <s v="SOLEDAD"/>
    <n v="8758"/>
    <s v="2025-09-25"/>
    <n v="1"/>
    <s v="BARRANQUILLA"/>
    <x v="5"/>
    <n v="37313"/>
    <n v="37313"/>
  </r>
  <r>
    <n v="75187"/>
    <s v="BARRIO ALCAZARES SANTA MARTA 3"/>
    <n v="1082894835"/>
    <s v="3013612051"/>
    <s v="3013612051"/>
    <s v="3013612051"/>
    <s v="CR 17 A CL 22-59,ALCAZARES"/>
    <s v="11.212870"/>
    <s v="-74.161832"/>
    <s v="MAGDALENA"/>
    <s v="SANTA MARTA"/>
    <s v="SANTA MARTA"/>
    <n v="47001"/>
    <s v="2025-09-25"/>
    <n v="1"/>
    <s v="SANTA MARTA"/>
    <x v="5"/>
    <n v="49671.7"/>
    <n v="49671.7"/>
  </r>
  <r>
    <n v="75270"/>
    <s v="BARRIO ASOCOM SANTA MARTA"/>
    <n v="1082982621"/>
    <s v="3105193603"/>
    <s v="3105193603"/>
    <s v="3105193603"/>
    <s v="MZ D CASA 9 SECTOR 1,ASOCOM"/>
    <s v="11.2152500"/>
    <s v="-74.1739533"/>
    <s v="MAGDALENA"/>
    <s v="SANTA MARTA"/>
    <s v="SANTA MARTA"/>
    <n v="47001"/>
    <s v="2025-09-25"/>
    <n v="1"/>
    <s v="SANTA MARTA"/>
    <x v="5"/>
    <n v="49671.7"/>
    <n v="49671.7"/>
  </r>
  <r>
    <n v="75391"/>
    <s v="BARRIO ALFONSO LOPEZ CUCUTA  8"/>
    <n v="13279703"/>
    <s v="3208198008"/>
    <s v="3208198008"/>
    <s v="3208198008"/>
    <s v="CL 22 16 41,ALFONSO LOPEZ"/>
    <s v="7.8758229"/>
    <s v="-72.5145007"/>
    <s v="NORTE DE SANTANDER"/>
    <s v="CÚCUTA"/>
    <s v="CÚCUTA"/>
    <n v="54001"/>
    <s v="2025-09-25"/>
    <n v="1"/>
    <s v="CUCUTA"/>
    <x v="4"/>
    <n v="49671.7"/>
    <n v="49671.7"/>
  </r>
  <r>
    <n v="75333"/>
    <s v="BARRIO CUBA PEREIRA 10"/>
    <n v="900443098"/>
    <s v="3183385107"/>
    <s v="3015850969"/>
    <s v="3015850969"/>
    <s v="CR 23 71 26 P 1,CUBA"/>
    <s v="4.8059866"/>
    <s v="-75.7405838"/>
    <s v="RISARALDA"/>
    <s v="PEREIRA"/>
    <s v="PEREIRA"/>
    <n v="66001"/>
    <s v="2025-09-25"/>
    <n v="1"/>
    <s v="PEREIRA"/>
    <x v="6"/>
    <n v="37313"/>
    <n v="37313"/>
  </r>
  <r>
    <n v="75503"/>
    <s v="BARRIO CENTRO PASTO 32"/>
    <n v="1085261640"/>
    <s v="3167962340"/>
    <s v="3167962340"/>
    <s v="3167962340"/>
    <s v="CL 18 17 56 - CENTRO,CENTRO"/>
    <s v="1.2070340"/>
    <s v="-77.2755801"/>
    <s v="NARIÑO"/>
    <s v="PASTO"/>
    <s v="SAN JUAN DE PASTO"/>
    <n v="52001"/>
    <s v="2025-09-25"/>
    <n v="1"/>
    <s v="PASTO"/>
    <x v="3"/>
    <n v="49671.7"/>
    <n v="49671.7"/>
  </r>
  <r>
    <n v="75677"/>
    <s v="BARRIO BUENOS AIRES BAJO ARMENIA"/>
    <n v="1094924430"/>
    <s v="3104088676"/>
    <s v="3147565888"/>
    <s v="3104088676"/>
    <s v="CR 6 12 -14 BRR BUENOS AIRES BAJO"/>
    <s v="4.53278"/>
    <s v="-75.6661517"/>
    <s v="QUINDÍO"/>
    <s v="ARMENIA"/>
    <s v="ARMENIA"/>
    <n v="63001"/>
    <s v="2025-09-25"/>
    <n v="1"/>
    <s v="PEREIRA"/>
    <x v="6"/>
    <n v="37313"/>
    <n v="37313"/>
  </r>
  <r>
    <n v="75727"/>
    <s v="BARRIO VILLA CAMPESTRE II GIRON"/>
    <n v="1232893660"/>
    <s v="3144292680"/>
    <s v="3144292680"/>
    <s v="3144292680"/>
    <s v="CR 21 D 26 B 04 VILLA CAMPESTRE II,VILLA CAMPESTRE II"/>
    <s v="7.11382665"/>
    <s v="-73.12120259"/>
    <s v="SANTANDER"/>
    <s v="GIRÓN"/>
    <s v="GIRÓN"/>
    <n v="68307"/>
    <s v="2025-09-25"/>
    <n v="1"/>
    <s v="BUCARAMANGA"/>
    <x v="4"/>
    <n v="37313"/>
    <n v="37313"/>
  </r>
  <r>
    <n v="75833"/>
    <s v="BARRIO BOCONO CUCUTA 1"/>
    <n v="60402992"/>
    <s v="3223432681"/>
    <s v="3156290036"/>
    <s v="3156290036"/>
    <s v="CL 2 NRO 4 60,BOCONO"/>
    <s v="7.894486"/>
    <s v="-72.465906"/>
    <s v="NORTE DE SANTANDER"/>
    <s v="CÚCUTA"/>
    <s v="CÚCUTA"/>
    <n v="54001"/>
    <s v="2025-09-25"/>
    <n v="1"/>
    <s v="CUCUTA"/>
    <x v="4"/>
    <n v="49671.7"/>
    <n v="49671.7"/>
  </r>
  <r>
    <n v="75851"/>
    <s v="BARRIO INTERLAKEN IBAGUE 6"/>
    <n v="1109001686"/>
    <s v="3503399960"/>
    <s v="3503399960"/>
    <s v="3503399960"/>
    <s v="CR 6 17 56,INTERLAKEN"/>
    <s v="4.4434488"/>
    <s v="-75.2344207"/>
    <s v="TOLIMA"/>
    <s v="IBAGUÉ"/>
    <s v="IBAGUÉ"/>
    <n v="73001"/>
    <s v="2025-09-25"/>
    <n v="1"/>
    <s v="IBAGUE"/>
    <x v="1"/>
    <n v="49671.7"/>
    <n v="49671.7"/>
  </r>
  <r>
    <n v="75898"/>
    <s v="BARRIO VATICANO DUITAMA 2"/>
    <n v="40041746"/>
    <s v="3123783989"/>
    <s v="3114847721"/>
    <s v="3114847721"/>
    <s v="CL 28 17 56"/>
    <s v="5.8330563"/>
    <s v="-73.0253050"/>
    <s v="BOYACÁ"/>
    <s v="DUITAMA"/>
    <s v="DUITAMA"/>
    <n v="15238"/>
    <s v="2025-09-25"/>
    <n v="1"/>
    <s v="TUNJA"/>
    <x v="4"/>
    <n v="49671.7"/>
    <n v="49671.7"/>
  </r>
  <r>
    <n v="79857"/>
    <s v="BARRIO PROVENZA BUCARAMANGA 18"/>
    <n v="1096065765"/>
    <s v="3156997252"/>
    <s v="3156997252"/>
    <m/>
    <s v="CR 21 B # 111 - 73,PROVENZA"/>
    <s v="7.0813084"/>
    <s v="-73.1158933"/>
    <s v="SANTANDER"/>
    <s v="BUCARAMANGA"/>
    <s v="BUCARAMANGA"/>
    <n v="68001"/>
    <s v="2025-09-25"/>
    <n v="1"/>
    <s v="BUCARAMANGA"/>
    <x v="4"/>
    <n v="37313"/>
    <n v="37313"/>
  </r>
  <r>
    <n v="80181"/>
    <s v="BARRIO EL ROSAL PEREIRA"/>
    <n v="42141752"/>
    <s v="3117070589"/>
    <s v="3117070589"/>
    <s v="3117070589"/>
    <s v="BRR EL ROSAL NRO 6 56,EL ROSAL"/>
    <s v="4.8083883"/>
    <s v="-75.7245451"/>
    <s v="RISARALDA"/>
    <s v="PEREIRA"/>
    <s v="PEREIRA"/>
    <n v="66001"/>
    <s v="2025-09-25"/>
    <n v="1"/>
    <s v="PEREIRA"/>
    <x v="6"/>
    <n v="37313"/>
    <n v="37313"/>
  </r>
  <r>
    <n v="76694"/>
    <s v="BARRIO PRADO CAMPESTRE MEDELLIN 1"/>
    <n v="1039465753"/>
    <s v="3207560313"/>
    <s v="3207560313"/>
    <s v="3006358535"/>
    <s v="CL 50 E SUR # 78 A - 37"/>
    <s v="6.1756977"/>
    <s v="-75.6564582"/>
    <s v="ANTIOQUIA"/>
    <s v="MEDELLÍN"/>
    <s v="MEDELLÍN"/>
    <n v="5001"/>
    <s v="2025-09-25"/>
    <n v="1"/>
    <s v="MEDELLIN"/>
    <x v="0"/>
    <n v="37313"/>
    <n v="37313"/>
  </r>
  <r>
    <n v="76738"/>
    <s v="BARRIO IPANEMA NEIVA 2"/>
    <n v="1020734126"/>
    <s v="3105649194"/>
    <s v="3105649194"/>
    <s v="3203863691"/>
    <s v="CL 8 50 105 LC 6,IPANEMA"/>
    <s v="2.9341841"/>
    <s v="-75.2466245"/>
    <s v="HUILA"/>
    <s v="NEIVA"/>
    <s v="NEIVA"/>
    <n v="41001"/>
    <s v="2025-09-25"/>
    <n v="1"/>
    <s v="NEIVA"/>
    <x v="1"/>
    <n v="49671.7"/>
    <n v="49671.7"/>
  </r>
  <r>
    <n v="76921"/>
    <s v="BARRIO VILLA CEVILLA SOLEDAD"/>
    <n v="1234892393"/>
    <s v="3045854466"/>
    <s v="3045854466"/>
    <s v="3045854466"/>
    <s v="CL 54 C 41 B 108,VILLA CEVILIA"/>
    <s v="10.932116"/>
    <s v="-74.768219"/>
    <s v="ATLÁNTICO"/>
    <s v="SOLEDAD"/>
    <s v="SOLEDAD"/>
    <n v="8758"/>
    <s v="2025-09-25"/>
    <n v="1"/>
    <s v="BARRANQUILLA"/>
    <x v="5"/>
    <n v="37313"/>
    <n v="37313"/>
  </r>
  <r>
    <n v="77017"/>
    <s v="BARRIO FLORIDA FLORIDA 3"/>
    <n v="901418703"/>
    <s v="3187085137"/>
    <s v="3187085137"/>
    <s v="3187085137"/>
    <s v="CL 14 6 01,FLORIDA"/>
    <s v="3.3229788"/>
    <s v="-76.2237109"/>
    <s v="VALLE DEL CAUCA"/>
    <s v="FLORIDA"/>
    <s v="FLORIDA"/>
    <n v="76275"/>
    <s v="2025-09-25"/>
    <n v="1"/>
    <s v="CALI"/>
    <x v="3"/>
    <n v="37313"/>
    <n v="37313"/>
  </r>
  <r>
    <n v="79804"/>
    <s v="BARRIO LA NEVADA VALLEDUPAR  4"/>
    <n v="1065658658"/>
    <s v="3012382100"/>
    <s v="3012382100"/>
    <m/>
    <s v="CL 6 45 29 AP 01,LA NEVADA"/>
    <s v="10.4763706"/>
    <s v="-73.2846351"/>
    <s v="CESAR"/>
    <s v="VALLEDUPAR"/>
    <s v="VALLEDUPAR"/>
    <n v="20001"/>
    <s v="2025-09-25"/>
    <n v="1"/>
    <s v="VALLEDUPAR"/>
    <x v="5"/>
    <n v="49671.7"/>
    <n v="49671.7"/>
  </r>
  <r>
    <n v="79740"/>
    <s v="BARRIO LA CORDIALIDAD  BOCHALEMA"/>
    <n v="901774790"/>
    <s v="3114721301"/>
    <s v="3114721301"/>
    <m/>
    <s v="CR 3 4 80,LA CORDIALIDAD"/>
    <s v="7.6108359"/>
    <s v="-72.6472428"/>
    <s v="NORTE DE SANTANDER"/>
    <s v="BOCHALEMA"/>
    <s v="BOCHALEMA"/>
    <n v="54099"/>
    <s v="2025-09-25"/>
    <n v="1"/>
    <s v="CUCUTA"/>
    <x v="4"/>
    <n v="49671.7"/>
    <n v="49671.7"/>
  </r>
  <r>
    <n v="79803"/>
    <s v="BARRIO VALLE MEZA VALLEDUPAR 1"/>
    <n v="1065660355"/>
    <s v="3126122928"/>
    <s v="3126122928"/>
    <m/>
    <s v="CR 18D 49 146 TO 1 AP LC 101 - VALLE MEZA,VALLE MEZA"/>
    <s v="10.4425653"/>
    <s v="-73.2425545"/>
    <s v="CESAR"/>
    <s v="VALLEDUPAR"/>
    <s v="VALLEDUPAR"/>
    <n v="20001"/>
    <s v="2025-09-25"/>
    <n v="1"/>
    <s v="VALLEDUPAR"/>
    <x v="5"/>
    <n v="49671.7"/>
    <n v="49671.7"/>
  </r>
  <r>
    <n v="79878"/>
    <s v="BARRIO MUTUALIDAD BUCARAMANGA 1"/>
    <n v="1098767877"/>
    <s v="3186586762"/>
    <s v="3186586762"/>
    <s v="3186586762"/>
    <s v="CR 22 # 10-34,MUTUALIDAD"/>
    <s v="7.1365927"/>
    <s v="-73.1251626"/>
    <s v="SANTANDER"/>
    <s v="BUCARAMANGA"/>
    <s v="BUCARAMANGA"/>
    <n v="68001"/>
    <s v="2025-09-25"/>
    <n v="1"/>
    <s v="BUCARAMANGA"/>
    <x v="4"/>
    <n v="37313"/>
    <n v="37313"/>
  </r>
  <r>
    <n v="80074"/>
    <s v="BARRIO BELLO BELLO 26"/>
    <n v="1042770189"/>
    <s v="3103280233"/>
    <s v="3103280233"/>
    <m/>
    <s v="AV 31 66 29 AP 213 TO 2,BELLO"/>
    <s v="6.3479290"/>
    <s v="-75.5399772"/>
    <s v="ANTIOQUIA"/>
    <s v="BELLO"/>
    <s v="BELLO"/>
    <n v="5088"/>
    <s v="2025-09-25"/>
    <n v="1"/>
    <s v="MEDELLIN"/>
    <x v="0"/>
    <n v="37313"/>
    <n v="37313"/>
  </r>
  <r>
    <n v="79985"/>
    <s v="BARRIO SAN FRANCISCO BUCARAMANGA  19"/>
    <n v="91479338"/>
    <s v="3025578198"/>
    <s v="3025578198"/>
    <m/>
    <s v="CR 24 # 12 - 23,SAN FRANCISCO"/>
    <s v="7.1354358"/>
    <s v="-73.1231720"/>
    <s v="SANTANDER"/>
    <s v="BUCARAMANGA"/>
    <s v="BUCARAMANGA"/>
    <n v="68001"/>
    <s v="2025-09-25"/>
    <n v="1"/>
    <s v="BUCARAMANGA"/>
    <x v="4"/>
    <n v="37313"/>
    <n v="37313"/>
  </r>
  <r>
    <n v="80200"/>
    <s v="BARRIO ROBLEDO MEDELLIN 27"/>
    <n v="21877628"/>
    <s v="3004999271"/>
    <s v="3004999271"/>
    <s v="3004962151"/>
    <s v="CL 65 AA 105 77 IN 9810 BL 3 URB LA CASCADA,ROBLEDO"/>
    <s v="6.2827108"/>
    <s v="-75.6175648"/>
    <s v="ANTIOQUIA"/>
    <s v="MEDELLÍN"/>
    <s v="MEDELLÍN"/>
    <n v="5001"/>
    <s v="2025-09-25"/>
    <n v="1"/>
    <s v="MEDELLIN"/>
    <x v="0"/>
    <n v="37313"/>
    <n v="37313"/>
  </r>
  <r>
    <n v="76715"/>
    <s v="BARRIO COMFENALCO CALI  2"/>
    <n v="59121356"/>
    <s v="3184136516"/>
    <s v="3137919963"/>
    <s v="3184136516"/>
    <s v="CR 1 F NORTE 77 - 81,COMFENALCO"/>
    <s v="3.4938582"/>
    <s v="-76.4882173"/>
    <s v="VALLE DEL CAUCA"/>
    <s v="CALI"/>
    <s v="SANTIAGO DE CALI"/>
    <n v="76001"/>
    <s v="2025-09-25"/>
    <n v="1"/>
    <s v="CALI"/>
    <x v="3"/>
    <n v="37313"/>
    <n v="37313"/>
  </r>
  <r>
    <n v="76810"/>
    <s v="BARRIO CENTRO SOLEDAD 5"/>
    <n v="1129513289"/>
    <s v="3164399258"/>
    <s v="3150512141"/>
    <s v="3164399258"/>
    <s v="CL 18 42 213 TO C6 AP 111,CENTRO"/>
    <s v="10.932072"/>
    <s v="-74.768153"/>
    <s v="ATLÁNTICO"/>
    <s v="SOLEDAD"/>
    <s v="SOLEDAD"/>
    <n v="8758"/>
    <s v="2025-09-25"/>
    <n v="1"/>
    <s v="BARRANQUILLA"/>
    <x v="5"/>
    <n v="37313"/>
    <n v="37313"/>
  </r>
  <r>
    <n v="75190"/>
    <s v="BARRIO PRADO VERDE - ALTOS DE LA COLINA PASTO"/>
    <n v="1131085072"/>
    <s v="3188878168"/>
    <s v="3188878168"/>
    <s v="3186309221"/>
    <s v="CL 13 46 05 LC 2 CONDOMINIO PRADO VERDE"/>
    <s v="1.224886"/>
    <s v="-77.296522"/>
    <s v="NARIÑO"/>
    <s v="PASTO"/>
    <s v="SAN JUAN DE PASTO"/>
    <n v="52001"/>
    <s v="2025-09-25"/>
    <n v="1"/>
    <s v="PASTO"/>
    <x v="3"/>
    <n v="49671.7"/>
    <n v="49671.7"/>
  </r>
  <r>
    <n v="75247"/>
    <s v="BARRIO MODELO BARRANQUILLA 1"/>
    <n v="1045732690"/>
    <s v="3105033453"/>
    <s v="3105033453"/>
    <s v="3012391762"/>
    <s v="CR 62 56-44 LC 1 MODELO"/>
    <s v="10.99744"/>
    <s v="-74.79077"/>
    <s v="ATLÁNTICO"/>
    <s v="BARRANQUILLA"/>
    <s v="BARRANQUILLA"/>
    <n v="8001"/>
    <s v="2025-09-25"/>
    <n v="1"/>
    <s v="BARRANQUILLA"/>
    <x v="5"/>
    <n v="37313"/>
    <n v="37313"/>
  </r>
  <r>
    <n v="75294"/>
    <s v="BARRIO CENCAR YUMBO 3"/>
    <n v="19386670"/>
    <s v="3209119900"/>
    <s v="3209119900"/>
    <s v="3158462204"/>
    <s v="CL 14 20 G 165 CENCAR,CENCAR"/>
    <s v="3.5474259"/>
    <s v="-76.4933158"/>
    <s v="VALLE DEL CAUCA"/>
    <s v="YUMBO"/>
    <s v="YUMBO"/>
    <n v="76892"/>
    <s v="2025-09-25"/>
    <n v="1"/>
    <s v="CALI"/>
    <x v="3"/>
    <n v="37313"/>
    <n v="37313"/>
  </r>
  <r>
    <n v="75521"/>
    <s v="BARRIO ASTURIAS BUCARAMANGA"/>
    <n v="1098657209"/>
    <s v="3223971451"/>
    <s v="3223971451"/>
    <s v="3223971451"/>
    <s v="DG 105 30 17 LC 1 BRR ASTURIAS,ASTURIAS"/>
    <s v="7.0913765"/>
    <s v="-73.1063642"/>
    <s v="SANTANDER"/>
    <s v="BUCARAMANGA"/>
    <s v="BUCARAMANGA"/>
    <n v="68001"/>
    <s v="2025-09-25"/>
    <n v="1"/>
    <s v="BUCARAMANGA"/>
    <x v="4"/>
    <n v="37313"/>
    <n v="37313"/>
  </r>
  <r>
    <n v="75689"/>
    <s v="BARRIO BOYACA BOGOTA"/>
    <n v="51739865"/>
    <s v="3232232427"/>
    <s v="3232232427"/>
    <s v="3138431620"/>
    <s v="CR 80 66 34"/>
    <s v="4.6867402"/>
    <s v="-74.1061199"/>
    <s v="CUNDINAMARCA"/>
    <s v="BOGOTÁ"/>
    <s v="BOGOTÁ"/>
    <n v="11001"/>
    <s v="2025-09-25"/>
    <n v="1"/>
    <s v="BOGOTA"/>
    <x v="2"/>
    <n v="37313"/>
    <n v="37313"/>
  </r>
  <r>
    <n v="75846"/>
    <s v="BARRIO SAN FERNANDO SECTOR LA FLORIDA CARTAGENA DE INDIAS"/>
    <n v="1043969445"/>
    <s v="3004495010"/>
    <s v="3004495010"/>
    <s v="3044076010"/>
    <s v="CL 12B 80F-53P 1LC,SAN FERNANDO SECTOR LA FLORIDA"/>
    <s v="10.3771782"/>
    <s v="-75.4770897"/>
    <s v="BOLÍVAR"/>
    <s v="CARTAGENA DE INDIAS"/>
    <s v="CARTAGENA DE INDIAS"/>
    <n v="13001"/>
    <s v="2025-09-25"/>
    <n v="1"/>
    <s v="CARTAGENA"/>
    <x v="5"/>
    <n v="49671.7"/>
    <n v="49671.7"/>
  </r>
  <r>
    <n v="79583"/>
    <s v="BARRIO POBLADO NIQUIA BELLO"/>
    <n v="1128398507"/>
    <s v="3014518411"/>
    <s v="3014518411"/>
    <m/>
    <s v="DG 54 17 48,POBLADO NIQUIA"/>
    <s v="6.3457084"/>
    <s v="-75.5283497"/>
    <s v="ANTIOQUIA"/>
    <s v="BELLO"/>
    <s v="BELLO"/>
    <n v="5088"/>
    <s v="2025-09-25"/>
    <n v="1"/>
    <s v="MEDELLIN"/>
    <x v="0"/>
    <n v="37313"/>
    <n v="37313"/>
  </r>
  <r>
    <n v="77275"/>
    <s v="BARRIO PESCADERO CUCUTA  1"/>
    <n v="49787874"/>
    <s v="3112353551"/>
    <s v="3112353551"/>
    <s v="3112353551"/>
    <s v="CL 2 N NRO 5-13,PESCADERO"/>
    <s v="7.90027833333333"/>
    <s v="-72.504375"/>
    <s v="NORTE DE SANTANDER"/>
    <s v="CÚCUTA"/>
    <s v="CÚCUTA"/>
    <n v="54001"/>
    <s v="2025-09-25"/>
    <n v="1"/>
    <s v="CUCUTA"/>
    <x v="4"/>
    <n v="49671.7"/>
    <n v="49671.7"/>
  </r>
  <r>
    <n v="77354"/>
    <s v="BARRIO VERSALLES FLORENCIA "/>
    <n v="31330465"/>
    <s v="3103460695"/>
    <s v="3138710923"/>
    <s v="3138710923"/>
    <s v="CR 14 3 03,VERSALLES"/>
    <s v="1.605275"/>
    <s v="-75.602777"/>
    <s v="CAQUETÁ"/>
    <s v="FLORENCIA"/>
    <s v="FLORENCIA"/>
    <n v="18001"/>
    <s v="2025-09-25"/>
    <n v="1"/>
    <s v="NEIVA"/>
    <x v="1"/>
    <n v="49671.7"/>
    <n v="49671.7"/>
  </r>
  <r>
    <n v="77483"/>
    <s v="BARRIO RODADERO SANTA MARTA 8"/>
    <n v="12550146"/>
    <s v="3332222"/>
    <s v="3135691803"/>
    <s v="3135691803"/>
    <s v="CL 6 # 1-27 LOCAL 102,RODADERO"/>
    <s v="11.2064562"/>
    <s v="-74.2271186"/>
    <s v="MAGDALENA"/>
    <s v="SANTA MARTA"/>
    <s v="SANTA MARTA"/>
    <n v="47001"/>
    <s v="2025-09-25"/>
    <n v="1"/>
    <s v="SANTA MARTA"/>
    <x v="5"/>
    <n v="49671.7"/>
    <n v="49671.7"/>
  </r>
  <r>
    <n v="77590"/>
    <s v="BARRIO CENTRO VALLEDUPAR 31"/>
    <n v="901716115"/>
    <s v="316 041 4243"/>
    <s v="3160414243"/>
    <s v="3046586605"/>
    <s v="CL 17 8 20 - CENTRO,CENTRO"/>
    <s v="10.46696249"/>
    <s v="-73.29061313"/>
    <s v="CESAR"/>
    <s v="VALLEDUPAR"/>
    <s v="VALLEDUPAR"/>
    <n v="20001"/>
    <s v="2025-09-25"/>
    <n v="1"/>
    <s v="VALLEDUPAR"/>
    <x v="5"/>
    <n v="49671.7"/>
    <n v="49671.7"/>
  </r>
  <r>
    <n v="79649"/>
    <s v="BARRIO LA ESMERALDA POPAYAN 7"/>
    <n v="1061544673"/>
    <s v="3104920921"/>
    <s v="3147270557"/>
    <s v="3104920921"/>
    <s v="CL 7 19 78 ESMERALDA,LA ESMERALDA"/>
    <s v="2.4436626"/>
    <s v="-76.6180621"/>
    <s v="CAUCA"/>
    <s v="POPAYÁN"/>
    <s v="POPAYÁN"/>
    <n v="19001"/>
    <s v="2025-09-25"/>
    <n v="1"/>
    <s v="CALI"/>
    <x v="3"/>
    <n v="37313"/>
    <n v="37313"/>
  </r>
  <r>
    <n v="79867"/>
    <s v="BARRIO VEREDA CHOCOITA SECTOR TRES ESQUINAS GIRON"/>
    <n v="13515558"/>
    <s v="3224139432"/>
    <s v="3224139432"/>
    <m/>
    <s v="VRD CHOCOITA SECTOR TRES ESQUINAS,VEREDA CHOCOITA SECTOR TRES ESQUINAS"/>
    <s v="6.9861602"/>
    <s v="-73.1669064"/>
    <s v="SANTANDER"/>
    <s v="GIRÓN"/>
    <s v="GIRÓN"/>
    <n v="68307"/>
    <s v="2025-09-25"/>
    <n v="1"/>
    <s v="BUCARAMANGA"/>
    <x v="4"/>
    <n v="37313"/>
    <n v="37313"/>
  </r>
  <r>
    <n v="80184"/>
    <s v="BARRIO LOS HOYOS POPAYAN 9"/>
    <n v="1061768234"/>
    <s v="3046032360"/>
    <s v="3046032360"/>
    <s v="3162401495"/>
    <s v="CR 6 26 BN 07 BRR LOS HOYOS,LOS HOYOS"/>
    <s v="2.4574615"/>
    <s v="-76.5893372"/>
    <s v="CAUCA"/>
    <s v="POPAYÁN"/>
    <s v="POPAYÁN"/>
    <n v="19001"/>
    <s v="2025-09-25"/>
    <n v="1"/>
    <s v="CALI"/>
    <x v="3"/>
    <n v="37313"/>
    <n v="37313"/>
  </r>
  <r>
    <n v="77579"/>
    <s v="BARRIO EL COCUELO SINCELEJO"/>
    <n v="1005457462"/>
    <s v="3206232136"/>
    <s v="3206232136"/>
    <s v="3113646656"/>
    <s v="CR 39 17A 241,EL COCUELO"/>
    <s v="9.2905814"/>
    <s v="-75.3880121"/>
    <s v="SUCRE"/>
    <s v="SINCELEJO"/>
    <s v="SINCELEJO"/>
    <n v="70001"/>
    <s v="2025-09-25"/>
    <n v="2"/>
    <s v="SINCELEJO"/>
    <x v="5"/>
    <n v="49671.7"/>
    <n v="99343.4"/>
  </r>
  <r>
    <n v="77608"/>
    <s v="BARRIOS PRADOS CLUB CUCUTA "/>
    <n v="1036395326"/>
    <s v="3125957602"/>
    <s v="3125957602"/>
    <s v="3125957602"/>
    <s v="AV 15 A E NRO 2N-175 INT 1,PRADOS CLUB"/>
    <s v="7.910915"/>
    <s v="-72.547767"/>
    <s v="NORTE DE SANTANDER"/>
    <s v="CÚCUTA"/>
    <s v="CÚCUTA"/>
    <n v="54001"/>
    <s v="2025-09-25"/>
    <n v="1"/>
    <s v="CUCUTA"/>
    <x v="4"/>
    <n v="49671.7"/>
    <n v="49671.7"/>
  </r>
  <r>
    <n v="77662"/>
    <s v="BARRIO COMUNEROS CUCUTA 13"/>
    <n v="1094168875"/>
    <s v="3232536994"/>
    <s v="3142198652"/>
    <s v="3142198652"/>
    <s v="CL 5 2-03,COMUNEROS"/>
    <s v="7.9113728"/>
    <s v="-72.5188024"/>
    <s v="NORTE DE SANTANDER"/>
    <s v="CÚCUTA"/>
    <s v="CÚCUTA"/>
    <n v="54001"/>
    <s v="2025-09-25"/>
    <n v="1"/>
    <s v="CUCUTA"/>
    <x v="4"/>
    <n v="49671.7"/>
    <n v="49671.7"/>
  </r>
  <r>
    <n v="77643"/>
    <s v="BARRIO CENTRO BARRANQUILLA 47"/>
    <n v="901328541"/>
    <s v="3008629968"/>
    <s v="3006790855"/>
    <s v="3116922926"/>
    <s v="CL 35 43 - 39 LC 48,CENTRO"/>
    <s v="10.98178"/>
    <s v="-74.77904"/>
    <s v="ATLÁNTICO"/>
    <s v="BARRANQUILLA"/>
    <s v="BARRANQUILLA"/>
    <n v="8001"/>
    <s v="2025-09-25"/>
    <n v="1"/>
    <s v="BARRANQUILLA"/>
    <x v="5"/>
    <n v="37313"/>
    <n v="37313"/>
  </r>
  <r>
    <n v="77793"/>
    <s v="BARRIO CENTRO BARRANQUILLA 53"/>
    <n v="3402089"/>
    <s v="3007912589"/>
    <s v="3146274034"/>
    <s v="3146274034"/>
    <s v="CL 34 40 40 LC 119 CC GALERIA"/>
    <s v="10.97938"/>
    <s v="-74.77837"/>
    <s v="ATLÁNTICO"/>
    <s v="BARRANQUILLA"/>
    <s v="BARRANQUILLA"/>
    <n v="8001"/>
    <s v="2025-09-25"/>
    <n v="1"/>
    <s v="BARRANQUILLA"/>
    <x v="5"/>
    <n v="37313"/>
    <n v="37313"/>
  </r>
  <r>
    <n v="77833"/>
    <s v="BARRIO LA CAMILA BELLO BELLO"/>
    <n v="1128400667"/>
    <s v="3016640793"/>
    <s v="3016640793"/>
    <m/>
    <s v="AV 36 BB DG 42 EC 23,LA CAMILA BELLO"/>
    <s v="6.3292846"/>
    <s v="-75.5414744"/>
    <s v="ANTIOQUIA"/>
    <s v="BELLO"/>
    <s v="BELLO"/>
    <n v="5088"/>
    <s v="2025-09-25"/>
    <n v="1"/>
    <s v="MEDELLIN"/>
    <x v="0"/>
    <n v="37313"/>
    <n v="37313"/>
  </r>
  <r>
    <n v="77169"/>
    <s v="BARRIO BELLAVISTA GIRON 1"/>
    <n v="37507340"/>
    <s v="3102983006"/>
    <s v="3102983006"/>
    <s v="3102983006"/>
    <s v="CR 32 B 47 26 BELLAVISTA,BELLAVISTA"/>
    <s v="7.077103"/>
    <s v="-73.176166"/>
    <s v="SANTANDER"/>
    <s v="GIRÓN"/>
    <s v="GIRÓN"/>
    <n v="68307"/>
    <s v="2025-09-25"/>
    <n v="1"/>
    <s v="BUCARAMANGA"/>
    <x v="4"/>
    <n v="37313"/>
    <n v="37313"/>
  </r>
  <r>
    <n v="77420"/>
    <s v="BARRIO LOMBARDIA TUNJA 2"/>
    <n v="1007370711"/>
    <s v="3016385612"/>
    <s v="3016385612"/>
    <s v="3016385612"/>
    <s v="AV UNIVERSITARIA, 42A 100, LOCAL 5,LOMBARDIA"/>
    <s v="5.54841493"/>
    <s v="-73.34634973"/>
    <s v="BOYACÁ"/>
    <s v="TUNJA"/>
    <s v="TUNJA"/>
    <n v="15001"/>
    <s v="2025-09-25"/>
    <n v="1"/>
    <s v="TUNJA"/>
    <x v="4"/>
    <n v="49671.7"/>
    <n v="49671.7"/>
  </r>
  <r>
    <n v="77495"/>
    <s v="BARRIO BOSQUE TUNJA"/>
    <n v="25018200"/>
    <s v="3206806375"/>
    <s v="3206806375"/>
    <s v="3206806375"/>
    <s v="CR 11 10 28,BOSQUE"/>
    <s v="5.524"/>
    <s v="-73.366"/>
    <s v="BOYACÁ"/>
    <s v="TUNJA"/>
    <s v="TUNJA"/>
    <n v="15001"/>
    <s v="2025-09-25"/>
    <n v="1"/>
    <s v="TUNJA"/>
    <x v="4"/>
    <n v="49671.7"/>
    <n v="49671.7"/>
  </r>
  <r>
    <n v="77462"/>
    <s v="BARRIO SULTANA MANIZALES 2"/>
    <n v="24344233"/>
    <s v="3152322302"/>
    <s v="3004840428"/>
    <s v="3152322302"/>
    <s v="CL 67 7A 62 - SULTANA,SULTANA"/>
    <s v="5.0622296"/>
    <s v="-75.4703400"/>
    <s v="CALDAS"/>
    <s v="MANIZALES"/>
    <s v="MANIZALES"/>
    <n v="17001"/>
    <s v="2025-09-25"/>
    <n v="1"/>
    <s v="MANIZALES"/>
    <x v="6"/>
    <n v="49671.7"/>
    <n v="49671.7"/>
  </r>
  <r>
    <n v="77513"/>
    <s v="BARRIO PARQUES DE BOLIVAR ARMENIA 1"/>
    <n v="1094943268"/>
    <s v="0"/>
    <s v="3162797894"/>
    <s v="3044065216"/>
    <s v="CL 26 CR 44 PARQUES DE BOLIVAR LC 3"/>
    <s v="4.5354546"/>
    <s v="-75.7055431"/>
    <s v="QUINDÍO"/>
    <s v="ARMENIA"/>
    <s v="ARMENIA"/>
    <n v="63001"/>
    <s v="2025-09-25"/>
    <n v="1"/>
    <s v="PEREIRA"/>
    <x v="6"/>
    <n v="37313"/>
    <n v="37313"/>
  </r>
  <r>
    <n v="77707"/>
    <s v="BARRIO VILLA MARIA SOLEDAD"/>
    <n v="8496496"/>
    <s v="3175765654"/>
    <s v="3175765654"/>
    <s v="3006506002"/>
    <s v="CL 58 2 81,VILLA MARIA"/>
    <s v="10.932133"/>
    <s v="-74.768246"/>
    <s v="ATLÁNTICO"/>
    <s v="SOLEDAD"/>
    <s v="SOLEDAD"/>
    <n v="8758"/>
    <s v="2025-09-25"/>
    <n v="1"/>
    <s v="BARRANQUILLA"/>
    <x v="5"/>
    <n v="37313"/>
    <n v="37313"/>
  </r>
  <r>
    <n v="77791"/>
    <s v="BARRIO CRISTAL AGUAZUL"/>
    <n v="33647018"/>
    <s v="3138131442"/>
    <s v="3138131442"/>
    <s v="3138131442"/>
    <s v="CR 18 17 99,CRISTAL"/>
    <s v="5.1762839"/>
    <s v="-72.5457120"/>
    <s v="CASANARE"/>
    <s v="AGUAZUL"/>
    <s v="AGUAZUL"/>
    <n v="85010"/>
    <s v="2025-09-25"/>
    <n v="1"/>
    <s v="YOPAL"/>
    <x v="1"/>
    <n v="49671.7"/>
    <n v="49671.7"/>
  </r>
  <r>
    <n v="79607"/>
    <s v="BARRIO SAN CIPRIANO BOGOTA 4"/>
    <n v="1018460921"/>
    <s v="3106521100"/>
    <s v="3227921542"/>
    <s v="3227921542"/>
    <s v="CL 165 A N 54 C 24,SAN CIPRIANO"/>
    <s v="4.7479570"/>
    <s v="-74.0553502"/>
    <s v="CUNDINAMARCA"/>
    <s v="BOGOTÁ"/>
    <s v="BOGOTÁ"/>
    <n v="11001"/>
    <s v="2025-09-25"/>
    <n v="1"/>
    <s v="BOGOTA"/>
    <x v="2"/>
    <n v="37313"/>
    <n v="37313"/>
  </r>
  <r>
    <n v="77439"/>
    <s v="BARRIO LA ESTRADA BOGOTA 8"/>
    <n v="1015427956"/>
    <s v="3123744960"/>
    <s v="3123744960"/>
    <s v="3125890924"/>
    <s v="CR 69 64F 46 LC 2,LA ESTRADA"/>
    <s v="4.6734139"/>
    <s v="-74.0940766"/>
    <s v="CUNDINAMARCA"/>
    <s v="BOGOTÁ"/>
    <s v="BOGOTÁ"/>
    <n v="11001"/>
    <s v="2025-09-25"/>
    <n v="1"/>
    <s v="BOGOTA"/>
    <x v="2"/>
    <n v="37313"/>
    <n v="37313"/>
  </r>
  <r>
    <n v="77559"/>
    <s v="BARRIO BOLIVAR POPAYAN 6"/>
    <n v="34560645"/>
    <s v="0"/>
    <s v="3117240472"/>
    <s v="3148925224"/>
    <s v="CL 1 NORTE  5 - 55 BRR BOLIVAR PASAJE COMERCIAL DEPOSITO NORTE LC 107"/>
    <s v="2.4468965"/>
    <s v="-76.6033936"/>
    <s v="CAUCA"/>
    <s v="POPAYÁN"/>
    <s v="POPAYÁN"/>
    <n v="19001"/>
    <s v="2025-09-25"/>
    <n v="1"/>
    <s v="CALI"/>
    <x v="3"/>
    <n v="37313"/>
    <n v="37313"/>
  </r>
  <r>
    <n v="77515"/>
    <s v="BARRIO CARRIZAL BARRANQUILLA 10"/>
    <n v="32580259"/>
    <s v="3225371295"/>
    <s v="3225371295"/>
    <s v="3225371295"/>
    <s v="CL 51 B 1 2 - 66,CARRIZAL"/>
    <s v="10.93606"/>
    <s v="-74.81043"/>
    <s v="ATLÁNTICO"/>
    <s v="BARRANQUILLA"/>
    <s v="BARRANQUILLA"/>
    <n v="8001"/>
    <s v="2025-09-25"/>
    <n v="1"/>
    <s v="BARRANQUILLA"/>
    <x v="5"/>
    <n v="37313"/>
    <n v="37313"/>
  </r>
  <r>
    <n v="77712"/>
    <s v="BARRIO PARAISO TUNJA 1"/>
    <n v="40014809"/>
    <s v="3025972301"/>
    <s v="3025972301"/>
    <s v="3025972301"/>
    <s v="CR 17 10 85,PARAISO"/>
    <s v="5.525"/>
    <s v="-73.371"/>
    <s v="BOYACÁ"/>
    <s v="TUNJA"/>
    <s v="TUNJA"/>
    <n v="15001"/>
    <s v="2025-09-25"/>
    <n v="1"/>
    <s v="TUNJA"/>
    <x v="4"/>
    <n v="49671.7"/>
    <n v="49671.7"/>
  </r>
  <r>
    <n v="77648"/>
    <s v="BARRIO GETSEMANI CARTAGENA DE INDIAS 4"/>
    <n v="1039465352"/>
    <s v="3165197003"/>
    <s v="3177191656"/>
    <s v="3188560506"/>
    <s v="AV EL PEDREGAL CR 11N26 A -55"/>
    <s v="10.4195003"/>
    <s v="-75.5443693"/>
    <s v="BOLÍVAR"/>
    <s v="CARTAGENA DE INDIAS"/>
    <s v="CARTAGENA DE INDIAS"/>
    <n v="13001"/>
    <s v="2025-09-25"/>
    <n v="1"/>
    <s v="CARTAGENA"/>
    <x v="5"/>
    <n v="49671.7"/>
    <n v="49671.7"/>
  </r>
  <r>
    <n v="15369"/>
    <s v="BARRIO CIUDAD DEL CAMPO III CANDELARIA"/>
    <n v="16376140"/>
    <s v="2851997"/>
    <s v="3218609622"/>
    <s v="3218609622"/>
    <s v=" CR 25  97-103 CIUDAD DEL CAMPO"/>
    <s v="3.45720"/>
    <s v="-76.46684"/>
    <s v="VALLE DEL CAUCA"/>
    <s v="CANDELARIA"/>
    <s v="CANDELARIA"/>
    <n v="76130"/>
    <s v="2025-09-26"/>
    <n v="1"/>
    <s v="CALI"/>
    <x v="3"/>
    <n v="37313"/>
    <n v="37313"/>
  </r>
  <r>
    <n v="17257"/>
    <s v="BARRIO CIUDAD JARDIN FLORIDABLANCA"/>
    <n v="63546182"/>
    <s v="6495644"/>
    <s v="3175717823"/>
    <s v="3175717823"/>
    <s v=" TV 127  62A-14 AP 101 P-1 CIUDAD JARDIN"/>
    <s v="7.08742944"/>
    <s v="-73.0886680"/>
    <s v="SANTANDER"/>
    <s v="FLORIDABLANCA"/>
    <s v="FLORIDABLANCA"/>
    <n v="68276"/>
    <s v="2025-09-26"/>
    <n v="1"/>
    <s v="BUCARAMANGA"/>
    <x v="4"/>
    <n v="37313"/>
    <n v="37313"/>
  </r>
  <r>
    <n v="12153"/>
    <s v="BUESACO - NARIÑO"/>
    <n v="5209119"/>
    <s v="7420114"/>
    <s v="3235383068"/>
    <s v="3235383068"/>
    <s v="CL 3 10-02 BR CENTRO"/>
    <s v="1.3848128"/>
    <s v="-77.1567723"/>
    <s v="NARIÑO"/>
    <s v="BUESACO"/>
    <s v="BUESACO"/>
    <n v="52110"/>
    <s v="2025-09-26"/>
    <n v="1"/>
    <s v="PASTO"/>
    <x v="3"/>
    <n v="49671.7"/>
    <n v="49671.7"/>
  </r>
  <r>
    <n v="12642"/>
    <s v="BARRIO EL CABLE - MANIZALEZ"/>
    <n v="30275587"/>
    <s v="8909292"/>
    <s v="3206893644"/>
    <s v="3206893644"/>
    <s v="CL 64A 23C -56"/>
    <s v="5.0564762"/>
    <s v="-75.4878612"/>
    <s v="CALDAS"/>
    <s v="MANIZALES"/>
    <s v="MANIZALES"/>
    <n v="17001"/>
    <s v="2025-09-26"/>
    <n v="1"/>
    <s v="MANIZALES"/>
    <x v="6"/>
    <n v="49671.7"/>
    <n v="49671.7"/>
  </r>
  <r>
    <n v="17663"/>
    <s v="CALLE DEL COMERCIO SOPETRAN"/>
    <n v="3621011"/>
    <s v="8541661"/>
    <s v="3104969302"/>
    <s v="3104969302"/>
    <s v=" CL 9  10-22"/>
    <s v="6.5008879"/>
    <s v="-75.7430338"/>
    <s v="ANTIOQUIA"/>
    <s v="SOPETRÁN"/>
    <s v="SOPETRÁN"/>
    <n v="5761"/>
    <s v="2025-09-26"/>
    <n v="1"/>
    <s v="MEDELLIN"/>
    <x v="0"/>
    <n v="37313"/>
    <n v="37313"/>
  </r>
  <r>
    <n v="25024"/>
    <s v="BARRIO MOCARI II - MONTERÍA"/>
    <n v="900435143"/>
    <s v="7917958"/>
    <s v="3184113058"/>
    <s v="3184113058"/>
    <s v=" CL 93 5A 307"/>
    <s v="8.8008306"/>
    <s v="-75.8509718"/>
    <s v="CÓRDOBA"/>
    <s v="MONTERÍA"/>
    <s v="MONTERÍA"/>
    <n v="23001"/>
    <s v="2025-09-26"/>
    <n v="1"/>
    <s v="MONTERIA"/>
    <x v="5"/>
    <n v="37313"/>
    <n v="37313"/>
  </r>
  <r>
    <n v="27984"/>
    <s v="BARRIO MANRIQUE CENTRAL MEDELLIN"/>
    <n v="1036783938"/>
    <s v="2331349"/>
    <s v="3233220268"/>
    <s v="3233220268"/>
    <s v=" CL 83 42 A 05"/>
    <s v="6.2748315"/>
    <s v="-75.5511472"/>
    <s v="ANTIOQUIA"/>
    <s v="MEDELLÍN"/>
    <s v="MEDELLÍN"/>
    <n v="5001"/>
    <s v="2025-09-26"/>
    <n v="1"/>
    <s v="MEDELLIN"/>
    <x v="0"/>
    <n v="37313"/>
    <n v="37313"/>
  </r>
  <r>
    <n v="13725"/>
    <s v="BARRIO LAURELES IV MEDELLIN"/>
    <n v="71605735"/>
    <s v="2120437"/>
    <s v="3136561759"/>
    <s v="3136561759"/>
    <s v=" CL 44  73-70"/>
    <s v="6.2498786"/>
    <s v="-75.5929896"/>
    <s v="ANTIOQUIA"/>
    <s v="MEDELLÍN"/>
    <s v="MEDELLÍN"/>
    <n v="5001"/>
    <s v="2025-09-26"/>
    <n v="1"/>
    <s v="MEDELLIN"/>
    <x v="0"/>
    <n v="37313"/>
    <n v="37313"/>
  </r>
  <r>
    <n v="16014"/>
    <s v="BARRIO COLINAS DE CORNEJO SAN CAYETANO"/>
    <n v="49693593"/>
    <s v="7413574"/>
    <s v="3212323165"/>
    <s v="3212323165"/>
    <s v=" CL 7 LT 3 P 1 KDX-136 CONEJO"/>
    <s v="7.90648184"/>
    <s v="-72.64095193"/>
    <s v="NORTE DE SANTANDER"/>
    <s v="SAN CAYETANO"/>
    <s v="SAN CAYETANO"/>
    <n v="54673"/>
    <s v="2025-09-26"/>
    <n v="1"/>
    <s v="CUCUTA"/>
    <x v="4"/>
    <n v="49671.7"/>
    <n v="49671.7"/>
  </r>
  <r>
    <n v="14484"/>
    <s v="BARRIO CENTRO PAIPA"/>
    <n v="40013666"/>
    <s v="7850022"/>
    <s v="3114430297"/>
    <s v="3114430297"/>
    <s v="CL 25  22-73"/>
    <s v="5.7821598"/>
    <s v="-73.1173291"/>
    <s v="BOYACÁ"/>
    <s v="PAIPA"/>
    <s v="PAIPA"/>
    <n v="15516"/>
    <s v="2025-09-26"/>
    <n v="5"/>
    <s v="TUNJA"/>
    <x v="4"/>
    <n v="49671.7"/>
    <n v="248358.5"/>
  </r>
  <r>
    <n v="23896"/>
    <s v="CONQUISTADORES MEDELLIN - ANTIOQUIA"/>
    <n v="3131791"/>
    <s v="2658946"/>
    <s v="3148673310"/>
    <s v="3148673310"/>
    <s v=" CL 42 B  63 C 162 IN 101"/>
    <s v="6.2462233"/>
    <s v="-75.5824612"/>
    <s v="ANTIOQUIA"/>
    <s v="MEDELLÍN"/>
    <s v="MEDELLÍN"/>
    <n v="5001"/>
    <s v="2025-09-26"/>
    <n v="1"/>
    <s v="MEDELLIN"/>
    <x v="0"/>
    <n v="37313"/>
    <n v="37313"/>
  </r>
  <r>
    <n v="18200"/>
    <s v="BARRIO CIUDAD DEL CAMPO PALMIRA"/>
    <n v="1144133408"/>
    <s v="2862925"/>
    <s v="3113812106"/>
    <s v="3113812106"/>
    <s v=" CR 37  97 A-90 CIUDAD DEL CAMPO"/>
    <s v="3.4582221"/>
    <s v="-76.4634096"/>
    <s v="VALLE DEL CAUCA"/>
    <s v="PALMIRA"/>
    <s v="PALMIRA"/>
    <n v="76520"/>
    <s v="2025-09-26"/>
    <n v="1"/>
    <s v="CALI"/>
    <x v="3"/>
    <n v="37313"/>
    <n v="37313"/>
  </r>
  <r>
    <n v="30002"/>
    <s v="BARRIO RECREO 3 - BARRANQUILLA "/>
    <n v="800158532"/>
    <s v="3793993"/>
    <s v="3008102423"/>
    <s v="3008102423"/>
    <s v=" CR 38 54 25"/>
    <s v="10.98149"/>
    <s v="-74.79492"/>
    <s v="ATLÁNTICO"/>
    <s v="BARRANQUILLA"/>
    <s v="BARRANQUILLA"/>
    <n v="8001"/>
    <s v="2025-09-26"/>
    <n v="1"/>
    <s v="BARRANQUILLA"/>
    <x v="5"/>
    <n v="37313"/>
    <n v="37313"/>
  </r>
  <r>
    <n v="14004"/>
    <s v="BARRIO CIUDAD DEL CAMPO CANDELARIA"/>
    <n v="70827800"/>
    <s v="2858332"/>
    <s v="3128946321"/>
    <s v="3128946321"/>
    <s v=" CR 28  101-02 CIUDAD DEL CAMPO CANDELARIA VALLE"/>
    <s v="3.4567601"/>
    <s v="-76.4655519"/>
    <s v="VALLE DEL CAUCA"/>
    <s v="CANDELARIA"/>
    <s v="CANDELARIA"/>
    <n v="76130"/>
    <s v="2025-09-26"/>
    <n v="1"/>
    <s v="CALI"/>
    <x v="3"/>
    <n v="37313"/>
    <n v="37313"/>
  </r>
  <r>
    <n v="29316"/>
    <s v="BARRIO CENTRO 8 PAIPA"/>
    <n v="74324034"/>
    <s v="7851112"/>
    <s v="3112321145"/>
    <s v="3112321145"/>
    <s v=" CR 22 19 41"/>
    <s v="5.7812240"/>
    <s v="-73.1219171"/>
    <s v="BOYACÁ"/>
    <s v="PAIPA"/>
    <s v="PAIPA"/>
    <n v="15516"/>
    <s v="2025-09-26"/>
    <n v="1"/>
    <s v="TUNJA"/>
    <x v="4"/>
    <n v="49671.7"/>
    <n v="49671.7"/>
  </r>
  <r>
    <n v="34202"/>
    <s v="BARRIO CENTRO NORTE BUESACO"/>
    <n v="59818017"/>
    <m/>
    <s v="3136106363"/>
    <s v="3136106363"/>
    <s v=" CL PRINCIPAL CENTRO NORTE "/>
    <s v="1.3861075"/>
    <s v="-77.1558939"/>
    <s v="NARIÑO"/>
    <s v="BUESACO"/>
    <s v="BUESACO"/>
    <n v="52110"/>
    <s v="2025-09-26"/>
    <n v="1"/>
    <s v="PASTO"/>
    <x v="3"/>
    <n v="49671.7"/>
    <n v="49671.7"/>
  </r>
  <r>
    <n v="18334"/>
    <s v="BARRIO PLAZA DE MERCADO GUARNE"/>
    <n v="43424297"/>
    <s v="5514403"/>
    <s v="3226012726"/>
    <s v="3226012726"/>
    <s v=" CR 50  42-100 IN-126 PLAZA DE MERCADO"/>
    <s v="6.2766784"/>
    <s v="-75.4395489"/>
    <s v="ANTIOQUIA"/>
    <s v="GUARNE"/>
    <s v="GUARNE"/>
    <n v="5318"/>
    <s v="2025-09-26"/>
    <n v="1"/>
    <s v="MEDELLIN"/>
    <x v="0"/>
    <n v="37313"/>
    <n v="37313"/>
  </r>
  <r>
    <n v="29350"/>
    <s v="BARRIO CALDAS FLORIDABLANCA"/>
    <n v="28495437"/>
    <s v="6317733"/>
    <s v="3185011109"/>
    <s v="3185011109"/>
    <s v=" CR 37 107 114 LC 1"/>
    <s v="7.09200891"/>
    <s v="-73.10137992"/>
    <s v="SANTANDER"/>
    <s v="FLORIDABLANCA"/>
    <s v="FLORIDABLANCA"/>
    <n v="68276"/>
    <s v="2025-09-26"/>
    <n v="1"/>
    <s v="BUCARAMANGA"/>
    <x v="4"/>
    <n v="37313"/>
    <n v="37313"/>
  </r>
  <r>
    <n v="31589"/>
    <s v="BARRIO FLORIDABLANCA 4 FLORIDABLANCA"/>
    <n v="804002465"/>
    <s v="6796220"/>
    <s v="3182853581"/>
    <s v="3182853581"/>
    <s v=" AU 7 KM 7 VIA PIEDECUESTA UPB"/>
    <s v="7.0378524"/>
    <s v="-73.0712740"/>
    <s v="SANTANDER"/>
    <s v="FLORIDABLANCA"/>
    <s v="FLORIDABLANCA"/>
    <n v="68276"/>
    <s v="2025-09-26"/>
    <n v="1"/>
    <s v="BUCARAMANGA"/>
    <x v="4"/>
    <n v="37313"/>
    <n v="37313"/>
  </r>
  <r>
    <n v="34246"/>
    <s v="BARRIO CENTRO TAURAMENA 1"/>
    <n v="900119916"/>
    <s v="6247009"/>
    <s v="3107847688"/>
    <s v="3107847688"/>
    <s v=" CR 14 5 39"/>
    <s v="5.0172759"/>
    <s v="-72.7512771"/>
    <s v="CASANARE"/>
    <s v="TAURAMENA"/>
    <s v="TAURAMENA"/>
    <n v="85410"/>
    <s v="2025-09-26"/>
    <n v="1"/>
    <s v="YOPAL"/>
    <x v="1"/>
    <n v="49671.7"/>
    <n v="49671.7"/>
  </r>
  <r>
    <n v="35414"/>
    <s v="BARRIO SURINAMA TUNJA 1"/>
    <n v="19590189"/>
    <s v="7425711"/>
    <s v="3114438424"/>
    <s v="3114438424"/>
    <s v="CARRERA 11 4-25 - Surinama"/>
    <s v="5.518"/>
    <s v="-73.367"/>
    <s v="BOYACÁ"/>
    <s v="TUNJA"/>
    <s v="TUNJA"/>
    <n v="15001"/>
    <s v="2025-09-26"/>
    <n v="1"/>
    <s v="TUNJA"/>
    <x v="4"/>
    <n v="49671.7"/>
    <n v="49671.7"/>
  </r>
  <r>
    <n v="34276"/>
    <s v="BARRIO PRADOS DE SABANETA"/>
    <n v="1037627607"/>
    <s v="3768006"/>
    <s v="3136515414"/>
    <s v="3136515414"/>
    <s v="CL 77 SUR 46 44"/>
    <s v="6.1483645"/>
    <s v="-75.6211564"/>
    <s v="ANTIOQUIA"/>
    <s v="SABANETA"/>
    <s v="SABANETA"/>
    <n v="5631"/>
    <s v="2025-09-26"/>
    <n v="1"/>
    <s v="MEDELLIN"/>
    <x v="0"/>
    <n v="37313"/>
    <n v="37313"/>
  </r>
  <r>
    <n v="33153"/>
    <s v="BARRIO URSUA PAMPLONA"/>
    <n v="88158782"/>
    <m/>
    <s v="3013005386"/>
    <s v="3013005386"/>
    <s v=" CR 9 5 26 ED CANAIMO  URSUA"/>
    <s v="7.3746319"/>
    <s v="-72.6447130"/>
    <s v="NORTE DE SANTANDER"/>
    <s v="PAMPLONA"/>
    <s v="PAMPLONA"/>
    <n v="54518"/>
    <s v="2025-09-26"/>
    <n v="1"/>
    <s v="CUCUTA"/>
    <x v="4"/>
    <n v="49671.7"/>
    <n v="49671.7"/>
  </r>
  <r>
    <n v="26283"/>
    <s v="BARRIO PORVENIR SANTA MARTA"/>
    <n v="1082974796"/>
    <s v="3166177"/>
    <s v="3013190062"/>
    <s v="3013190062"/>
    <s v=" CR 21 22 24"/>
    <s v="11.2355679133907"/>
    <s v="-74.1904480196536"/>
    <s v="MAGDALENA"/>
    <s v="SANTA MARTA"/>
    <s v="SANTA MARTA"/>
    <n v="47001"/>
    <s v="2025-09-26"/>
    <n v="1"/>
    <s v="SANTA MARTA"/>
    <x v="5"/>
    <n v="49671.7"/>
    <n v="49671.7"/>
  </r>
  <r>
    <n v="28835"/>
    <s v="BARRIO MANRIQUE CENTRAL 4 MEDELLÍN"/>
    <n v="71004079"/>
    <s v="5807425"/>
    <s v="3007509130"/>
    <s v="3007509130"/>
    <s v=" CR 43 78 13"/>
    <s v="6.2708836"/>
    <s v="-75.5524283"/>
    <s v="ANTIOQUIA"/>
    <s v="MEDELLÍN"/>
    <s v="MEDELLÍN"/>
    <n v="5001"/>
    <s v="2025-09-26"/>
    <n v="2"/>
    <s v="MEDELLIN"/>
    <x v="0"/>
    <n v="37313"/>
    <n v="74626"/>
  </r>
  <r>
    <n v="33152"/>
    <s v="BARRIO CENTRO ACOPIO PAMPLONA"/>
    <n v="60264858"/>
    <s v="5689453"/>
    <s v="3044303405"/>
    <s v="3208361469"/>
    <s v=" CR 9 3 120 BG 4 CENTRO ACOPIO"/>
    <s v="7.3740330"/>
    <s v="-72.6428675"/>
    <s v="NORTE DE SANTANDER"/>
    <s v="PAMPLONA"/>
    <s v="PAMPLONA"/>
    <n v="54518"/>
    <s v="2025-09-26"/>
    <n v="1"/>
    <s v="CUCUTA"/>
    <x v="4"/>
    <n v="49671.7"/>
    <n v="49671.7"/>
  </r>
  <r>
    <n v="11492"/>
    <s v="BARRIO MERCADO DEL SUR - MONTERIA"/>
    <n v="50932038"/>
    <s v="8320200"/>
    <s v="3205439404"/>
    <s v="3205439404"/>
    <s v=" CL 12  8-33 PABELLON 2 LC-51 MERCADOS DEL SUR "/>
    <s v="8.74464884"/>
    <s v="-75.89067347"/>
    <s v="CÓRDOBA"/>
    <s v="MONTERÍA"/>
    <s v="MONTERÍA"/>
    <n v="23001"/>
    <s v="2025-09-26"/>
    <n v="1"/>
    <s v="MONTERIA"/>
    <x v="5"/>
    <n v="37313"/>
    <n v="37313"/>
  </r>
  <r>
    <n v="28843"/>
    <s v="BARRIO NIQUIA CAMACOL 4 BELLO"/>
    <n v="8426321"/>
    <s v="4821859"/>
    <s v="3105276824"/>
    <s v="3105276824"/>
    <s v=" AV 47 68 04"/>
    <s v="6.3419499"/>
    <s v="-75.5474038"/>
    <s v="ANTIOQUIA"/>
    <s v="BELLO"/>
    <s v="BELLO"/>
    <n v="5088"/>
    <s v="2025-09-26"/>
    <n v="1"/>
    <s v="MEDELLIN"/>
    <x v="0"/>
    <n v="37313"/>
    <n v="37313"/>
  </r>
  <r>
    <n v="24566"/>
    <s v="BARRIO BOLIVAR - SINCELEJO"/>
    <n v="92510033"/>
    <s v="2801884"/>
    <s v="3126190482"/>
    <s v="3126190482"/>
    <s v=" CL 39 3 C 54"/>
    <s v="9.2715418"/>
    <s v="-75.4115873"/>
    <s v="SUCRE"/>
    <s v="SINCELEJO"/>
    <s v="SINCELEJO"/>
    <n v="70001"/>
    <s v="2025-09-26"/>
    <n v="1"/>
    <s v="SINCELEJO"/>
    <x v="5"/>
    <n v="49671.7"/>
    <n v="49671.7"/>
  </r>
  <r>
    <n v="30553"/>
    <s v="BARRIO SANPER MENDOZA BOGOTA"/>
    <n v="79829706"/>
    <s v="7856305"/>
    <s v="3015279456"/>
    <s v="3015279456"/>
    <s v="CR 25 25 B 15"/>
    <s v="4.621104"/>
    <s v="-74.078427"/>
    <s v="CUNDINAMARCA"/>
    <s v="BOGOTÁ"/>
    <s v="BOGOTÁ"/>
    <n v="11001"/>
    <s v="2025-09-26"/>
    <n v="1"/>
    <s v="BOGOTA"/>
    <x v="2"/>
    <n v="37313"/>
    <n v="37313"/>
  </r>
  <r>
    <n v="34616"/>
    <s v="BARRIO MISAEL PASTRANA BORRERO NEIVA"/>
    <n v="65705407"/>
    <m/>
    <s v="3156573470"/>
    <s v="3156573470"/>
    <s v=" CR 50 BIS 20C 05"/>
    <s v="2.9422551"/>
    <s v="-75.2506406"/>
    <s v="HUILA"/>
    <s v="NEIVA"/>
    <s v="NEIVA"/>
    <n v="41001"/>
    <s v="2025-09-26"/>
    <n v="1"/>
    <s v="NEIVA"/>
    <x v="1"/>
    <n v="49671.7"/>
    <n v="49671.7"/>
  </r>
  <r>
    <n v="22896"/>
    <s v="BARRIO CENTRO X - POPAYÁN"/>
    <n v="900323764"/>
    <s v="8220835"/>
    <s v="3168218025"/>
    <s v="3168218025"/>
    <s v="CR 7  6-30"/>
    <s v="2.4405045"/>
    <s v="-76.6076275"/>
    <s v="CAUCA"/>
    <s v="POPAYÁN"/>
    <s v="POPAYÁN"/>
    <n v="19001"/>
    <s v="2025-09-26"/>
    <n v="2"/>
    <s v="CALI"/>
    <x v="3"/>
    <n v="37313"/>
    <n v="74626"/>
  </r>
  <r>
    <n v="46380"/>
    <s v="BARRIO ESCOBAR LA ESTRELLA"/>
    <n v="21677170"/>
    <s v="6102366"/>
    <s v="3045559170"/>
    <s v="3045559170"/>
    <s v="CALLE 82 A SUR # 55 GG 46 ,ESCOBAR"/>
    <s v="6.1543775"/>
    <s v="-75.6385349"/>
    <s v="ANTIOQUIA"/>
    <s v="LA ESTRELLA"/>
    <s v="LA ESTRELLA"/>
    <n v="5380"/>
    <s v="2025-09-26"/>
    <n v="1"/>
    <s v="MEDELLIN"/>
    <x v="0"/>
    <n v="37313"/>
    <n v="37313"/>
  </r>
  <r>
    <n v="38402"/>
    <s v="BARRIO CENTRO FLORIDABLANCA"/>
    <n v="91070470"/>
    <s v="6497093"/>
    <s v="3142766499"/>
    <s v="3142766499"/>
    <s v=" CL 5 10 33 CENTRO"/>
    <s v="7.0635475"/>
    <s v="-73.0846749"/>
    <s v="SANTANDER"/>
    <s v="FLORIDABLANCA"/>
    <s v="FLORIDABLANCA"/>
    <n v="68276"/>
    <s v="2025-09-26"/>
    <n v="1"/>
    <s v="BUCARAMANGA"/>
    <x v="4"/>
    <n v="37313"/>
    <n v="37313"/>
  </r>
  <r>
    <n v="44998"/>
    <s v="BARRIO CENTRO MEDELLIN 55"/>
    <n v="901171958"/>
    <s v="2680063"/>
    <s v="3148703366"/>
    <s v="3105216079"/>
    <s v="CL 51 40 35,CENTRO"/>
    <s v="6.2471807"/>
    <s v="-75.5602603"/>
    <s v="ANTIOQUIA"/>
    <s v="MEDELLÍN"/>
    <s v="MEDELLÍN"/>
    <n v="5001"/>
    <s v="2025-09-26"/>
    <n v="1"/>
    <s v="MEDELLIN"/>
    <x v="0"/>
    <n v="37313"/>
    <n v="37313"/>
  </r>
  <r>
    <n v="47261"/>
    <s v="BARRIO OLAYA BARRANQUILLA 1"/>
    <n v="900381677"/>
    <s v="3008000315"/>
    <s v="3008000315"/>
    <s v="3043645463"/>
    <s v="CL 54 31 117 LO 1,OLAYA"/>
    <s v="10.97750"/>
    <s v="-74.79745"/>
    <s v="ATLÁNTICO"/>
    <s v="BARRANQUILLA"/>
    <s v="BARRANQUILLA"/>
    <n v="8001"/>
    <s v="2025-09-26"/>
    <n v="1"/>
    <s v="BARRANQUILLA"/>
    <x v="5"/>
    <n v="37313"/>
    <n v="37313"/>
  </r>
  <r>
    <n v="46221"/>
    <s v="BARRIO CALLE PRINCIPAL SAN JERONIMO"/>
    <n v="901353525"/>
    <m/>
    <s v="3003017719"/>
    <s v="3003017719"/>
    <s v="CL 27 10 A 87,CALLE PRINCIPAL"/>
    <s v="6.448037"/>
    <s v="-75.7295"/>
    <s v="ANTIOQUIA"/>
    <s v="SAN JERÓNIMO"/>
    <s v="SAN JERÓNIMO"/>
    <n v="5656"/>
    <s v="2025-09-26"/>
    <n v="1"/>
    <s v="MEDELLIN"/>
    <x v="0"/>
    <n v="37313"/>
    <n v="37313"/>
  </r>
  <r>
    <n v="47312"/>
    <s v="BARRIO EL LLANO SARDINATA 1"/>
    <n v="1094268995"/>
    <s v="0"/>
    <s v="3186703929"/>
    <s v="3186703929"/>
    <s v="CR 6 NRO 13 A -32,EL LLANO"/>
    <s v="8.089147"/>
    <s v="-72.788890"/>
    <s v="NORTE DE SANTANDER"/>
    <s v="SARDINATA"/>
    <s v="SARDINATA"/>
    <n v="54720"/>
    <s v="2025-09-26"/>
    <n v="1"/>
    <s v="CUCUTA"/>
    <x v="4"/>
    <n v="49671.7"/>
    <n v="49671.7"/>
  </r>
  <r>
    <n v="36212"/>
    <s v="BARRIO MILAGROSA MEDELLIN 1"/>
    <n v="98572122"/>
    <s v="2145108"/>
    <s v="3164070750"/>
    <s v="3164070750"/>
    <s v=" CL 43 29 44"/>
    <s v="6.2366366"/>
    <s v="-75.5547091"/>
    <s v="ANTIOQUIA"/>
    <s v="MEDELLÍN"/>
    <s v="MEDELLÍN"/>
    <n v="5001"/>
    <s v="2025-09-26"/>
    <n v="1"/>
    <s v="MEDELLIN"/>
    <x v="0"/>
    <n v="37313"/>
    <n v="37313"/>
  </r>
  <r>
    <n v="48388"/>
    <s v="BARRIO CENTRO PAMPLONA 9"/>
    <n v="901380632"/>
    <s v="3193154604"/>
    <s v="3168704018"/>
    <s v="3193154604"/>
    <s v="CR 4 5-76,CENTRO"/>
    <s v="7.3770550"/>
    <s v="-72.64973600"/>
    <s v="NORTE DE SANTANDER"/>
    <s v="PAMPLONA"/>
    <s v="PAMPLONA"/>
    <n v="54518"/>
    <s v="2025-09-26"/>
    <n v="1"/>
    <s v="CUCUTA"/>
    <x v="4"/>
    <n v="49671.7"/>
    <n v="49671.7"/>
  </r>
  <r>
    <n v="48622"/>
    <s v="BARRIO LA NUEVA ESTANCIA YUMBO"/>
    <n v="6531682"/>
    <s v="6696509"/>
    <s v="3116443572"/>
    <s v="3116443572"/>
    <s v="CR 13 15 B 13,LA NUEVA ESTANCIA"/>
    <s v="3.5720068"/>
    <s v="-76.4842668"/>
    <s v="VALLE DEL CAUCA"/>
    <s v="YUMBO"/>
    <s v="YUMBO"/>
    <n v="76892"/>
    <s v="2025-09-26"/>
    <n v="1"/>
    <s v="CALI"/>
    <x v="3"/>
    <n v="37313"/>
    <n v="37313"/>
  </r>
  <r>
    <n v="46474"/>
    <s v="BARRIO RINCON DE PASTO PASTO"/>
    <n v="1087027137"/>
    <m/>
    <s v="3206971422"/>
    <s v="3206971422"/>
    <s v="MZ A CS 4 Refugio San GaBRRiel"/>
    <s v="1.2195539"/>
    <s v="-77.2753057"/>
    <s v="NARIÑO"/>
    <s v="PASTO"/>
    <s v="SAN JUAN DE PASTO"/>
    <n v="52001"/>
    <s v="2025-09-26"/>
    <n v="1"/>
    <s v="PASTO"/>
    <x v="3"/>
    <n v="49671.7"/>
    <n v="49671.7"/>
  </r>
  <r>
    <n v="49303"/>
    <s v="BARRIO MANRIQUE JARDIN MEDELLIN 2"/>
    <n v="1214713319"/>
    <s v="2115712"/>
    <s v="3205760788"/>
    <s v="3205760788"/>
    <s v="CR 32 91 52,MANRIQUE JARDIN"/>
    <s v="6.2831225"/>
    <s v="-75.5445562"/>
    <s v="ANTIOQUIA"/>
    <s v="MEDELLÍN"/>
    <s v="MEDELLÍN"/>
    <n v="5001"/>
    <s v="2025-09-26"/>
    <n v="1"/>
    <s v="MEDELLIN"/>
    <x v="0"/>
    <n v="37313"/>
    <n v="37313"/>
  </r>
  <r>
    <n v="43210"/>
    <s v="BARRIO TORRES DE BICENTENARIO FLORIDABLANCA"/>
    <n v="13822354"/>
    <s v="6316185"/>
    <s v="3138405395"/>
    <s v="3138405395"/>
    <s v="CL 113 32 65 LOCAL 10,TORRES DE BICENTENARIO"/>
    <s v="7.0876201"/>
    <s v="-73.1043075"/>
    <s v="SANTANDER"/>
    <s v="FLORIDABLANCA"/>
    <s v="FLORIDABLANCA"/>
    <n v="68276"/>
    <s v="2025-09-26"/>
    <n v="1"/>
    <s v="BUCARAMANGA"/>
    <x v="4"/>
    <n v="37313"/>
    <n v="37313"/>
  </r>
  <r>
    <n v="41639"/>
    <s v="BARRIO LOS NOGALES SOLEDAD"/>
    <n v="72286854"/>
    <s v="3882245"/>
    <s v="3043623957"/>
    <s v="3017071836"/>
    <s v="CR 12 76 A 52 SOLEDAD,LOS NOGALES"/>
    <s v="10.9102575"/>
    <s v="-74.8106793"/>
    <s v="ATLÁNTICO"/>
    <s v="SOLEDAD"/>
    <s v="SOLEDAD"/>
    <n v="8758"/>
    <s v="2025-09-26"/>
    <n v="1"/>
    <s v="BARRANQUILLA"/>
    <x v="5"/>
    <n v="37313"/>
    <n v="37313"/>
  </r>
  <r>
    <n v="41865"/>
    <s v="BARRIO SANTA ANA FLORIDABLANCA 2"/>
    <n v="901091229"/>
    <s v="6183842"/>
    <s v="3164991367"/>
    <s v="3164991367"/>
    <s v="CR 11 2 61,SANTA ANA"/>
    <s v="7.6932369"/>
    <s v="-73.17708009"/>
    <s v="SANTANDER"/>
    <s v="FLORIDABLANCA"/>
    <s v="FLORIDABLANCA"/>
    <n v="68276"/>
    <s v="2025-09-26"/>
    <n v="1"/>
    <s v="BUCARAMANGA"/>
    <x v="4"/>
    <n v="37313"/>
    <n v="37313"/>
  </r>
  <r>
    <n v="47149"/>
    <s v="BARRIO TORREON DE PEIDRA PINTADA IBAGUE"/>
    <n v="65715167"/>
    <s v="0"/>
    <s v="3123052677"/>
    <s v="3113117156"/>
    <s v="CL 57 # 4A - 56,TORREÓN DE PIEDRA PINTADA"/>
    <s v="4.4348161"/>
    <s v="-75.2041104"/>
    <s v="TOLIMA"/>
    <s v="IBAGUÉ"/>
    <s v="IBAGUÉ"/>
    <n v="73001"/>
    <s v="2025-09-26"/>
    <n v="1"/>
    <s v="IBAGUE"/>
    <x v="1"/>
    <n v="49671.7"/>
    <n v="49671.7"/>
  </r>
  <r>
    <n v="42890"/>
    <s v="BARRIO LA ESTRELLA LA ESTRELLA 1"/>
    <n v="43683438"/>
    <s v="3064016"/>
    <s v="3166707928"/>
    <s v="3166707928"/>
    <s v="CRA 45 100 SUR 54"/>
    <s v="6.118003"/>
    <s v="-75.6226305"/>
    <s v="ANTIOQUIA"/>
    <s v="LA ESTRELLA"/>
    <s v="LA ESTRELLA"/>
    <n v="5380"/>
    <s v="2025-09-26"/>
    <n v="1"/>
    <s v="MEDELLIN"/>
    <x v="0"/>
    <n v="37313"/>
    <n v="37313"/>
  </r>
  <r>
    <n v="40843"/>
    <s v="BARRIO MANRIQUE MEDELLIN 11"/>
    <n v="42976138"/>
    <s v="3616351"/>
    <s v="3112827441"/>
    <s v="3112827441"/>
    <s v="CR 43 B 87 82,MANRIQUE"/>
    <s v="6.2802180"/>
    <s v="-75.5512614"/>
    <s v="ANTIOQUIA"/>
    <s v="MEDELLÍN"/>
    <s v="MEDELLÍN"/>
    <n v="5001"/>
    <s v="2025-09-26"/>
    <n v="1"/>
    <s v="MEDELLIN"/>
    <x v="0"/>
    <n v="37313"/>
    <n v="37313"/>
  </r>
  <r>
    <n v="50121"/>
    <s v="BARRIO OCTAVA ETAPA DE LA ESPERANZA VILLAVICENCIO"/>
    <n v="40216135"/>
    <s v="0"/>
    <s v="3118947197"/>
    <s v="3118947197"/>
    <s v="CL 14 C NRO . 39 - 03 OCTAVA ETAPA DE LA ESPERANZA,OCTAVA ETAPA DE LA ESPERANZA"/>
    <s v="4.131010"/>
    <s v="-73.630749"/>
    <s v="META"/>
    <s v="VILLAVICENCIO"/>
    <s v="VILLAVICENCIO"/>
    <n v="50001"/>
    <s v="2025-09-26"/>
    <n v="1"/>
    <s v="VILLAVICENCIO"/>
    <x v="1"/>
    <n v="49671.7"/>
    <n v="49671.7"/>
  </r>
  <r>
    <n v="50022"/>
    <s v="BARRIO LAURELES MANIZALES 3"/>
    <n v="1053802642"/>
    <s v="8816714"/>
    <s v="3145279458"/>
    <s v="3145279458"/>
    <s v="CR 21 65 A 50,LAURELES"/>
    <s v="5.0557187"/>
    <s v="-75.4842601"/>
    <s v="CALDAS"/>
    <s v="MANIZALES"/>
    <s v="MANIZALES"/>
    <n v="17001"/>
    <s v="2025-09-26"/>
    <n v="1"/>
    <s v="MANIZALES"/>
    <x v="6"/>
    <n v="49671.7"/>
    <n v="49671.7"/>
  </r>
  <r>
    <n v="51990"/>
    <s v="BARRIO CHARCOLANDIA LA ESTRELLA"/>
    <n v="42782928"/>
    <s v="0"/>
    <s v="3013674698"/>
    <s v="3013674698"/>
    <s v="CL 96 B SUR 55 130,CHARCOLANDIA"/>
    <s v="6.1341192"/>
    <s v="-75.6396192"/>
    <s v="ANTIOQUIA"/>
    <s v="LA ESTRELLA"/>
    <s v="LA ESTRELLA"/>
    <n v="5380"/>
    <s v="2025-09-26"/>
    <n v="1"/>
    <s v="MEDELLIN"/>
    <x v="0"/>
    <n v="37313"/>
    <n v="37313"/>
  </r>
  <r>
    <n v="47141"/>
    <s v="BARRIO PAMPLONA PAMPLONA 1"/>
    <n v="890502419"/>
    <s v="5681491"/>
    <s v="3176490607"/>
    <s v="3176490607"/>
    <s v="CR 7 3-52,PAMPLONA"/>
    <s v="7.3776880"/>
    <s v="-72.6460551"/>
    <s v="NORTE DE SANTANDER"/>
    <s v="PAMPLONA"/>
    <s v="PAMPLONA"/>
    <n v="54518"/>
    <s v="2025-09-26"/>
    <n v="1"/>
    <s v="CUCUTA"/>
    <x v="4"/>
    <n v="49671.7"/>
    <n v="49671.7"/>
  </r>
  <r>
    <n v="47800"/>
    <s v="BARRIO SUBA BOGOTA 15"/>
    <n v="52897738"/>
    <s v="3107519387"/>
    <s v="3041344894"/>
    <s v="3107519387"/>
    <s v="CL 138 151 B 19,SUBA"/>
    <s v="4.7456378"/>
    <s v="-74.1231871"/>
    <s v="CUNDINAMARCA"/>
    <s v="BOGOTÁ"/>
    <s v="BOGOTÁ"/>
    <n v="11001"/>
    <s v="2025-09-26"/>
    <n v="1"/>
    <s v="BOGOTA"/>
    <x v="2"/>
    <n v="37313"/>
    <n v="37313"/>
  </r>
  <r>
    <n v="50683"/>
    <s v="BARRIO LA CAMPIÑA SINCELEJO"/>
    <n v="1102869711"/>
    <s v="0"/>
    <s v="3015290775"/>
    <s v="3015290775"/>
    <s v="CR 19 40 4,LA CAMPIÑA"/>
    <s v="9.2904770"/>
    <s v="-75.3872912"/>
    <s v="SUCRE"/>
    <s v="SINCELEJO"/>
    <s v="SINCELEJO"/>
    <n v="70001"/>
    <s v="2025-09-26"/>
    <n v="3"/>
    <s v="SINCELEJO"/>
    <x v="5"/>
    <n v="49671.7"/>
    <n v="149015.09999999998"/>
  </r>
  <r>
    <n v="51898"/>
    <s v="BARRIO MONTECARLOS VILLAVICENCIO"/>
    <n v="79876159"/>
    <s v="3103409599"/>
    <s v="3103409599"/>
    <s v="3103409599"/>
    <s v="TV 48 24 A 18 SUR MONTECARLO"/>
    <s v="4.1049624"/>
    <s v="-73.6574059"/>
    <s v="META"/>
    <s v="VILLAVICENCIO"/>
    <s v="VILLAVICENCIO"/>
    <n v="50001"/>
    <s v="2025-09-26"/>
    <n v="1"/>
    <s v="VILLAVICENCIO"/>
    <x v="1"/>
    <n v="49671.7"/>
    <n v="49671.7"/>
  </r>
  <r>
    <n v="48100"/>
    <s v="BARRIO PARQUE PRINCIPAL GUARNE 1"/>
    <n v="1035910049"/>
    <s v="0"/>
    <s v="3206745292"/>
    <s v="3206745292"/>
    <s v="CR 49 50 54 BRR CENTRO PLAZA,PARQUE PRINCIPAL"/>
    <s v="6.2806341"/>
    <s v="-75.4417831"/>
    <s v="ANTIOQUIA"/>
    <s v="GUARNE"/>
    <s v="GUARNE"/>
    <n v="5318"/>
    <s v="2025-09-26"/>
    <n v="1"/>
    <s v="MEDELLIN"/>
    <x v="0"/>
    <n v="37313"/>
    <n v="37313"/>
  </r>
  <r>
    <n v="50630"/>
    <s v="BARRIO EL DORADO FLORIDABLANCA 1"/>
    <n v="63526688"/>
    <s v="3183734118"/>
    <s v="3183734118"/>
    <s v="3183734118"/>
    <s v="CL 110 A 32 74,EL DORADO"/>
    <s v="7.0894970"/>
    <s v="-73.1051725"/>
    <s v="SANTANDER"/>
    <s v="FLORIDABLANCA"/>
    <s v="FLORIDABLANCA"/>
    <n v="68276"/>
    <s v="2025-09-26"/>
    <n v="1"/>
    <s v="BUCARAMANGA"/>
    <x v="4"/>
    <n v="37313"/>
    <n v="37313"/>
  </r>
  <r>
    <n v="50841"/>
    <s v="BARRIO LA VIRGINIA ARMENIA"/>
    <n v="1097032481"/>
    <s v="0"/>
    <s v="3117133964"/>
    <s v="3174080304"/>
    <s v="MZ 27 CASA 14, BRR LA VIRGINIA"/>
    <s v="4.5171498"/>
    <s v="-75.7102780"/>
    <s v="QUINDÍO"/>
    <s v="ARMENIA"/>
    <s v="ARMENIA"/>
    <n v="63001"/>
    <s v="2025-09-26"/>
    <n v="1"/>
    <s v="PEREIRA"/>
    <x v="6"/>
    <n v="37313"/>
    <n v="37313"/>
  </r>
  <r>
    <n v="51907"/>
    <s v="BARRIO EL BOSQUE FLORIDABLANCA"/>
    <n v="804015249"/>
    <s v="6398862"/>
    <s v="3153112615"/>
    <s v="3115937655"/>
    <s v="CR 24 154 106 PISO 1 LOCAL 104,EL BOSQUE"/>
    <s v="7.0740050"/>
    <s v="-73.1098480"/>
    <s v="SANTANDER"/>
    <s v="FLORIDABLANCA"/>
    <s v="FLORIDABLANCA"/>
    <n v="68276"/>
    <s v="2025-09-26"/>
    <n v="1"/>
    <s v="BUCARAMANGA"/>
    <x v="4"/>
    <n v="37313"/>
    <n v="37313"/>
  </r>
  <r>
    <n v="52886"/>
    <s v="BARRIO EL CABLE MANIZALES"/>
    <n v="15961335"/>
    <s v="8961552"/>
    <s v="3122843660"/>
    <s v="3122843660"/>
    <s v="CR 23 65 11 LC 303 C. C. CABLE PLAZA,EL CABLE"/>
    <s v="5.0563607"/>
    <s v="-75.4857082"/>
    <s v="CALDAS"/>
    <s v="MANIZALES"/>
    <s v="MANIZALES"/>
    <n v="17001"/>
    <s v="2025-09-26"/>
    <n v="1"/>
    <s v="MANIZALES"/>
    <x v="6"/>
    <n v="49671.7"/>
    <n v="49671.7"/>
  </r>
  <r>
    <n v="48283"/>
    <s v="BARRIO HACIENDA PIEDRA PINTADA"/>
    <n v="1110061010"/>
    <s v="0"/>
    <s v="3118119786"/>
    <s v="3229078198"/>
    <s v="mz U cs 20 BRR Hacienda Piedra Pintada_x0009_"/>
    <s v="4.4333146"/>
    <s v="-75.2032786"/>
    <s v="TOLIMA"/>
    <s v="IBAGUÉ"/>
    <s v="IBAGUÉ"/>
    <n v="73001"/>
    <s v="2025-09-26"/>
    <n v="1"/>
    <s v="IBAGUE"/>
    <x v="1"/>
    <n v="49671.7"/>
    <n v="49671.7"/>
  </r>
  <r>
    <n v="52565"/>
    <s v="BARRIO BELLO HORIZONTE POPAYAN  8 "/>
    <n v="1061721315"/>
    <s v="0"/>
    <s v="3015658510"/>
    <s v="3015658510"/>
    <s v="CR 37 NRO 4A-85 BRR CARLOS PRIMERO"/>
    <s v="2.453688"/>
    <s v="-76.630818"/>
    <s v="CAUCA"/>
    <s v="POPAYÁN"/>
    <s v="POPAYÁN"/>
    <n v="19001"/>
    <s v="2025-09-26"/>
    <n v="1"/>
    <s v="CALI"/>
    <x v="3"/>
    <n v="37313"/>
    <n v="37313"/>
  </r>
  <r>
    <n v="53865"/>
    <s v="BARRIO SAN GREGORIO VILLAVICENCIO"/>
    <n v="86050879"/>
    <s v="3202354250"/>
    <s v="3106792741"/>
    <s v="3106792741"/>
    <s v="CL 33 NRO. 25 A 94,BRR SAN GREGORIO"/>
    <s v="4.148357"/>
    <s v="-73.630711"/>
    <s v="META"/>
    <s v="VILLAVICENCIO"/>
    <s v="VILLAVICENCIO"/>
    <n v="50001"/>
    <s v="2025-09-26"/>
    <n v="1"/>
    <s v="VILLAVICENCIO"/>
    <x v="1"/>
    <n v="49671.7"/>
    <n v="49671.7"/>
  </r>
  <r>
    <n v="54250"/>
    <s v="BARRIO BOSQUES DE SAN LUIS NEIVA"/>
    <n v="7717320"/>
    <s v="3187033552"/>
    <s v="3157229625"/>
    <s v="3187033552"/>
    <s v="TV 36 36 150 TORRE 12 APTO 104,"/>
    <s v="2.898313888"/>
    <s v="-75.26151944"/>
    <s v="HUILA"/>
    <s v="NEIVA"/>
    <s v="NEIVA"/>
    <n v="41001"/>
    <s v="2025-09-26"/>
    <n v="1"/>
    <s v="NEIVA"/>
    <x v="1"/>
    <n v="49671.7"/>
    <n v="49671.7"/>
  </r>
  <r>
    <n v="55062"/>
    <s v="BARRIO CONJUNTO PORTALES DE GRATAMIRA VILLAVICENCIO"/>
    <n v="1121826336"/>
    <s v="3142201437"/>
    <s v="3142201437"/>
    <s v="3142201437"/>
    <s v="CR 35 A 5 A SUR 80 CONJUNTO PORTALES DE GRATAMIRA MZ A CASA 8"/>
    <s v="4.109906"/>
    <s v="-73.631749"/>
    <s v="META"/>
    <s v="VILLAVICENCIO"/>
    <s v="VILLAVICENCIO"/>
    <n v="50001"/>
    <s v="2025-09-26"/>
    <n v="1"/>
    <s v="VILLAVICENCIO"/>
    <x v="1"/>
    <n v="49671.7"/>
    <n v="49671.7"/>
  </r>
  <r>
    <n v="55398"/>
    <s v="BARRIO COMFAMA GUARNE 1"/>
    <n v="43793998"/>
    <s v="0"/>
    <s v="3213149649"/>
    <s v="3213148649"/>
    <s v="CL 35 B 46 37,COMFAMA"/>
    <s v="6.2704250"/>
    <s v="-75.4332936"/>
    <s v="ANTIOQUIA"/>
    <s v="GUARNE"/>
    <s v="GUARNE"/>
    <n v="5318"/>
    <s v="2025-09-26"/>
    <n v="1"/>
    <s v="MEDELLIN"/>
    <x v="0"/>
    <n v="37313"/>
    <n v="37313"/>
  </r>
  <r>
    <n v="54084"/>
    <s v="BARRIO CENTRO PAIPA 11"/>
    <n v="9395644"/>
    <s v="3134545960"/>
    <s v="3134545960"/>
    <s v="3134545960"/>
    <s v="CL 24 NO.20-83,BRR CENTRO"/>
    <s v="5.78080833"/>
    <s v="-73.118056"/>
    <s v="BOYACÁ"/>
    <s v="PAIPA"/>
    <s v="PAIPA"/>
    <n v="15516"/>
    <s v="2025-09-26"/>
    <n v="1"/>
    <s v="TUNJA"/>
    <x v="4"/>
    <n v="49671.7"/>
    <n v="49671.7"/>
  </r>
  <r>
    <n v="55183"/>
    <s v="BARRIO VILLA CINDY SUBA BOGOTA"/>
    <n v="1019038748"/>
    <s v="0"/>
    <s v="3222445458"/>
    <s v="3222445458"/>
    <s v="CR 158 B NO. 138 - 14 ,"/>
    <s v="4.7447142"/>
    <s v="-74.1286283"/>
    <s v="CUNDINAMARCA"/>
    <s v="BOGOTÁ"/>
    <s v="BOGOTÁ"/>
    <n v="11001"/>
    <s v="2025-09-26"/>
    <n v="2"/>
    <s v="BOGOTA"/>
    <x v="2"/>
    <n v="37313"/>
    <n v="74626"/>
  </r>
  <r>
    <n v="56210"/>
    <s v="BARRIO SANTA RITA BOGOTA 3"/>
    <n v="1015439865"/>
    <s v="0"/>
    <s v="3015889864"/>
    <s v="3015889864"/>
    <s v="CL 137 154 04"/>
    <s v="4.74396"/>
    <s v="-74.125742"/>
    <s v="CUNDINAMARCA"/>
    <s v="BOGOTÁ"/>
    <s v="BOGOTÁ"/>
    <n v="11001"/>
    <s v="2025-09-26"/>
    <n v="1"/>
    <s v="BOGOTA"/>
    <x v="2"/>
    <n v="37313"/>
    <n v="37313"/>
  </r>
  <r>
    <n v="53854"/>
    <s v="BARRIO MULTIFAMILIARES LOS CENTAUROS VILLAVICENCIO 1"/>
    <n v="1014245762"/>
    <s v="3228241987"/>
    <s v="3228241987"/>
    <s v="3228241987"/>
    <s v="CR 35 A 5 A 91 SUR MULTIFAMILIARES LOS CENTAUROS"/>
    <s v="4.1107561"/>
    <s v="-73.6324940"/>
    <s v="META"/>
    <s v="VILLAVICENCIO"/>
    <s v="VILLAVICENCIO"/>
    <n v="50001"/>
    <s v="2025-09-26"/>
    <n v="1"/>
    <s v="VILLAVICENCIO"/>
    <x v="1"/>
    <n v="49671.7"/>
    <n v="49671.7"/>
  </r>
  <r>
    <n v="55346"/>
    <s v="BARRIO VILLA DEL ROSARIO TUNJA"/>
    <n v="40040417"/>
    <s v="3133844793"/>
    <s v="3133844793"/>
    <s v="3133844793"/>
    <s v="AVENIDA CIRCUNVALAR 300 METROS ADELANTE DEL PARQUE INDUSTRIAL DEL ORIENTE,VILLA DEL ROSARIO"/>
    <s v="5.530"/>
    <s v="-73.363"/>
    <s v="BOYACÁ"/>
    <s v="TUNJA"/>
    <s v="TUNJA"/>
    <n v="15001"/>
    <s v="2025-09-26"/>
    <n v="1"/>
    <s v="TUNJA"/>
    <x v="4"/>
    <n v="49671.7"/>
    <n v="49671.7"/>
  </r>
  <r>
    <n v="56764"/>
    <s v="BARRIO ESPERANZA SEPTIMA ETAPA VILLAVICENCIO"/>
    <n v="1121914463"/>
    <s v="3132095080"/>
    <s v="3132095080"/>
    <s v="3132095080"/>
    <s v="CR 33 NO 13 73 BARRIO ESPERANZA SEPTIMA ETAPA LOCAL 3"/>
    <s v="4.129234"/>
    <s v="-73.629440"/>
    <s v="META"/>
    <s v="VILLAVICENCIO"/>
    <s v="VILLAVICENCIO"/>
    <n v="50001"/>
    <s v="2025-09-26"/>
    <n v="1"/>
    <s v="VILLAVICENCIO"/>
    <x v="1"/>
    <n v="49671.7"/>
    <n v="49671.7"/>
  </r>
  <r>
    <n v="57682"/>
    <s v="BARRIO LAS VEGAS POPAYAN"/>
    <n v="76317575"/>
    <s v="8361706"/>
    <s v="3207731864"/>
    <s v="3207731864"/>
    <s v="CR 29 18 21 BRR LAS VEGAS"/>
    <s v="2.4431384"/>
    <s v="-76.629488"/>
    <s v="CAUCA"/>
    <s v="POPAYÁN"/>
    <s v="POPAYÁN"/>
    <n v="19001"/>
    <s v="2025-09-26"/>
    <n v="1"/>
    <s v="CALI"/>
    <x v="3"/>
    <n v="37313"/>
    <n v="37313"/>
  </r>
  <r>
    <n v="58201"/>
    <s v="BARRIO GUARNE GUARNE"/>
    <n v="900015725"/>
    <s v="5517075"/>
    <s v="3113703287"/>
    <s v="3207007449"/>
    <s v="CR 50 42 100 LC 08,GUARNE"/>
    <s v="6.2762037"/>
    <s v="-75.4393255"/>
    <s v="ANTIOQUIA"/>
    <s v="GUARNE"/>
    <s v="GUARNE"/>
    <n v="5318"/>
    <s v="2025-09-26"/>
    <n v="1"/>
    <s v="MEDELLIN"/>
    <x v="0"/>
    <n v="37313"/>
    <n v="37313"/>
  </r>
  <r>
    <n v="56409"/>
    <s v="BARRIO CIUDAD JARDIN VILLAVICENCIO"/>
    <n v="52716908"/>
    <s v="3234986665"/>
    <s v="3234986665"/>
    <s v="3234986665"/>
    <s v="CL 54 A SUR 35 66 MZ 42 CASA 1 AP 101 CIUDAD JARDIN"/>
    <s v="4.082534"/>
    <s v="-73.665092"/>
    <s v="META"/>
    <s v="VILLAVICENCIO"/>
    <s v="VILLAVICENCIO"/>
    <n v="50001"/>
    <s v="2025-09-26"/>
    <n v="1"/>
    <s v="VILLAVICENCIO"/>
    <x v="1"/>
    <n v="49671.7"/>
    <n v="49671.7"/>
  </r>
  <r>
    <n v="57708"/>
    <s v="BARRIO RINCON DE PASTO PASTO 2"/>
    <n v="12985642"/>
    <s v="3127023559"/>
    <s v="3127023559"/>
    <s v="3127023559"/>
    <s v="MZ D CASA 28 BARRIO RINCÓN DE PASTO"/>
    <s v="1.2329180"/>
    <s v="-77.2681507"/>
    <s v="NARIÑO"/>
    <s v="PASTO"/>
    <s v="SAN JUAN DE PASTO"/>
    <n v="52001"/>
    <s v="2025-09-26"/>
    <n v="1"/>
    <s v="PASTO"/>
    <x v="3"/>
    <n v="49671.7"/>
    <n v="49671.7"/>
  </r>
  <r>
    <n v="58897"/>
    <s v="BARRIO MANZANARES NEIVA"/>
    <n v="26593702"/>
    <s v="0"/>
    <s v="3127599799"/>
    <s v="3127599799"/>
    <s v="CR 31 SUR 18 F 20,MANZANARES"/>
    <s v="2.909377"/>
    <s v="-75.268226"/>
    <s v="HUILA"/>
    <s v="NEIVA"/>
    <s v="NEIVA"/>
    <n v="41001"/>
    <s v="2025-09-26"/>
    <n v="1"/>
    <s v="NEIVA"/>
    <x v="1"/>
    <n v="49671.7"/>
    <n v="49671.7"/>
  </r>
  <r>
    <n v="59165"/>
    <s v="BARRIO EL REMANSO PEREIRA"/>
    <n v="42102291"/>
    <s v="0"/>
    <s v="3103464061"/>
    <s v="3103464061"/>
    <s v="MZ 21 CA 15 BRR EL REMANSO"/>
    <s v="4.786648"/>
    <s v="-75.672125"/>
    <s v="RISARALDA"/>
    <s v="PEREIRA"/>
    <s v="PEREIRA"/>
    <n v="66001"/>
    <s v="2025-09-26"/>
    <n v="1"/>
    <s v="PEREIRA"/>
    <x v="6"/>
    <n v="37313"/>
    <n v="37313"/>
  </r>
  <r>
    <n v="57557"/>
    <s v="BARRIO LAS DELICIAS SINCELEJO 1"/>
    <n v="64543769"/>
    <s v="0"/>
    <s v="3003825660"/>
    <s v="3007903409"/>
    <s v="CR 9 33 14 ,BRR LAS DELICIAS"/>
    <s v="9.2844726"/>
    <s v="-75.4013301"/>
    <s v="SUCRE"/>
    <s v="SINCELEJO"/>
    <s v="SINCELEJO"/>
    <n v="70001"/>
    <s v="2025-09-26"/>
    <n v="1"/>
    <s v="SINCELEJO"/>
    <x v="5"/>
    <n v="49671.7"/>
    <n v="49671.7"/>
  </r>
  <r>
    <n v="57430"/>
    <s v="BARRIO CENTRO MAINZALES"/>
    <n v="30396039"/>
    <s v="8914000"/>
    <s v="3228484085"/>
    <s v="3136131887"/>
    <s v="CR 23  65 A - 41 LC P211 ED PARQUE MEDICO,CENTRO"/>
    <s v="5.0554791"/>
    <s v="-75.4850735"/>
    <s v="CALDAS"/>
    <s v="MANIZALES"/>
    <s v="MANIZALES"/>
    <n v="17001"/>
    <s v="2025-09-26"/>
    <n v="1"/>
    <s v="MANIZALES"/>
    <x v="6"/>
    <n v="49671.7"/>
    <n v="49671.7"/>
  </r>
  <r>
    <n v="61441"/>
    <s v="BARRIO BUGANVILES NEIVA"/>
    <n v="1075302971"/>
    <s v="3162725604"/>
    <s v="3118911178"/>
    <s v="3162725604"/>
    <s v="CL 20 32 16 BUGANVILES"/>
    <s v="2.940612"/>
    <s v="-75.266914"/>
    <s v="HUILA"/>
    <s v="NEIVA"/>
    <s v="NEIVA"/>
    <n v="41001"/>
    <s v="2025-09-26"/>
    <n v="1"/>
    <s v="NEIVA"/>
    <x v="1"/>
    <n v="49671.7"/>
    <n v="49671.7"/>
  </r>
  <r>
    <n v="60658"/>
    <s v="BARRIO CENTRO SAN JOSE DEL FRAGUA 5"/>
    <n v="1118471373"/>
    <s v="3188220762"/>
    <s v="3188220762"/>
    <s v="3104480413"/>
    <s v="CR 3- 3 52 56-58,CENTRO"/>
    <s v="1.3293385"/>
    <s v="-75.9734473"/>
    <s v="CAQUETÁ"/>
    <s v="SAN JOSÉ DEL FRAGUA"/>
    <s v="SAN JOSÉ DEL FRAGUA"/>
    <n v="18610"/>
    <s v="2025-09-26"/>
    <n v="1"/>
    <s v="NEIVA"/>
    <x v="1"/>
    <n v="49671.7"/>
    <n v="49671.7"/>
  </r>
  <r>
    <n v="56151"/>
    <s v="BARRIO MADRIGAL YUMBO"/>
    <n v="29973187"/>
    <s v="6696627"/>
    <s v="3187531869"/>
    <s v="3187531869"/>
    <s v="Calle 5 # 2AN-17"/>
    <s v="3.5875127"/>
    <s v="-76.4952553"/>
    <s v="VALLE DEL CAUCA"/>
    <s v="YUMBO"/>
    <s v="YUMBO"/>
    <n v="76892"/>
    <s v="2025-09-26"/>
    <n v="1"/>
    <s v="CALI"/>
    <x v="3"/>
    <n v="37313"/>
    <n v="37313"/>
  </r>
  <r>
    <n v="60678"/>
    <s v="BARRIO SAMPER MENDOZA BOGOTA 2"/>
    <n v="39640844"/>
    <s v="3107996540"/>
    <s v="3107996540"/>
    <s v="3107996540"/>
    <s v="CL 24 B # 27-12,SAMPER MENDOZA"/>
    <s v="4.6226386"/>
    <s v="-74.079539"/>
    <s v="CUNDINAMARCA"/>
    <s v="BOGOTÁ"/>
    <s v="BOGOTÁ"/>
    <n v="11001"/>
    <s v="2025-09-26"/>
    <n v="1"/>
    <s v="BOGOTA"/>
    <x v="2"/>
    <n v="37313"/>
    <n v="37313"/>
  </r>
  <r>
    <n v="62345"/>
    <s v="BARRIO BARRIO MUNICIPAL EL CARMELO CANDELARIA"/>
    <n v="16918444"/>
    <s v="3167455212"/>
    <s v="3167455212"/>
    <s v="3226043200"/>
    <s v="CR 9 # 17- 04 BRR MUNICIPAL EL CARMELO,BARRIO MUNICIPAL EL CARMELO"/>
    <s v="3.4052531"/>
    <s v="-76.4178958"/>
    <s v="VALLE DEL CAUCA"/>
    <s v="CANDELARIA"/>
    <s v="CANDELARIA"/>
    <n v="76130"/>
    <s v="2025-09-26"/>
    <n v="1"/>
    <s v="CALI"/>
    <x v="3"/>
    <n v="37313"/>
    <n v="37313"/>
  </r>
  <r>
    <n v="62155"/>
    <s v="BARRIO CENTRO SAN JOSE DEL FRAGUA 8"/>
    <n v="17648717"/>
    <s v="3105856572"/>
    <s v="3233060980"/>
    <s v="3232821180"/>
    <s v="CL 5 4- 61 BRR CENTRO"/>
    <s v="1.331078"/>
    <s v="-75.974359"/>
    <s v="CAQUETÁ"/>
    <s v="SAN JOSÉ DEL FRAGUA"/>
    <s v="SAN JOSÉ DEL FRAGUA"/>
    <n v="18610"/>
    <s v="2025-09-26"/>
    <n v="1"/>
    <s v="NEIVA"/>
    <x v="1"/>
    <n v="49671.7"/>
    <n v="49671.7"/>
  </r>
  <r>
    <n v="62404"/>
    <s v="BARRIO PORTAL DE ARANDA 1 PASTO"/>
    <n v="27097825"/>
    <s v="0"/>
    <s v="3184366856"/>
    <s v="3184366856"/>
    <s v="BRR PORTAL DE ARANDA 1 MZ C CA 1"/>
    <s v="1.234067"/>
    <s v="-77.266080"/>
    <s v="NARIÑO"/>
    <s v="PASTO"/>
    <s v="SAN JUAN DE PASTO"/>
    <n v="52001"/>
    <s v="2025-09-26"/>
    <n v="1"/>
    <s v="PASTO"/>
    <x v="3"/>
    <n v="49671.7"/>
    <n v="49671.7"/>
  </r>
  <r>
    <n v="38879"/>
    <s v="BARRIO SANTA FE FLORIDABLANCA"/>
    <n v="60262887"/>
    <s v="6773864"/>
    <s v="3158088822"/>
    <s v="3158088822"/>
    <s v=" CR 42 107 08 SANTA FE"/>
    <s v="7.0931731"/>
    <s v="-73.0979720"/>
    <s v="SANTANDER"/>
    <s v="FLORIDABLANCA"/>
    <s v="FLORIDABLANCA"/>
    <n v="68276"/>
    <s v="2025-09-26"/>
    <n v="1"/>
    <s v="BUCARAMANGA"/>
    <x v="4"/>
    <n v="37313"/>
    <n v="37313"/>
  </r>
  <r>
    <n v="41313"/>
    <s v="BARRIO BOSQUES DE MARINA BOGOTA"/>
    <n v="1032414922"/>
    <s v="3142664749"/>
    <s v="3142664749"/>
    <s v="3142664749"/>
    <s v="CL 70#108A-12,BOSQUES DE MARIANA"/>
    <s v="4.7443180"/>
    <s v="-74.1290810"/>
    <s v="CUNDINAMARCA"/>
    <s v="BOGOTÁ"/>
    <s v="BOGOTÁ"/>
    <n v="11001"/>
    <s v="2025-09-26"/>
    <n v="1"/>
    <s v="BOGOTA"/>
    <x v="2"/>
    <n v="37313"/>
    <n v="37313"/>
  </r>
  <r>
    <n v="62136"/>
    <s v="BARRIO CONQUISTADORES MEDELLIN 4"/>
    <n v="1041231042"/>
    <s v="2651110"/>
    <s v="3128135151"/>
    <s v="3128135151"/>
    <s v="CALLE 42 63 A 164 L. 109,CONQUISTADORES"/>
    <s v="6.2439296"/>
    <s v="-75.5805091"/>
    <s v="ANTIOQUIA"/>
    <s v="MEDELLÍN"/>
    <s v="MEDELLÍN"/>
    <n v="5001"/>
    <s v="2025-09-26"/>
    <n v="1"/>
    <s v="MEDELLIN"/>
    <x v="0"/>
    <n v="37313"/>
    <n v="37313"/>
  </r>
  <r>
    <n v="62353"/>
    <s v="BARRIO MOLINOS 1 BOGOTA 1"/>
    <n v="52435797"/>
    <s v="0"/>
    <s v="3115411294"/>
    <s v="3115411294"/>
    <s v="CL 49 B BIS SUR 5 Y- 78"/>
    <s v="4.5586631"/>
    <s v="-74.1245930"/>
    <s v="CUNDINAMARCA"/>
    <s v="BOGOTÁ"/>
    <s v="BOGOTÁ"/>
    <n v="11001"/>
    <s v="2025-09-26"/>
    <n v="1"/>
    <s v="BOGOTA"/>
    <x v="2"/>
    <n v="37313"/>
    <n v="37313"/>
  </r>
  <r>
    <n v="62087"/>
    <s v="BARRIO LOS CAMPOS POPAYAN 1"/>
    <n v="1061705964"/>
    <s v="0"/>
    <s v="3506335231"/>
    <s v="3506335231"/>
    <s v="CL 9 NRO 33D- 41,LOS CAMPOS"/>
    <s v="2.4476221"/>
    <s v="-76.6298671"/>
    <s v="CAUCA"/>
    <s v="POPAYÁN"/>
    <s v="POPAYÁN"/>
    <n v="19001"/>
    <s v="2025-09-26"/>
    <n v="1"/>
    <s v="CALI"/>
    <x v="3"/>
    <n v="37313"/>
    <n v="37313"/>
  </r>
  <r>
    <n v="46393"/>
    <s v="BARRIO SANTA BARBARA TUNJA"/>
    <n v="1049650833"/>
    <s v="3214490615"/>
    <s v="3214490615"/>
    <s v="3214490615"/>
    <s v="AVENIDA COLON 15A 12"/>
    <s v="5.529"/>
    <s v="-73.363"/>
    <s v="BOYACÁ"/>
    <s v="TUNJA"/>
    <s v="TUNJA"/>
    <n v="15001"/>
    <s v="2025-09-26"/>
    <n v="1"/>
    <s v="TUNJA"/>
    <x v="4"/>
    <n v="49671.7"/>
    <n v="49671.7"/>
  </r>
  <r>
    <n v="48764"/>
    <s v="BARRIO EL BUQUE PAMPLONA 1"/>
    <n v="1094278570"/>
    <s v="3504924430"/>
    <s v="3504924430"/>
    <s v="3504924430"/>
    <s v="CL 1 2-31,EL BUQUE"/>
    <s v="7.3832577"/>
    <s v="-72.6482000"/>
    <s v="NORTE DE SANTANDER"/>
    <s v="PAMPLONA"/>
    <s v="PAMPLONA"/>
    <n v="54518"/>
    <s v="2025-09-26"/>
    <n v="1"/>
    <s v="CUCUTA"/>
    <x v="4"/>
    <n v="49671.7"/>
    <n v="49671.7"/>
  </r>
  <r>
    <n v="51067"/>
    <s v="BARRIO UNIVERSAL BARRANQUILLA 1"/>
    <n v="36563436"/>
    <s v="3004945865"/>
    <s v="3004945865"/>
    <s v="3004945865"/>
    <s v="CR 5 A 33 C 45,UNIVERSAL"/>
    <s v="10.94066"/>
    <s v="-74.78720"/>
    <s v="ATLÁNTICO"/>
    <s v="BARRANQUILLA"/>
    <s v="BARRANQUILLA"/>
    <n v="8001"/>
    <s v="2025-09-26"/>
    <n v="1"/>
    <s v="BARRANQUILLA"/>
    <x v="5"/>
    <n v="37313"/>
    <n v="37313"/>
  </r>
  <r>
    <n v="66491"/>
    <s v="BARRIO EL DORADO FLORIDABLANCA 2"/>
    <n v="1098736071"/>
    <s v="3166696764"/>
    <s v="3108838515"/>
    <s v="3166696764"/>
    <s v="CL 110 B 31 48,EL DORADO"/>
    <s v="7.077217"/>
    <s v="-73.1369192"/>
    <s v="SANTANDER"/>
    <s v="FLORIDABLANCA"/>
    <s v="FLORIDABLANCA"/>
    <n v="68276"/>
    <s v="2025-09-26"/>
    <n v="1"/>
    <s v="BUCARAMANGA"/>
    <x v="4"/>
    <n v="37313"/>
    <n v="37313"/>
  </r>
  <r>
    <n v="66699"/>
    <s v="BARRIO NARANJAL MEDELLIN"/>
    <n v="43612963"/>
    <s v="0"/>
    <s v="3002364440"/>
    <s v="3002364440"/>
    <s v="CR 63 A 45 A 23,NARANJAL"/>
    <s v="6.2511444"/>
    <s v="-75.5809971"/>
    <s v="ANTIOQUIA"/>
    <s v="MEDELLÍN"/>
    <s v="MEDELLÍN"/>
    <n v="5001"/>
    <s v="2025-09-26"/>
    <n v="1"/>
    <s v="MEDELLIN"/>
    <x v="0"/>
    <n v="37313"/>
    <n v="37313"/>
  </r>
  <r>
    <n v="68843"/>
    <s v="BARRIO CENTRO YUMBO 4"/>
    <n v="1118285801"/>
    <s v="6954994"/>
    <s v="3206980869"/>
    <s v="3206980869"/>
    <s v="CR 4 5 - 19,CENTRO"/>
    <s v="3.5839923"/>
    <s v="-76.495349"/>
    <s v="VALLE DEL CAUCA"/>
    <s v="YUMBO"/>
    <s v="YUMBO"/>
    <n v="76892"/>
    <s v="2025-09-26"/>
    <n v="1"/>
    <s v="CALI"/>
    <x v="3"/>
    <n v="37313"/>
    <n v="37313"/>
  </r>
  <r>
    <n v="69399"/>
    <s v="BARRIO SANTA ANA FLORIDABLANCA 4"/>
    <n v="1095811672"/>
    <s v="3054607217"/>
    <s v="3054607217"/>
    <s v="3150592929"/>
    <s v="CR 6 14 36,SANTA ANA"/>
    <s v="7.0781860"/>
    <s v="-73.0985410"/>
    <s v="SANTANDER"/>
    <s v="FLORIDABLANCA"/>
    <s v="FLORIDABLANCA"/>
    <n v="68276"/>
    <s v="2025-09-26"/>
    <n v="1"/>
    <s v="BUCARAMANGA"/>
    <x v="4"/>
    <n v="37313"/>
    <n v="37313"/>
  </r>
  <r>
    <n v="59858"/>
    <s v="BARRIO CENTRO SARDINATA"/>
    <n v="1094274376"/>
    <s v="3127505690"/>
    <s v="3127505690"/>
    <s v="3214210137"/>
    <s v="CR 6 NRO 5-25 LC 2,CENTRO"/>
    <s v="8.083144"/>
    <s v="-72.801730"/>
    <s v="NORTE DE SANTANDER"/>
    <s v="SARDINATA"/>
    <s v="SARDINATA"/>
    <n v="54720"/>
    <s v="2025-09-26"/>
    <n v="1"/>
    <s v="CUCUTA"/>
    <x v="4"/>
    <n v="49671.7"/>
    <n v="49671.7"/>
  </r>
  <r>
    <n v="70999"/>
    <s v="LA ESMERALDA TUNJA 4"/>
    <n v="1049610409"/>
    <s v="3108807157"/>
    <s v="3108807157"/>
    <s v="3108807157"/>
    <s v="CL 40  1-25 ESTE  Barrio la esmeralda"/>
    <s v="5.54553403"/>
    <s v="-73.34793443"/>
    <s v="BOYACÁ"/>
    <s v="TUNJA"/>
    <s v="TUNJA"/>
    <n v="15001"/>
    <s v="2025-09-26"/>
    <n v="1"/>
    <s v="TUNJA"/>
    <x v="4"/>
    <n v="49671.7"/>
    <n v="49671.7"/>
  </r>
  <r>
    <n v="68290"/>
    <s v="BARRIO CENTRO FLORIDABLANCA  2"/>
    <n v="1102361888"/>
    <s v="3160401893"/>
    <s v="0"/>
    <s v="3160401893"/>
    <s v="CL 6 10 34,CENTRO"/>
    <s v="7.0627780"/>
    <s v="-73.0843780"/>
    <s v="SANTANDER"/>
    <s v="FLORIDABLANCA"/>
    <s v="FLORIDABLANCA"/>
    <n v="68276"/>
    <s v="2025-09-26"/>
    <n v="1"/>
    <s v="BUCARAMANGA"/>
    <x v="4"/>
    <n v="37313"/>
    <n v="37313"/>
  </r>
  <r>
    <n v="69652"/>
    <s v="BARRIO SANTA RITA BOGOTA 5"/>
    <n v="1019090700"/>
    <s v="3212710968"/>
    <s v="3212710968"/>
    <s v="3212710968"/>
    <s v="CL 138 D NO. 152 - 13,SANTA RITA"/>
    <s v="4.7463833"/>
    <s v="-74.1242351"/>
    <s v="CUNDINAMARCA"/>
    <s v="BOGOTÁ"/>
    <s v="BOGOTÁ"/>
    <n v="11001"/>
    <s v="2025-09-26"/>
    <n v="1"/>
    <s v="BOGOTA"/>
    <x v="2"/>
    <n v="37313"/>
    <n v="37313"/>
  </r>
  <r>
    <n v="69617"/>
    <s v="BARRIO URBANIZACION BERLIN  IBAGUE 2"/>
    <n v="1089456"/>
    <s v="3194461397"/>
    <s v="3194461397"/>
    <s v="3194461397"/>
    <s v="CR 156 SUR MZ B LT 2 VIA IBAGUE-ROVIRA,URBANIZACION BERLIN"/>
    <s v="4.4197245"/>
    <s v="-75.1842617"/>
    <s v="TOLIMA"/>
    <s v="IBAGUÉ"/>
    <s v="IBAGUÉ"/>
    <n v="73001"/>
    <s v="2025-09-26"/>
    <n v="1"/>
    <s v="IBAGUE"/>
    <x v="1"/>
    <n v="49671.7"/>
    <n v="49671.7"/>
  </r>
  <r>
    <n v="69904"/>
    <s v="BARRIO CENTRO PAIPA"/>
    <n v="74130783"/>
    <s v="3112096117"/>
    <s v="3112096117"/>
    <s v="3133285667"/>
    <s v="CL 26 NO.19A-41,CENTRO"/>
    <s v="5.7794057"/>
    <s v="-73.1167523"/>
    <s v="BOYACÁ"/>
    <s v="PAIPA"/>
    <s v="PAIPA"/>
    <n v="15516"/>
    <s v="2025-09-26"/>
    <n v="1"/>
    <s v="TUNJA"/>
    <x v="4"/>
    <n v="49671.7"/>
    <n v="49671.7"/>
  </r>
  <r>
    <n v="51033"/>
    <s v="BARRIO LA CAMELIA MANIZALES"/>
    <n v="1053848080"/>
    <s v="8792870"/>
    <s v="3234722385"/>
    <s v="3233908916"/>
    <s v="CR 23 B 70 A 71,LA CAMELIA"/>
    <s v="5.0507984"/>
    <s v="-75.4846573"/>
    <s v="CALDAS"/>
    <s v="MANIZALES"/>
    <s v="MANIZALES"/>
    <n v="17001"/>
    <s v="2025-09-26"/>
    <n v="1"/>
    <s v="MANIZALES"/>
    <x v="6"/>
    <n v="49671.7"/>
    <n v="49671.7"/>
  </r>
  <r>
    <n v="65496"/>
    <s v="BARRIO COLINAS DE LA VICTORIA SAN CAYETANO"/>
    <n v="27818884"/>
    <s v="3164971517"/>
    <s v="0"/>
    <s v="3138898502"/>
    <s v="MZ 10 LT 4,COLINAS DE LA VICTORIA"/>
    <s v="7.8774557"/>
    <s v="-72.6246902"/>
    <s v="NORTE DE SANTANDER"/>
    <s v="SAN CAYETANO"/>
    <s v="SAN CAYETANO"/>
    <n v="54673"/>
    <s v="2025-09-26"/>
    <n v="1"/>
    <s v="CUCUTA"/>
    <x v="4"/>
    <n v="49671.7"/>
    <n v="49671.7"/>
  </r>
  <r>
    <n v="65606"/>
    <s v="BARRIO ALMENDROS SANTA MARTA"/>
    <n v="1082960877"/>
    <s v="0"/>
    <s v="3232872700"/>
    <s v="3232872700"/>
    <s v="CR 19 7-05,ALMENDROS"/>
    <s v="11.249801"/>
    <s v="-74.193237"/>
    <s v="MAGDALENA"/>
    <s v="SANTA MARTA"/>
    <s v="SANTA MARTA"/>
    <n v="47001"/>
    <s v="2025-09-26"/>
    <n v="1"/>
    <s v="SANTA MARTA"/>
    <x v="5"/>
    <n v="49671.7"/>
    <n v="49671.7"/>
  </r>
  <r>
    <n v="67128"/>
    <s v="BARRIO SAN JOSE SANTA MARTA"/>
    <n v="1081904656"/>
    <s v="0"/>
    <s v="3132053826"/>
    <s v="3132053826"/>
    <s v="CL 14 15-08,SAN JOSE"/>
    <s v="11.2437712"/>
    <s v="-74.19972695"/>
    <s v="MAGDALENA"/>
    <s v="SANTA MARTA"/>
    <s v="SANTA MARTA"/>
    <n v="47001"/>
    <s v="2025-09-26"/>
    <n v="1"/>
    <s v="SANTA MARTA"/>
    <x v="5"/>
    <n v="49671.7"/>
    <n v="49671.7"/>
  </r>
  <r>
    <n v="63957"/>
    <s v="BARRIO DIANA TURBAY BOGOTA 8"/>
    <n v="1233491072"/>
    <s v="0"/>
    <s v="3147029303"/>
    <s v="3147029303"/>
    <s v="CALLE 48 X SUR # 1C - 11 ESTE,"/>
    <s v="4.5442530"/>
    <s v="-74.1049105"/>
    <s v="CUNDINAMARCA"/>
    <s v="BOGOTÁ"/>
    <s v="BOGOTÁ"/>
    <n v="11001"/>
    <s v="2025-09-26"/>
    <n v="1"/>
    <s v="BOGOTA"/>
    <x v="2"/>
    <n v="37313"/>
    <n v="37313"/>
  </r>
  <r>
    <n v="64823"/>
    <s v="BARRIO BOITA BOGOTA 6"/>
    <n v="1033705966"/>
    <s v="0"/>
    <s v="3208201677"/>
    <s v="3144284470"/>
    <s v="CL 45 72 L 16 SUR,BOITA"/>
    <s v="4.604147"/>
    <s v="-74.15246"/>
    <s v="CUNDINAMARCA"/>
    <s v="BOGOTÁ"/>
    <s v="BOGOTÁ"/>
    <n v="11001"/>
    <s v="2025-09-26"/>
    <n v="1"/>
    <s v="BOGOTA"/>
    <x v="2"/>
    <n v="37313"/>
    <n v="37313"/>
  </r>
  <r>
    <n v="62600"/>
    <s v="BARRIO LOS ROBLES II  MONTERIA"/>
    <n v="30666916"/>
    <s v="3218188270"/>
    <s v="3218188270"/>
    <s v="3218188270"/>
    <s v="CR 24 A M Q LT 0027,BRR LOS ROBLES II"/>
    <s v="8.7205687"/>
    <s v="-75.8818103"/>
    <s v="CÓRDOBA"/>
    <s v="MONTERÍA"/>
    <s v="MONTERÍA"/>
    <n v="23001"/>
    <s v="2025-09-26"/>
    <n v="1"/>
    <s v="MONTERIA"/>
    <x v="5"/>
    <n v="37313"/>
    <n v="37313"/>
  </r>
  <r>
    <n v="71818"/>
    <s v="CAUCA POPAYAN 1"/>
    <n v="1144100815"/>
    <s v="3152896094"/>
    <s v="3152896094"/>
    <s v="3152896094"/>
    <s v="CL CL 7 NRO. 5 - 53 CENTRO,CENTRO"/>
    <s v="2.4394817"/>
    <s v="-76.6062609"/>
    <s v="CAUCA"/>
    <s v="POPAYÁN"/>
    <s v="POPAYÁN"/>
    <n v="19001"/>
    <s v="2025-09-26"/>
    <n v="1"/>
    <s v="CALI"/>
    <x v="3"/>
    <n v="37313"/>
    <n v="37313"/>
  </r>
  <r>
    <n v="69251"/>
    <s v="BARRIO LA LADERA MEDELLIN"/>
    <n v="43480325"/>
    <s v="3004185201"/>
    <s v="3004185201"/>
    <s v="3004185201"/>
    <s v="CARRERA 32 59 B 68,LA LADERA"/>
    <s v="6.2509543"/>
    <s v="-75.5517404"/>
    <s v="ANTIOQUIA"/>
    <s v="MEDELLÍN"/>
    <s v="MEDELLÍN"/>
    <n v="5001"/>
    <s v="2025-09-26"/>
    <n v="1"/>
    <s v="MEDELLIN"/>
    <x v="0"/>
    <n v="37313"/>
    <n v="37313"/>
  </r>
  <r>
    <n v="69522"/>
    <s v="BARRIO PARQUE OBRERO LOS ANGELES MEDELLIN "/>
    <n v="901559025"/>
    <s v="6042944639"/>
    <s v="3008389012"/>
    <s v="3008389012"/>
    <s v="CALLE 59 A 39 A 41,PARQUE OBRERO LOS ANGELES"/>
    <s v="6.2520902"/>
    <s v="-75.5569013"/>
    <s v="ANTIOQUIA"/>
    <s v="MEDELLÍN"/>
    <s v="MEDELLÍN"/>
    <n v="5001"/>
    <s v="2025-09-26"/>
    <n v="1"/>
    <s v="MEDELLIN"/>
    <x v="0"/>
    <n v="37313"/>
    <n v="37313"/>
  </r>
  <r>
    <n v="65462"/>
    <s v="BARRIO SIBERIA TUNJA 1"/>
    <n v="33377066"/>
    <s v="3212151964"/>
    <s v="3212151964"/>
    <s v="3212151964"/>
    <s v="CR 14 1 24,SIBERIA"/>
    <s v="5.514"/>
    <s v="-73.370"/>
    <s v="BOYACÁ"/>
    <s v="TUNJA"/>
    <s v="TUNJA"/>
    <n v="15001"/>
    <s v="2025-09-26"/>
    <n v="1"/>
    <s v="TUNJA"/>
    <x v="4"/>
    <n v="49671.7"/>
    <n v="49671.7"/>
  </r>
  <r>
    <n v="73730"/>
    <s v="BARRIO COMUNEROS I CALI 1"/>
    <n v="1143949808"/>
    <s v="3176709167"/>
    <s v="3176709167"/>
    <s v="3176709167"/>
    <s v="CL 55 #33 - 114,COMUNEROS I"/>
    <s v="3.4092002"/>
    <s v="-76.4949245"/>
    <s v="VALLE DEL CAUCA"/>
    <s v="CALI"/>
    <s v="SANTIAGO DE CALI"/>
    <n v="76001"/>
    <s v="2025-09-26"/>
    <n v="1"/>
    <s v="CALI"/>
    <x v="3"/>
    <n v="37313"/>
    <n v="37313"/>
  </r>
  <r>
    <n v="71875"/>
    <s v="TUNJA MONTECARLO"/>
    <n v="4043243"/>
    <s v="3212707142"/>
    <s v="3212707142"/>
    <s v="3212707142"/>
    <s v="CR 15 55 A 10,MONTECARLO"/>
    <s v="5.53312558"/>
    <s v="-73.36529831"/>
    <s v="BOYACÁ"/>
    <s v="TUNJA"/>
    <s v="TUNJA"/>
    <n v="15001"/>
    <s v="2025-09-26"/>
    <n v="1"/>
    <s v="TUNJA"/>
    <x v="4"/>
    <n v="49671.7"/>
    <n v="49671.7"/>
  </r>
  <r>
    <n v="63916"/>
    <s v="BARRIO CENTRO BUESACO 2"/>
    <n v="1084223678"/>
    <s v="0"/>
    <s v="3014490388"/>
    <s v="3014490388"/>
    <s v="CL SUR NO 147 A CENTRO,CENTRO"/>
    <s v="1.3846384"/>
    <s v="-77.1562308"/>
    <s v="NARIÑO"/>
    <s v="BUESACO"/>
    <s v="BUESACO"/>
    <n v="52110"/>
    <s v="2025-09-26"/>
    <n v="1"/>
    <s v="PASTO"/>
    <x v="3"/>
    <n v="49671.7"/>
    <n v="49671.7"/>
  </r>
  <r>
    <n v="64116"/>
    <s v="BARRIO CARIMAGUA BOGOTA 4"/>
    <n v="1000776752"/>
    <s v="0"/>
    <s v="3046130747"/>
    <s v="3046130747"/>
    <s v="CARRERA 72 J # 38 B -29 SUR,CARIMAGUA"/>
    <s v="4.6113912"/>
    <s v="-74.1444502"/>
    <s v="CUNDINAMARCA"/>
    <s v="BOGOTÁ"/>
    <s v="BOGOTÁ"/>
    <n v="11001"/>
    <s v="2025-09-26"/>
    <n v="1"/>
    <s v="BOGOTA"/>
    <x v="2"/>
    <n v="37313"/>
    <n v="37313"/>
  </r>
  <r>
    <n v="64148"/>
    <s v="BARRIO EL LIMONAR NEIVA"/>
    <n v="12134235"/>
    <s v="3115920549"/>
    <s v="3115920549"/>
    <s v="3115920549"/>
    <s v="CR 39 20 45 SUR,EL LIMONAR"/>
    <s v="2.910010"/>
    <s v="-75.262655"/>
    <s v="HUILA"/>
    <s v="NEIVA"/>
    <s v="NEIVA"/>
    <n v="41001"/>
    <s v="2025-09-26"/>
    <n v="1"/>
    <s v="NEIVA"/>
    <x v="1"/>
    <n v="49671.7"/>
    <n v="49671.7"/>
  </r>
  <r>
    <n v="78387"/>
    <s v="BARRIO CENTRO POPAYAN 29"/>
    <n v="1059357799"/>
    <s v="3157438627"/>
    <s v="3157438627"/>
    <s v="3157438627"/>
    <s v="CR 5  6- 53 CC EL IMPERIO LC 24 - 25 CENTRO"/>
    <s v="2.4397077"/>
    <s v="-76.6056022"/>
    <s v="CAUCA"/>
    <s v="POPAYÁN"/>
    <s v="POPAYÁN"/>
    <n v="19001"/>
    <s v="2025-09-26"/>
    <n v="1"/>
    <s v="CALI"/>
    <x v="3"/>
    <n v="37313"/>
    <n v="37313"/>
  </r>
  <r>
    <n v="71055"/>
    <s v="BARRIO SANTA FE BOGOTA 4"/>
    <n v="901710481"/>
    <s v="3133933227"/>
    <s v="3133933227"/>
    <s v="3133933227"/>
    <s v="CL 22 NO. 14 07,SANTAFE"/>
    <s v="4.6106681"/>
    <s v="-74.0754436"/>
    <s v="CUNDINAMARCA"/>
    <s v="BOGOTÁ"/>
    <s v="BOGOTÁ"/>
    <n v="11001"/>
    <s v="2025-09-26"/>
    <n v="1"/>
    <s v="BOGOTA"/>
    <x v="2"/>
    <n v="37313"/>
    <n v="37313"/>
  </r>
  <r>
    <n v="70548"/>
    <s v="BARRIO LOS ALPES SAN JOSE DEL FRAGUA"/>
    <n v="1115792176"/>
    <s v="3214785488"/>
    <s v="3214785488"/>
    <s v="3214785488"/>
    <s v="CL 7 # 5 - 17 BRR LOS ALPES"/>
    <s v="1.332939"/>
    <s v="-75.973991"/>
    <s v="CAQUETÁ"/>
    <s v="SAN JOSÉ DEL FRAGUA"/>
    <s v="SAN JOSÉ DEL FRAGUA"/>
    <n v="18610"/>
    <s v="2025-09-26"/>
    <n v="1"/>
    <s v="NEIVA"/>
    <x v="1"/>
    <n v="49671.7"/>
    <n v="49671.7"/>
  </r>
  <r>
    <n v="64604"/>
    <s v="BARRIO ZAPAMANGA 2 ETAPA FLORIDABLANCA"/>
    <n v="91529974"/>
    <s v="3187952113"/>
    <s v="0"/>
    <s v="3187952113"/>
    <s v="CR 34 B 114 30 LOCAL 2,ZAPAMANGA 2 ETAPA"/>
    <s v="7.092005"/>
    <s v="-73.1385689"/>
    <s v="SANTANDER"/>
    <s v="FLORIDABLANCA"/>
    <s v="FLORIDABLANCA"/>
    <n v="68276"/>
    <s v="2025-09-26"/>
    <n v="1"/>
    <s v="BUCARAMANGA"/>
    <x v="4"/>
    <n v="37313"/>
    <n v="37313"/>
  </r>
  <r>
    <n v="70671"/>
    <s v="BARRIO CIUDAD VALENCIA FLORIDABLANCA 3"/>
    <n v="1098805545"/>
    <s v="3183546496"/>
    <s v="3183546496"/>
    <s v="3183546496"/>
    <s v="CR 12 17 24,CIUDAD VALENCIA"/>
    <s v="7.0768010"/>
    <s v="-73.1038080"/>
    <s v="SANTANDER"/>
    <s v="FLORIDABLANCA"/>
    <s v="FLORIDABLANCA"/>
    <n v="68276"/>
    <s v="2025-09-26"/>
    <n v="1"/>
    <s v="BUCARAMANGA"/>
    <x v="4"/>
    <n v="37313"/>
    <n v="37313"/>
  </r>
  <r>
    <n v="70472"/>
    <s v="BARRIO CENTRO SAN JOSE DEL FRAGUA 9"/>
    <n v="1118474811"/>
    <s v="3223099029"/>
    <s v="3223099029"/>
    <s v="3223099029"/>
    <s v="CR 4 3 39,CENTRO"/>
    <s v="1.329426"/>
    <s v="-75.974220"/>
    <s v="CAQUETÁ"/>
    <s v="SAN JOSÉ DEL FRAGUA"/>
    <s v="SAN JOSÉ DEL FRAGUA"/>
    <n v="18610"/>
    <s v="2025-09-26"/>
    <n v="1"/>
    <s v="NEIVA"/>
    <x v="1"/>
    <n v="49671.7"/>
    <n v="49671.7"/>
  </r>
  <r>
    <n v="64461"/>
    <s v="BARRIO SAN FRANCISCO SARDINATA 2"/>
    <n v="1091810667"/>
    <s v="3157595823"/>
    <s v="3142406094"/>
    <s v="3157595823"/>
    <s v="CR 6 # 8 - 78,SAN FRANCISCO"/>
    <s v="8.0865955"/>
    <s v="-72.8003343"/>
    <s v="NORTE DE SANTANDER"/>
    <s v="SARDINATA"/>
    <s v="SARDINATA"/>
    <n v="54720"/>
    <s v="2025-09-26"/>
    <n v="1"/>
    <s v="CUCUTA"/>
    <x v="4"/>
    <n v="49671.7"/>
    <n v="49671.7"/>
  </r>
  <r>
    <n v="65077"/>
    <s v="BARRIO JORDAN I ETAPA IBAGUE"/>
    <n v="1110525176"/>
    <s v="0"/>
    <s v="3024237920"/>
    <s v="3506831355"/>
    <s v="CL 83A #6-25 URB LAS MARGARITAS ET 3"/>
    <s v="4.4409942"/>
    <s v="-75.1868712"/>
    <s v="TOLIMA"/>
    <s v="IBAGUÉ"/>
    <s v="IBAGUÉ"/>
    <n v="73001"/>
    <s v="2025-09-26"/>
    <n v="1"/>
    <s v="IBAGUE"/>
    <x v="1"/>
    <n v="49671.7"/>
    <n v="49671.7"/>
  </r>
  <r>
    <n v="70254"/>
    <s v="BARRIO CORPOVISUR 2 FLORIDABLANCA 1"/>
    <n v="1019040996"/>
    <s v="3017507133"/>
    <s v="3017507133"/>
    <s v="3017507133"/>
    <s v="CR 56 0 0 CASA 16,CORPOVISUR 2"/>
    <s v="7.0818207"/>
    <s v="-73.0889649"/>
    <s v="SANTANDER"/>
    <s v="FLORIDABLANCA"/>
    <s v="FLORIDABLANCA"/>
    <n v="68276"/>
    <s v="2025-09-26"/>
    <n v="1"/>
    <s v="BUCARAMANGA"/>
    <x v="4"/>
    <n v="37313"/>
    <n v="37313"/>
  </r>
  <r>
    <n v="78317"/>
    <s v="BARRIO PALMERAS 2 FLORIDABLANCA FLORIDABLANCA"/>
    <n v="1007189734"/>
    <s v="3005793750"/>
    <s v="3005793750"/>
    <s v="3005793750"/>
    <s v="CR 65 # 124 - 16 BR PALMERAS 2 FLORIDABLANCA,PALMERAS 2 FLORIDABLANCA"/>
    <s v="7.0886410"/>
    <s v="-73.0885130"/>
    <s v="SANTANDER"/>
    <s v="FLORIDABLANCA"/>
    <s v="FLORIDABLANCA"/>
    <n v="68276"/>
    <s v="2025-09-26"/>
    <n v="1"/>
    <s v="BUCARAMANGA"/>
    <x v="4"/>
    <n v="37313"/>
    <n v="37313"/>
  </r>
  <r>
    <n v="70726"/>
    <s v="LOS MUICAS TUNJA "/>
    <n v="23316037"/>
    <s v="3114476348"/>
    <s v="3114476348"/>
    <s v="3114476348"/>
    <s v="DG 65 C 0 A ESTE 33,LOS MUISCAS"/>
    <s v="5.5685311"/>
    <s v="-73.3393324"/>
    <s v="BOYACÁ"/>
    <s v="TUNJA"/>
    <s v="TUNJA"/>
    <n v="15001"/>
    <s v="2025-09-26"/>
    <n v="1"/>
    <s v="TUNJA"/>
    <x v="4"/>
    <n v="49671.7"/>
    <n v="49671.7"/>
  </r>
  <r>
    <n v="78205"/>
    <s v="BARRIO BELALCAZAR YUMBO 3"/>
    <n v="1144191132"/>
    <s v="3157256549"/>
    <s v="3162692713"/>
    <s v="3162692713"/>
    <s v="CR 5 8 - 81,BELALCAZAR"/>
    <s v="3.5825483"/>
    <s v="-76.4924400"/>
    <s v="VALLE DEL CAUCA"/>
    <s v="YUMBO"/>
    <s v="YUMBO"/>
    <n v="76892"/>
    <s v="2025-09-26"/>
    <n v="1"/>
    <s v="CALI"/>
    <x v="3"/>
    <n v="37313"/>
    <n v="37313"/>
  </r>
  <r>
    <n v="72333"/>
    <s v="BARRIO LOS MARTIRES BOGOTA  2"/>
    <n v="40449699"/>
    <s v="3105757407"/>
    <s v="3105756406"/>
    <s v="3105756406"/>
    <s v="CL 24 NO. 19-90,LOS MARTIRES"/>
    <s v="4.6176571"/>
    <s v="-74.0777353"/>
    <s v="CUNDINAMARCA"/>
    <s v="BOGOTÁ"/>
    <s v="BOGOTÁ"/>
    <n v="11001"/>
    <s v="2025-09-26"/>
    <n v="1"/>
    <s v="BOGOTA"/>
    <x v="2"/>
    <n v="37313"/>
    <n v="37313"/>
  </r>
  <r>
    <n v="78015"/>
    <s v="BARRIO CENTRO POPAYAN"/>
    <n v="34546631"/>
    <s v="3148673221"/>
    <s v="3148673221"/>
    <s v="3148673221"/>
    <s v="CR 6 7 - 45 - CENTRO,CENTRO"/>
    <s v="2.4393802"/>
    <s v="-76.6069572"/>
    <s v="CAUCA"/>
    <s v="POPAYÁN"/>
    <s v="POPAYÁN"/>
    <n v="19001"/>
    <s v="2025-09-26"/>
    <n v="1"/>
    <s v="CALI"/>
    <x v="3"/>
    <n v="37313"/>
    <n v="37313"/>
  </r>
  <r>
    <n v="78464"/>
    <s v="BARRIO CENTRO SARDINATA  3"/>
    <n v="5501929"/>
    <s v="3145755884"/>
    <s v="3145755884"/>
    <s v="3145755884"/>
    <s v="CL 5 5-70,CENTRO"/>
    <s v="8.0827899"/>
    <s v="-72.8019319"/>
    <s v="NORTE DE SANTANDER"/>
    <s v="SARDINATA"/>
    <s v="SARDINATA"/>
    <n v="54720"/>
    <s v="2025-09-26"/>
    <n v="1"/>
    <s v="CUCUTA"/>
    <x v="4"/>
    <n v="49671.7"/>
    <n v="49671.7"/>
  </r>
  <r>
    <n v="76005"/>
    <s v="BARRIO TAYRONA UNO FLORIDABLANCA"/>
    <n v="1098784085"/>
    <s v="3159279543"/>
    <s v="3156695963"/>
    <s v="3159279543"/>
    <s v="CR 21 158 85 LOCAL 2,TAYRONA UNO"/>
    <s v="7.0693580"/>
    <s v="-73.1123280"/>
    <s v="SANTANDER"/>
    <s v="FLORIDABLANCA"/>
    <s v="FLORIDABLANCA"/>
    <n v="68276"/>
    <s v="2025-09-26"/>
    <n v="1"/>
    <s v="BUCARAMANGA"/>
    <x v="4"/>
    <n v="37313"/>
    <n v="37313"/>
  </r>
  <r>
    <n v="80518"/>
    <s v="BARRIO BICENTENARIO CARTAGENA DE INDIAS 4"/>
    <n v="1050975494"/>
    <s v="3105322539"/>
    <s v="3105322539"/>
    <m/>
    <s v="TV 78 127 315 MZ MF23-576 LC 2,BRR BICENTENARIO"/>
    <s v="10.4252771"/>
    <s v="-75.4394067"/>
    <s v="BOLÍVAR"/>
    <s v="CARTAGENA DE INDIAS"/>
    <s v="CARTAGENA DE INDIAS"/>
    <n v="13001"/>
    <s v="2025-09-26"/>
    <n v="1"/>
    <s v="CARTAGENA"/>
    <x v="5"/>
    <n v="49671.7"/>
    <n v="49671.7"/>
  </r>
  <r>
    <n v="67618"/>
    <s v="BARRIO EL CENTRO SARDINATA"/>
    <n v="1091807242"/>
    <s v="3123885867"/>
    <s v="3123885867"/>
    <s v="3133418646"/>
    <s v=" KR 7 # 6 - 18,EL CENTRO"/>
    <s v="8.0841455"/>
    <s v="-72.8022545"/>
    <s v="NORTE DE SANTANDER"/>
    <s v="SARDINATA"/>
    <s v="SARDINATA"/>
    <n v="54720"/>
    <s v="2025-09-26"/>
    <n v="1"/>
    <s v="CUCUTA"/>
    <x v="4"/>
    <n v="49671.7"/>
    <n v="49671.7"/>
  </r>
  <r>
    <n v="76100"/>
    <s v="BARROP LA FACHADA ARMENIA"/>
    <n v="41647374"/>
    <s v="3128736828"/>
    <s v="3218202771"/>
    <s v="3128736828"/>
    <s v="BRR LA FACHADA MZ 25 CA 3,LA FACHADA"/>
    <s v="4.5205784"/>
    <s v="-75.7138362"/>
    <s v="QUINDÍO"/>
    <s v="ARMENIA"/>
    <s v="ARMENIA"/>
    <n v="63001"/>
    <s v="2025-09-26"/>
    <n v="1"/>
    <s v="PEREIRA"/>
    <x v="6"/>
    <n v="37313"/>
    <n v="37313"/>
  </r>
  <r>
    <n v="72826"/>
    <s v="BARRIO EL BULEVAR SOPETRAN"/>
    <n v="22117481"/>
    <s v="3184782597"/>
    <s v="3184782597"/>
    <s v="3192453872"/>
    <s v="CARRERA 9 10 83,EL BULEVAR"/>
    <s v="6.5020184"/>
    <s v="-75.7421975"/>
    <s v="ANTIOQUIA"/>
    <s v="SOPETRÁN"/>
    <s v="SOPETRÁN"/>
    <n v="5761"/>
    <s v="2025-09-26"/>
    <n v="1"/>
    <s v="MEDELLIN"/>
    <x v="0"/>
    <n v="37313"/>
    <n v="37313"/>
  </r>
  <r>
    <n v="72457"/>
    <s v="LOS ROBLES SOLEDAD ATLANTICO"/>
    <n v="1102391110"/>
    <s v="3027895784"/>
    <s v="3214103293"/>
    <s v="3214103293"/>
    <s v="CL 79 22 3,LOS ROBLES"/>
    <s v="10.932129"/>
    <s v="-74.768318"/>
    <s v="ATLÁNTICO"/>
    <s v="SOLEDAD"/>
    <s v="SOLEDAD"/>
    <n v="8758"/>
    <s v="2025-09-26"/>
    <n v="1"/>
    <s v="BARRANQUILLA"/>
    <x v="5"/>
    <n v="37313"/>
    <n v="37313"/>
  </r>
  <r>
    <n v="72854"/>
    <s v="BARRIO CORREGIMIENTO EL SABANAL MONTERIA"/>
    <n v="1065000998"/>
    <s v="3122058456"/>
    <s v="3122058456"/>
    <s v="3122058456"/>
    <s v="CL 1 CA D 08 A,CORREGIMIENTO EL SABANAL"/>
    <s v="8.779154"/>
    <s v="-75.806860"/>
    <s v="CÓRDOBA"/>
    <s v="MONTERÍA"/>
    <s v="MONTERÍA"/>
    <n v="23001"/>
    <s v="2025-09-26"/>
    <n v="1"/>
    <s v="MONTERIA"/>
    <x v="5"/>
    <n v="37313"/>
    <n v="37313"/>
  </r>
  <r>
    <n v="80127"/>
    <s v="BARRIO BICENTENARIO CARTAGENA DE INDIAS 3"/>
    <n v="64580699"/>
    <s v="3013328608"/>
    <s v="3013328608"/>
    <s v="3045681531"/>
    <s v="MZ 75A LT 182,BRR BICENTENARIO"/>
    <s v="10.4258434"/>
    <s v="-75.4443725"/>
    <s v="BOLÍVAR"/>
    <s v="CARTAGENA DE INDIAS"/>
    <s v="CARTAGENA DE INDIAS"/>
    <n v="13001"/>
    <s v="2025-09-26"/>
    <n v="1"/>
    <s v="CARTAGENA"/>
    <x v="5"/>
    <n v="49671.7"/>
    <n v="49671.7"/>
  </r>
  <r>
    <n v="72503"/>
    <s v="BARRIO _x0009_INDEPENDIEDIA SINCELEJO "/>
    <n v="1102802491"/>
    <s v="3107093533"/>
    <s v="3107093533"/>
    <s v="3107093533"/>
    <s v="CL 32 3 E 118,INDEPENDIEDIA"/>
    <s v="9.2790430"/>
    <s v="-75.4119242"/>
    <s v="SUCRE"/>
    <s v="SINCELEJO"/>
    <s v="SINCELEJO"/>
    <n v="70001"/>
    <s v="2025-09-26"/>
    <n v="1"/>
    <s v="SINCELEJO"/>
    <x v="5"/>
    <n v="49671.7"/>
    <n v="49671.7"/>
  </r>
  <r>
    <n v="80300"/>
    <s v="BARRIO SAN CAYETANO SAN CAYETANO"/>
    <n v="1092155611"/>
    <s v="3217257401"/>
    <s v="3217257401"/>
    <m/>
    <s v="CR 4 NRO 1-47,SAN CAYETANO"/>
    <s v="7.8784966"/>
    <s v="-72.6241318"/>
    <s v="NORTE DE SANTANDER"/>
    <s v="SAN CAYETANO"/>
    <s v="SAN CAYETANO"/>
    <n v="54673"/>
    <s v="2025-09-26"/>
    <n v="1"/>
    <s v="CUCUTA"/>
    <x v="4"/>
    <n v="49671.7"/>
    <n v="49671.7"/>
  </r>
  <r>
    <n v="76446"/>
    <s v="BARRIO PALMERAS CARTAGENA DE INDIAS 2"/>
    <n v="15453728"/>
    <s v="3145477242"/>
    <s v="3117452866"/>
    <s v="3117452866"/>
    <s v="MZ 21 LT 1,PALMERAS"/>
    <s v="10.4005569"/>
    <s v="-75.4696882"/>
    <s v="BOLÍVAR"/>
    <s v="CARTAGENA DE INDIAS"/>
    <s v="CARTAGENA DE INDIAS"/>
    <n v="13001"/>
    <s v="2025-09-26"/>
    <n v="1"/>
    <s v="CARTAGENA"/>
    <x v="5"/>
    <n v="49671.7"/>
    <n v="49671.7"/>
  </r>
  <r>
    <n v="64322"/>
    <s v="BARRIO OLARTE BOGOTA 2"/>
    <n v="53008228"/>
    <s v="3214840222"/>
    <s v="3002477631"/>
    <s v="3002477631"/>
    <s v="CARRERA 72A # 57-04 SUR,OLARTE"/>
    <s v="4.6001969"/>
    <s v="-74.1650522"/>
    <s v="CUNDINAMARCA"/>
    <s v="BOGOTÁ"/>
    <s v="BOGOTÁ"/>
    <n v="11001"/>
    <s v="2025-09-26"/>
    <n v="1"/>
    <s v="BOGOTA"/>
    <x v="2"/>
    <n v="37313"/>
    <n v="37313"/>
  </r>
  <r>
    <n v="65134"/>
    <s v="BARRIO TORRES POPAYAN"/>
    <n v="1061783605"/>
    <s v="0"/>
    <s v="3122589518"/>
    <s v="3133964625"/>
    <s v="VRD PUELENJE"/>
    <s v="2.4377315"/>
    <s v="-76.6363540"/>
    <s v="CAUCA"/>
    <s v="POPAYÁN"/>
    <s v="POPAYÁN"/>
    <n v="19001"/>
    <s v="2025-09-26"/>
    <n v="1"/>
    <s v="CALI"/>
    <x v="3"/>
    <n v="37313"/>
    <n v="37313"/>
  </r>
  <r>
    <n v="73706"/>
    <s v="BARRIO CENTRO POPAYAN 27"/>
    <n v="1061783317"/>
    <s v="3104445143"/>
    <s v="3104445143"/>
    <s v="3104445143"/>
    <s v="CRA 8 NRO 5-50 - CENTRO,CENTRO"/>
    <s v="2.4413518"/>
    <s v="-76.6079564"/>
    <s v="CAUCA"/>
    <s v="POPAYÁN"/>
    <s v="POPAYÁN"/>
    <n v="19001"/>
    <s v="2025-09-26"/>
    <n v="1"/>
    <s v="CALI"/>
    <x v="3"/>
    <n v="37313"/>
    <n v="37313"/>
  </r>
  <r>
    <n v="73737"/>
    <s v="BARRIO COMUNEROS I CALI"/>
    <n v="1143969956"/>
    <s v="3186115132"/>
    <s v="3186115132"/>
    <s v="3186115132"/>
    <s v="CL 76  28 F - 32 COMUNEROS I"/>
    <s v="3.4156626"/>
    <s v="-76.4922858"/>
    <s v="VALLE DEL CAUCA"/>
    <s v="CALI"/>
    <s v="SANTIAGO DE CALI"/>
    <n v="76001"/>
    <s v="2025-09-26"/>
    <n v="1"/>
    <s v="CALI"/>
    <x v="3"/>
    <n v="37313"/>
    <n v="37313"/>
  </r>
  <r>
    <n v="74380"/>
    <s v="BARRIO PORVENIR PEREIRA"/>
    <n v="18614445"/>
    <s v="3137255962"/>
    <s v="3137255962"/>
    <s v="3137255962"/>
    <s v="CR 11 34 - 70,PORVENIR"/>
    <s v="4.8134750"/>
    <s v="-75.7078288"/>
    <s v="RISARALDA"/>
    <s v="PEREIRA"/>
    <s v="PEREIRA"/>
    <n v="66001"/>
    <s v="2025-09-26"/>
    <n v="1"/>
    <s v="PEREIRA"/>
    <x v="6"/>
    <n v="37313"/>
    <n v="37313"/>
  </r>
  <r>
    <n v="76773"/>
    <s v="BARRIO HERMANDO VELEZ PEREIRA."/>
    <n v="52324735"/>
    <s v="3003196072"/>
    <s v="3003196072"/>
    <s v="3003196248"/>
    <s v="MZ 1 CA 1 BRR HERNANDO VELEZ"/>
    <s v="4.8121972"/>
    <s v="-75.6796588"/>
    <s v="RISARALDA"/>
    <s v="PEREIRA"/>
    <s v="PEREIRA"/>
    <n v="66001"/>
    <s v="2025-09-26"/>
    <n v="1"/>
    <s v="PEREIRA"/>
    <x v="6"/>
    <n v="37313"/>
    <n v="37313"/>
  </r>
  <r>
    <n v="76949"/>
    <s v="BARRIO  LOS ALMENDROS CALI"/>
    <n v="66873691"/>
    <s v="3242898011"/>
    <s v="3174214759"/>
    <s v="3242898011"/>
    <s v="CR 39 E 52 A 40 BRR EL VALLADO,LOS ALMENDROS"/>
    <s v="3.4074021"/>
    <s v="-76.4989787"/>
    <s v="VALLE DEL CAUCA"/>
    <s v="CALI"/>
    <s v="SANTIAGO DE CALI"/>
    <n v="76001"/>
    <s v="2025-09-26"/>
    <n v="1"/>
    <s v="CALI"/>
    <x v="3"/>
    <n v="37313"/>
    <n v="37313"/>
  </r>
  <r>
    <n v="77247"/>
    <s v="BARRIO VRD DE TORRES POPAYAN"/>
    <n v="1032369123"/>
    <s v="3182000555"/>
    <s v="3182000555"/>
    <s v="3182000555"/>
    <s v="VRD DE TORRES ENSEGUIDA  DE FERRETERÍA WILLIAM"/>
    <s v="2.446551"/>
    <s v="-76.63648"/>
    <s v="CAUCA"/>
    <s v="POPAYÁN"/>
    <s v="POPAYÁN"/>
    <n v="19001"/>
    <s v="2025-09-26"/>
    <n v="1"/>
    <s v="CALI"/>
    <x v="3"/>
    <n v="37313"/>
    <n v="37313"/>
  </r>
  <r>
    <n v="78834"/>
    <s v="BARRIO SAN CARLOS TUNJA 2"/>
    <n v="1049619726"/>
    <s v="3228477293"/>
    <s v="3228477293"/>
    <m/>
    <s v="CR 14 2 A SUR 39,SAN CARLOS"/>
    <s v="5.5129224"/>
    <s v="-73.3715292"/>
    <s v="BOYACÁ"/>
    <s v="TUNJA"/>
    <s v="TUNJA"/>
    <n v="15001"/>
    <s v="2025-09-26"/>
    <n v="1"/>
    <s v="TUNJA"/>
    <x v="4"/>
    <n v="49671.7"/>
    <n v="49671.7"/>
  </r>
  <r>
    <n v="75454"/>
    <s v="BARRIO GAVIOTAS SOLEDAD"/>
    <n v="32764028"/>
    <s v="3246836552"/>
    <s v="3246836552"/>
    <s v="3017319893"/>
    <s v="CR 28 58 148 ÉXITO METROPOLITANO ISLA 12,GAVIOTAS"/>
    <s v="10.9242102"/>
    <s v="-74.7967274"/>
    <s v="ATLÁNTICO"/>
    <s v="SOLEDAD"/>
    <s v="SOLEDAD"/>
    <n v="8758"/>
    <s v="2025-09-26"/>
    <n v="1"/>
    <s v="BARRANQUILLA"/>
    <x v="5"/>
    <n v="37313"/>
    <n v="37313"/>
  </r>
  <r>
    <n v="77456"/>
    <s v="BARRIO VALPARAISO IBAGUE"/>
    <n v="38143362"/>
    <s v="3204470722"/>
    <s v="3204470722"/>
    <s v="3204470722"/>
    <s v="CR 4 70-22,VALPARAÍSO"/>
    <s v="4.437472"/>
    <s v="-75.189457"/>
    <s v="TOLIMA"/>
    <s v="IBAGUÉ"/>
    <s v="IBAGUÉ"/>
    <n v="73001"/>
    <s v="2025-09-26"/>
    <n v="1"/>
    <s v="IBAGUE"/>
    <x v="1"/>
    <n v="49671.7"/>
    <n v="49671.7"/>
  </r>
  <r>
    <n v="73951"/>
    <s v="BARRIO LA FACHADA ARMENIA 2"/>
    <n v="14280247"/>
    <s v="3104485415"/>
    <s v="3104485415"/>
    <s v="3104485415"/>
    <s v="MZ 19 CA 23 BRR LA FACHADA,LA FACHADA"/>
    <s v="4.5204361"/>
    <s v="-75.7129347"/>
    <s v="QUINDÍO"/>
    <s v="ARMENIA"/>
    <s v="ARMENIA"/>
    <n v="63001"/>
    <s v="2025-09-26"/>
    <n v="1"/>
    <s v="PEREIRA"/>
    <x v="6"/>
    <n v="37313"/>
    <n v="37313"/>
  </r>
  <r>
    <n v="74240"/>
    <s v="BARRIO LAS VILLAS TAURAMENA"/>
    <n v="1115915390"/>
    <s v="3192623760"/>
    <s v="3192623760"/>
    <s v="3192623760"/>
    <s v="CL 3 A 8 05,LAS VILLAS"/>
    <s v="5.0133032"/>
    <s v="-72.7481130"/>
    <s v="CASANARE"/>
    <s v="TAURAMENA"/>
    <s v="TAURAMENA"/>
    <n v="85410"/>
    <s v="2025-09-26"/>
    <n v="1"/>
    <s v="YOPAL"/>
    <x v="1"/>
    <n v="49671.7"/>
    <n v="49671.7"/>
  </r>
  <r>
    <n v="79432"/>
    <s v="BARRIO CAICEDO MEDELLIN 13"/>
    <n v="71115756"/>
    <s v="3166682932"/>
    <s v="3166682932"/>
    <s v="3166682932"/>
    <s v="CL 55 9 A - 36,CAICEDO"/>
    <s v="6.2352608"/>
    <s v="-75.5361191"/>
    <s v="ANTIOQUIA"/>
    <s v="MEDELLÍN"/>
    <s v="MEDELLÍN"/>
    <n v="5001"/>
    <s v="2025-09-26"/>
    <n v="1"/>
    <s v="MEDELLIN"/>
    <x v="0"/>
    <n v="37313"/>
    <n v="37313"/>
  </r>
  <r>
    <n v="79582"/>
    <s v="BARRIO BELLO NIQUIA BELLO"/>
    <n v="71379901"/>
    <s v="3218538664"/>
    <s v="3146243913"/>
    <s v="3146243913"/>
    <s v="DG 69 A 40 C 07,BELLO NIQUIA"/>
    <s v="6.3493796"/>
    <s v="-75.5489920"/>
    <s v="ANTIOQUIA"/>
    <s v="BELLO"/>
    <s v="BELLO"/>
    <n v="5088"/>
    <s v="2025-09-26"/>
    <n v="1"/>
    <s v="MEDELLIN"/>
    <x v="0"/>
    <n v="37313"/>
    <n v="37313"/>
  </r>
  <r>
    <n v="74188"/>
    <s v="BARRIO BELLO BELLO 19"/>
    <n v="1095788063"/>
    <s v="3017477182"/>
    <s v="3017477182"/>
    <s v="3017477182"/>
    <s v="AV 50 A NO. 54 12,BELLO"/>
    <s v="6.3374427"/>
    <s v="-75.5600593"/>
    <s v="ANTIOQUIA"/>
    <s v="BELLO"/>
    <s v="BELLO"/>
    <n v="5088"/>
    <s v="2025-09-26"/>
    <n v="1"/>
    <s v="MEDELLIN"/>
    <x v="0"/>
    <n v="37313"/>
    <n v="37313"/>
  </r>
  <r>
    <n v="74548"/>
    <s v="BARRIO CALDAS BAJO FLORIDABLANCA"/>
    <n v="1234338202"/>
    <s v="3164570592"/>
    <s v="3164570592"/>
    <s v="3164570592"/>
    <s v="CR 33 # 111 - 55 BARRIO CALDAS BAJO FLORIDABLANCA,CALDAS BAJO"/>
    <s v="7.088819"/>
    <s v="-73.1067199"/>
    <s v="SANTANDER"/>
    <s v="FLORIDABLANCA"/>
    <s v="FLORIDABLANCA"/>
    <n v="68276"/>
    <s v="2025-09-26"/>
    <n v="1"/>
    <s v="BUCARAMANGA"/>
    <x v="4"/>
    <n v="37313"/>
    <n v="37313"/>
  </r>
  <r>
    <n v="74916"/>
    <s v="BARRIO CANTARRANA VILLAVICENCIO 3"/>
    <n v="80523682"/>
    <s v="3234607866"/>
    <s v="3144599600"/>
    <s v="3144599600"/>
    <s v="CR 19 NRO. 18 - 73 CANTARRANA 1 ESQUINA - , CANTARRANA ,CANTARRANA"/>
    <s v="4.133623"/>
    <s v="-73.624285"/>
    <s v="META"/>
    <s v="VILLAVICENCIO"/>
    <s v="VILLAVICENCIO"/>
    <n v="50001"/>
    <s v="2025-09-26"/>
    <n v="1"/>
    <s v="VILLAVICENCIO"/>
    <x v="1"/>
    <n v="49671.7"/>
    <n v="49671.7"/>
  </r>
  <r>
    <n v="75097"/>
    <s v="BARRIO RESTREPO IBAGUE 5"/>
    <n v="28947725"/>
    <s v="3245249370"/>
    <s v="3185539461"/>
    <s v="3185539461"/>
    <s v="CL 40 7 16,RESTREPO"/>
    <s v="4.4380877"/>
    <s v="-75.2126790"/>
    <s v="TOLIMA"/>
    <s v="IBAGUÉ"/>
    <s v="IBAGUÉ"/>
    <n v="73001"/>
    <s v="2025-09-26"/>
    <n v="1"/>
    <s v="IBAGUE"/>
    <x v="1"/>
    <n v="49671.7"/>
    <n v="49671.7"/>
  </r>
  <r>
    <n v="75524"/>
    <s v="BARRIO RESERVA DE UPAR VALLEDUPAR"/>
    <n v="901319193"/>
    <s v="3103841084"/>
    <s v="3116722724"/>
    <s v="3103841084"/>
    <s v="DG 10N MZ A 1 - RESERVA DE UPAR,RESERVA DE UPAR"/>
    <s v="10.4954517"/>
    <s v="-73.2725483"/>
    <s v="CESAR"/>
    <s v="VALLEDUPAR"/>
    <s v="VALLEDUPAR"/>
    <n v="20001"/>
    <s v="2025-09-26"/>
    <n v="1"/>
    <s v="VALLEDUPAR"/>
    <x v="5"/>
    <n v="49671.7"/>
    <n v="49671.7"/>
  </r>
  <r>
    <n v="75526"/>
    <s v="BARRIO KENNEDY PEREIRA"/>
    <n v="1087561931"/>
    <s v="3135684563"/>
    <s v="3127676856"/>
    <s v="3135684563"/>
    <s v="CR 12 9 E - 51 - BRR KENNEDY"/>
    <s v="4.8077375"/>
    <s v="-75.6712934"/>
    <s v="RISARALDA"/>
    <s v="PEREIRA"/>
    <s v="PEREIRA"/>
    <n v="66001"/>
    <s v="2025-09-26"/>
    <n v="1"/>
    <s v="PEREIRA"/>
    <x v="6"/>
    <n v="37313"/>
    <n v="37313"/>
  </r>
  <r>
    <n v="74725"/>
    <s v="BARRIO RECREO BARRANQUILLA 8"/>
    <n v="22656607"/>
    <s v="3004744434"/>
    <s v="3014525001"/>
    <s v="3014525001"/>
    <s v="CL 52 37 - 73,RECREO"/>
    <s v="10.98087"/>
    <s v="-74.79292"/>
    <s v="ATLÁNTICO"/>
    <s v="BARRANQUILLA"/>
    <s v="BARRANQUILLA"/>
    <n v="8001"/>
    <s v="2025-09-26"/>
    <n v="1"/>
    <s v="BARRANQUILLA"/>
    <x v="5"/>
    <n v="37313"/>
    <n v="37313"/>
  </r>
  <r>
    <n v="75080"/>
    <s v="BARRIO MARCO ANTONIO PINILLA VILLAVICENCIO 4"/>
    <n v="1122118826"/>
    <s v="3223084038"/>
    <s v="3208523704"/>
    <s v="3208523704"/>
    <s v="CL 24 ÉSTE NRO. 18 - 103 LC 1 - MARCO ANTONIO PINILLA,MARCÓ ANTONIO PINILLA"/>
    <s v="4.129491"/>
    <s v="-73.586572"/>
    <s v="META"/>
    <s v="VILLAVICENCIO"/>
    <s v="VILLAVICENCIO"/>
    <n v="50001"/>
    <s v="2025-09-26"/>
    <n v="1"/>
    <s v="VILLAVICENCIO"/>
    <x v="1"/>
    <n v="49671.7"/>
    <n v="49671.7"/>
  </r>
  <r>
    <n v="75094"/>
    <s v="BARRIO ZAPAMANGA 4ETAPA FLORIDABLANCA"/>
    <n v="1005339817"/>
    <s v="3165346655"/>
    <s v="3165346655"/>
    <s v="3165346655"/>
    <s v="DG 45 # 109 - 21 PISO 1 LOCAL 1 ZAPAMANGA 4 ETAPA FLORIDABLANCA,ZAPAMANGA 4 ETAPA"/>
    <s v="7.0924749"/>
    <s v="-73.0966942"/>
    <s v="SANTANDER"/>
    <s v="FLORIDABLANCA"/>
    <s v="FLORIDABLANCA"/>
    <n v="68276"/>
    <s v="2025-09-26"/>
    <n v="1"/>
    <s v="BUCARAMANGA"/>
    <x v="4"/>
    <n v="37313"/>
    <n v="37313"/>
  </r>
  <r>
    <n v="75517"/>
    <s v="BARRIO EL CARMEN VALLEDUPAR 3"/>
    <n v="1098807732"/>
    <s v="3106069322"/>
    <s v="3106069322"/>
    <s v="3106069322"/>
    <s v="CR 7 18 40 ARCO 1GALERIA POPULAR LC G80 G83,EL CARMEN"/>
    <s v="10.47260829"/>
    <s v="-73.24324837"/>
    <s v="CESAR"/>
    <s v="VALLEDUPAR"/>
    <s v="VALLEDUPAR"/>
    <n v="20001"/>
    <s v="2025-09-26"/>
    <n v="2"/>
    <s v="VALLEDUPAR"/>
    <x v="5"/>
    <n v="49671.7"/>
    <n v="99343.4"/>
  </r>
  <r>
    <n v="80117"/>
    <s v="BARRIO PALERMO SUR BOGOTA 2"/>
    <n v="7277929"/>
    <s v="3197052381"/>
    <s v="3197052381"/>
    <s v="3148438603"/>
    <s v="CR 3 51B 09 SUR ,PALERMO SUR"/>
    <s v="4.5426293"/>
    <s v="-74.1118461"/>
    <s v="CUNDINAMARCA"/>
    <s v="BOGOTÁ"/>
    <s v="BOGOTÁ"/>
    <n v="11001"/>
    <s v="2025-09-26"/>
    <n v="1"/>
    <s v="BOGOTA"/>
    <x v="2"/>
    <n v="37313"/>
    <n v="37313"/>
  </r>
  <r>
    <n v="76779"/>
    <s v="BARRIO PLAZA GUARNE GUARNE"/>
    <n v="1035921939"/>
    <s v="3117598678"/>
    <s v="3127626080"/>
    <s v="3117598678"/>
    <s v="CL 44 47 08,PLAZA GUARNE"/>
    <s v="6.2776783"/>
    <s v="-75.4382717"/>
    <s v="ANTIOQUIA"/>
    <s v="GUARNE"/>
    <s v="GUARNE"/>
    <n v="5318"/>
    <s v="2025-09-26"/>
    <n v="1"/>
    <s v="MEDELLIN"/>
    <x v="0"/>
    <n v="37313"/>
    <n v="37313"/>
  </r>
  <r>
    <n v="76857"/>
    <s v="BARRIO SOPETRAN SOPETRAN 3"/>
    <n v="1042709303"/>
    <s v="3142027923"/>
    <s v="3117782340"/>
    <s v="3142027923"/>
    <s v="CL 9 10 117,SOPETRAN"/>
    <s v="6.5009092"/>
    <s v="-75.7438267"/>
    <s v="ANTIOQUIA"/>
    <s v="SOPETRÁN"/>
    <s v="SOPETRÁN"/>
    <n v="5761"/>
    <s v="2025-09-26"/>
    <n v="1"/>
    <s v="MEDELLIN"/>
    <x v="0"/>
    <n v="37313"/>
    <n v="37313"/>
  </r>
  <r>
    <n v="76806"/>
    <s v="BARRIO SOPETRAN SOPETRAN 2"/>
    <n v="1025645658"/>
    <s v="3234881508"/>
    <s v="3234881508"/>
    <s v="3104962956"/>
    <s v="CL 9 CON CR 14,SOPETRAN"/>
    <s v="6.5010922"/>
    <s v="-75.7465127"/>
    <s v="ANTIOQUIA"/>
    <s v="SOPETRÁN"/>
    <s v="SOPETRÁN"/>
    <n v="5761"/>
    <s v="2025-09-26"/>
    <n v="1"/>
    <s v="MEDELLIN"/>
    <x v="0"/>
    <n v="37313"/>
    <n v="37313"/>
  </r>
  <r>
    <n v="76910"/>
    <s v="BARRIO SAN JUAN PEREIRA"/>
    <n v="1088306985"/>
    <s v="3116310040"/>
    <s v="3196516419"/>
    <s v="3116310040"/>
    <s v="CR 1 BIS 28 B 11 BRR SAN JUAN"/>
    <s v="4.820265"/>
    <s v="-75.7013283"/>
    <s v="RISARALDA"/>
    <s v="PEREIRA"/>
    <s v="PEREIRA"/>
    <n v="66001"/>
    <s v="2025-09-26"/>
    <n v="1"/>
    <s v="PEREIRA"/>
    <x v="6"/>
    <n v="37313"/>
    <n v="37313"/>
  </r>
  <r>
    <n v="77259"/>
    <s v="BARRIO MANANTIAL TAURAMENA"/>
    <n v="46372295"/>
    <s v="3103666858"/>
    <s v="3103666858"/>
    <s v="3103666858"/>
    <s v="CL 17 A 7 - 05,MANANTIAL"/>
    <s v="5.0217385"/>
    <s v="-72.7429623"/>
    <s v="CASANARE"/>
    <s v="TAURAMENA"/>
    <s v="TAURAMENA"/>
    <n v="85410"/>
    <s v="2025-09-26"/>
    <n v="1"/>
    <s v="YOPAL"/>
    <x v="1"/>
    <n v="49671.7"/>
    <n v="49671.7"/>
  </r>
  <r>
    <n v="77509"/>
    <s v="BARRIO SANTA ANA SABANETA 1"/>
    <n v="901861922"/>
    <s v="0"/>
    <s v="3123143224"/>
    <s v="3123143224"/>
    <s v="CL 68 SUR 43C 40,SANTA ANA"/>
    <s v="6.1520292"/>
    <s v="-75.6142345"/>
    <s v="ANTIOQUIA"/>
    <s v="SABANETA"/>
    <s v="SABANETA"/>
    <n v="5631"/>
    <s v="2025-09-26"/>
    <n v="1"/>
    <s v="MEDELLIN"/>
    <x v="0"/>
    <n v="37313"/>
    <n v="37313"/>
  </r>
  <r>
    <n v="77953"/>
    <s v="BARRIO  COLOMBIATON CARTAGENA DE INDIAS"/>
    <n v="1007285672"/>
    <s v="3207460340"/>
    <s v="3207460340"/>
    <s v="3207460340"/>
    <s v="MZ 6B LT 796,COLOMBIATON"/>
    <s v="10.4174759"/>
    <s v="-75.4459690"/>
    <s v="BOLÍVAR"/>
    <s v="CARTAGENA DE INDIAS"/>
    <s v="CARTAGENA DE INDIAS"/>
    <n v="13001"/>
    <s v="2025-09-26"/>
    <n v="1"/>
    <s v="CARTAGENA"/>
    <x v="5"/>
    <n v="49671.7"/>
    <n v="49671.7"/>
  </r>
  <r>
    <n v="77948"/>
    <s v="LA VIRGINIA ARMENIA 2"/>
    <n v="4422440"/>
    <s v="3114537369"/>
    <s v="3218409847"/>
    <s v="3114537369"/>
    <s v="URB LA VIRGINIA MZ 10 15,LA VIRGINIA"/>
    <s v="4.5154970"/>
    <s v="-75.7107952"/>
    <s v="QUINDÍO"/>
    <s v="ARMENIA"/>
    <s v="ARMENIA"/>
    <n v="63001"/>
    <s v="2025-09-26"/>
    <n v="1"/>
    <s v="PEREIRA"/>
    <x v="6"/>
    <n v="37313"/>
    <n v="37313"/>
  </r>
  <r>
    <n v="79750"/>
    <s v="BARRIO MARRUECOS BOGOTA  3"/>
    <n v="1002539507"/>
    <s v="3059310093"/>
    <s v="3059310093"/>
    <s v="3059310093"/>
    <s v="CL 48X SUR 5N 89,MARRUECOS"/>
    <s v="4.5548650"/>
    <s v="-74.1145471"/>
    <s v="CUNDINAMARCA"/>
    <s v="BOGOTÁ"/>
    <s v="BOGOTÁ"/>
    <n v="11001"/>
    <s v="2025-09-26"/>
    <n v="1"/>
    <s v="BOGOTA"/>
    <x v="2"/>
    <n v="37313"/>
    <n v="37313"/>
  </r>
  <r>
    <n v="77576"/>
    <s v="BARRIO EL BAHO SARDINATA"/>
    <n v="13197585"/>
    <s v="322 6158169"/>
    <s v="3226158169"/>
    <s v="3226158169"/>
    <s v="CR 4 38 12,EL BAHO"/>
    <s v="8.075815"/>
    <s v="-72.802759"/>
    <s v="NORTE DE SANTANDER"/>
    <s v="SARDINATA"/>
    <s v="SARDINATA"/>
    <n v="54720"/>
    <s v="2025-09-26"/>
    <n v="1"/>
    <s v="CUCUTA"/>
    <x v="4"/>
    <n v="49671.7"/>
    <n v="49671.7"/>
  </r>
  <r>
    <n v="28036"/>
    <s v="BARRIO CENTRO 41 - ARMENIA"/>
    <n v="1097394593"/>
    <s v="7355543"/>
    <s v="3117034142"/>
    <s v="3117034142"/>
    <s v=" CL 23 15 35"/>
    <s v="4.5324402"/>
    <s v="-75.6752378"/>
    <s v="QUINDÍO"/>
    <s v="ARMENIA"/>
    <s v="ARMENIA"/>
    <n v="63001"/>
    <s v="2025-09-29"/>
    <n v="1"/>
    <s v="PEREIRA"/>
    <x v="6"/>
    <n v="37313"/>
    <n v="37313"/>
  </r>
  <r>
    <n v="26486"/>
    <s v="BARRIO CENTRO III CAJAMARCA"/>
    <n v="1105612507"/>
    <s v="2641542"/>
    <s v="3182660433"/>
    <s v="3182660433"/>
    <s v=" CL 6 6 34"/>
    <s v="4.44129115"/>
    <s v="-75.42649009"/>
    <s v="TOLIMA"/>
    <s v="CAJAMARCA"/>
    <s v="CAJAMARCA"/>
    <n v="73124"/>
    <s v="2025-09-29"/>
    <n v="1"/>
    <s v="IBAGUE"/>
    <x v="1"/>
    <n v="49671.7"/>
    <n v="49671.7"/>
  </r>
  <r>
    <n v="23518"/>
    <s v="BARRIO PARQUE II - SOPETRÁN"/>
    <n v="98482145"/>
    <s v="8541025"/>
    <s v="3155828351"/>
    <s v="3155828351"/>
    <s v=" CL 10  8 7 LC 126"/>
    <s v="6.500692777"/>
    <s v="-75.741469444"/>
    <s v="ANTIOQUIA"/>
    <s v="SOPETRÁN"/>
    <s v="SOPETRÁN"/>
    <n v="5761"/>
    <s v="2025-09-29"/>
    <n v="1"/>
    <s v="MEDELLIN"/>
    <x v="0"/>
    <n v="37313"/>
    <n v="37313"/>
  </r>
  <r>
    <n v="28060"/>
    <s v="BARRIO LA COLINA 2 - BOGOTÁ"/>
    <n v="52176302"/>
    <s v="6952044"/>
    <s v="3142812482"/>
    <s v="3142812482"/>
    <s v=" AC 138  55 53 LC 31"/>
    <s v="4.7264040"/>
    <s v="-74.0607557"/>
    <s v="CUNDINAMARCA"/>
    <s v="BOGOTÁ"/>
    <s v="BOGOTÁ"/>
    <n v="11001"/>
    <s v="2025-09-29"/>
    <n v="1"/>
    <s v="BOGOTA"/>
    <x v="2"/>
    <n v="37313"/>
    <n v="37313"/>
  </r>
  <r>
    <n v="17078"/>
    <s v="BARRIO VILLAFLOR III PASTO"/>
    <n v="27487626"/>
    <s v="2690979"/>
    <s v="3108664812"/>
    <s v="3108664812"/>
    <s v=" MZ 10 CA 8 VILLAFLOR II"/>
    <s v="1.1990187"/>
    <s v="-77.2471356"/>
    <s v="NARIÑO"/>
    <s v="PASTO"/>
    <s v="SAN JUAN DE PASTO"/>
    <n v="52001"/>
    <s v="2025-09-29"/>
    <n v="1"/>
    <s v="PASTO"/>
    <x v="3"/>
    <n v="49671.7"/>
    <n v="49671.7"/>
  </r>
  <r>
    <n v="26881"/>
    <s v="BARRIO CENTRO MOTAVITA"/>
    <n v="23284712"/>
    <s v="6677153"/>
    <s v="3102165891"/>
    <s v="3102165891"/>
    <s v=" CR 3 A 3 42"/>
    <s v="5.57690596"/>
    <s v="-73.36701005"/>
    <s v="BOYACÁ"/>
    <s v="MOTAVITA"/>
    <s v="MOTAVITA"/>
    <n v="15476"/>
    <s v="2025-09-29"/>
    <n v="1"/>
    <s v="TUNJA"/>
    <x v="4"/>
    <n v="49671.7"/>
    <n v="49671.7"/>
  </r>
  <r>
    <n v="30081"/>
    <s v="BARRIO BELEN 2 MEDELLIN"/>
    <n v="1020405297"/>
    <s v="5384698"/>
    <s v="3176689894"/>
    <s v="3176689894"/>
    <s v="CR 76  N 28 16"/>
    <s v="6.2299099"/>
    <s v="-75.5961605"/>
    <s v="ANTIOQUIA"/>
    <s v="MEDELLÍN"/>
    <s v="MEDELLÍN"/>
    <n v="5001"/>
    <s v="2025-09-29"/>
    <n v="2"/>
    <s v="MEDELLIN"/>
    <x v="0"/>
    <n v="37313"/>
    <n v="74626"/>
  </r>
  <r>
    <n v="13670"/>
    <s v="CLL URIBE URIBE AMAGA"/>
    <n v="70001354"/>
    <s v="4187010"/>
    <s v="3137279244"/>
    <s v="3137279244"/>
    <s v=" CL 51 URIBE 49-40"/>
    <s v="6.0408204"/>
    <s v="-75.7021286"/>
    <s v="ANTIOQUIA"/>
    <s v="AMAGÁ"/>
    <s v="AMAGÁ"/>
    <n v="5030"/>
    <s v="2025-09-29"/>
    <n v="2"/>
    <s v="MEDELLIN"/>
    <x v="0"/>
    <n v="37313"/>
    <n v="74626"/>
  </r>
  <r>
    <n v="10639"/>
    <s v="PIENDAMO II - CAUCA"/>
    <n v="31846095"/>
    <s v="8470780"/>
    <s v="3156601016"/>
    <s v="3156601016"/>
    <s v="CL 8  5- 64"/>
    <s v="2.6395101"/>
    <s v="-76.5288707"/>
    <s v="CAUCA"/>
    <s v="PIENDAMÓ"/>
    <s v="PIENDAMÓ"/>
    <n v="19548"/>
    <s v="2025-09-29"/>
    <n v="3"/>
    <s v="CALI"/>
    <x v="3"/>
    <n v="37313"/>
    <n v="111939"/>
  </r>
  <r>
    <n v="16567"/>
    <s v="BELLO SAN FELIX"/>
    <n v="1040321060"/>
    <s v="3880474"/>
    <s v="3122646025"/>
    <s v="3122646025"/>
    <s v="RURAL_SAN FELIX VRD LA UNION"/>
    <s v="6.380784"/>
    <s v="-75.6210883"/>
    <s v="ANTIOQUIA"/>
    <s v="BELLO"/>
    <s v="BELLO"/>
    <n v="5088"/>
    <s v="2025-09-29"/>
    <n v="1"/>
    <s v="MEDELLIN"/>
    <x v="0"/>
    <n v="37313"/>
    <n v="37313"/>
  </r>
  <r>
    <n v="34245"/>
    <s v="BARRIO EL PANORAMA PORE"/>
    <n v="74360155"/>
    <m/>
    <s v="3106694419"/>
    <s v="3107688883"/>
    <s v=" CR 14 3 45 47"/>
    <s v="5.7265629"/>
    <s v="-71.993941"/>
    <s v="CASANARE"/>
    <s v="PORE"/>
    <s v="PORE"/>
    <n v="85263"/>
    <s v="2025-09-29"/>
    <n v="1"/>
    <s v="YOPAL"/>
    <x v="1"/>
    <n v="49671.7"/>
    <n v="49671.7"/>
  </r>
  <r>
    <n v="31561"/>
    <s v="BARRIO GRANJA 8 MONTERÍA"/>
    <n v="1067843689"/>
    <s v="6050962"/>
    <s v="3022632308"/>
    <s v="3012720006"/>
    <s v=" TV 5 7 13"/>
    <s v="8.735608"/>
    <s v="-75.89319657"/>
    <s v="CÓRDOBA"/>
    <s v="MONTERÍA"/>
    <s v="MONTERÍA"/>
    <n v="23001"/>
    <s v="2025-09-29"/>
    <n v="1"/>
    <s v="MONTERIA"/>
    <x v="5"/>
    <n v="37313"/>
    <n v="37313"/>
  </r>
  <r>
    <n v="17873"/>
    <s v="PANORAMA PORE CASANARE"/>
    <n v="74862656"/>
    <s v="8319089"/>
    <s v="3204490918"/>
    <s v="3204490918"/>
    <s v=" CL 4  10-51"/>
    <s v="5.72475819"/>
    <s v="-71.99047194"/>
    <s v="CASANARE"/>
    <s v="PORE"/>
    <s v="PORE"/>
    <n v="85263"/>
    <s v="2025-09-29"/>
    <n v="1"/>
    <s v="YOPAL"/>
    <x v="1"/>
    <n v="49671.7"/>
    <n v="49671.7"/>
  </r>
  <r>
    <n v="17481"/>
    <s v="BARRIO ANTONIO SANTOS BOGOTA"/>
    <n v="35455720"/>
    <s v="2332708"/>
    <s v="3017430506"/>
    <s v="3017430506"/>
    <s v=" AV CARACAS 1-05 LOCAL 23"/>
    <s v="4.59242285"/>
    <s v="-74.08863715"/>
    <s v="CUNDINAMARCA"/>
    <s v="BOGOTÁ"/>
    <s v="BOGOTÁ"/>
    <n v="11001"/>
    <s v="2025-09-29"/>
    <n v="1"/>
    <s v="BOGOTA"/>
    <x v="2"/>
    <n v="37313"/>
    <n v="37313"/>
  </r>
  <r>
    <n v="28495"/>
    <s v="BARRIO CHAPARRAL GUARNE"/>
    <n v="900673863"/>
    <s v="5612674"/>
    <s v="3148623118"/>
    <s v="3148623118"/>
    <s v=" VRD CHAPAR RAL KM 30 AU MEDELLIM BOGOTA"/>
    <s v="6.2276359"/>
    <s v="-75.3953199"/>
    <s v="ANTIOQUIA"/>
    <s v="GUARNE"/>
    <s v="GUARNE"/>
    <n v="5318"/>
    <s v="2025-09-29"/>
    <n v="1"/>
    <s v="MEDELLIN"/>
    <x v="0"/>
    <n v="37313"/>
    <n v="37313"/>
  </r>
  <r>
    <n v="34519"/>
    <s v="BARRIO ENCISO MEDELLIN 3"/>
    <n v="43906469"/>
    <s v="2915928"/>
    <s v="3004301735"/>
    <s v="3004301735"/>
    <s v=" CR 18 B 56 H 12"/>
    <s v="6.2481845"/>
    <s v="-75.5393823"/>
    <s v="ANTIOQUIA"/>
    <s v="MEDELLÍN"/>
    <s v="MEDELLÍN"/>
    <n v="5001"/>
    <s v="2025-09-29"/>
    <n v="1"/>
    <s v="MEDELLIN"/>
    <x v="0"/>
    <n v="37313"/>
    <n v="37313"/>
  </r>
  <r>
    <n v="10475"/>
    <s v="DURANIA - NORTE DE SANTANDER"/>
    <n v="88178272"/>
    <s v="8408287"/>
    <s v="3118929130"/>
    <s v="3118929130"/>
    <s v=" AV 2  7-75 CENTRO"/>
    <s v="7.71568975322829"/>
    <s v="-72.65672021781494"/>
    <s v="NORTE DE SANTANDER"/>
    <s v="DURANIA"/>
    <s v="DURANIA"/>
    <n v="54239"/>
    <s v="2025-09-29"/>
    <n v="1"/>
    <s v="CUCUTA"/>
    <x v="4"/>
    <n v="49671.7"/>
    <n v="49671.7"/>
  </r>
  <r>
    <n v="10351"/>
    <s v="AMAGA III"/>
    <n v="98602887"/>
    <s v="8472203"/>
    <s v="3128714185"/>
    <s v="3128714185"/>
    <s v="CR 43 # 51-10"/>
    <s v="6.0398637"/>
    <s v="-75.7028090"/>
    <s v="ANTIOQUIA"/>
    <s v="AMAGÁ"/>
    <s v="AMAGÁ"/>
    <n v="5030"/>
    <s v="2025-09-29"/>
    <n v="2"/>
    <s v="MEDELLIN"/>
    <x v="0"/>
    <n v="37313"/>
    <n v="74626"/>
  </r>
  <r>
    <n v="13155"/>
    <s v="BARRIO GRANIZAL II MEDELLÍN"/>
    <n v="1020406336"/>
    <s v="5295364"/>
    <s v="3023731516"/>
    <s v="3147893288"/>
    <s v=" CL 102  33D-85 GRANIZAL MEDELLIN"/>
    <s v="6.2910538"/>
    <s v="-75.5441765"/>
    <s v="ANTIOQUIA"/>
    <s v="MEDELLÍN"/>
    <s v="MEDELLÍN"/>
    <n v="5001"/>
    <s v="2025-09-29"/>
    <n v="1"/>
    <s v="MEDELLIN"/>
    <x v="0"/>
    <n v="37313"/>
    <n v="37313"/>
  </r>
  <r>
    <n v="17539"/>
    <s v="LA ESPERANZA II PORE"/>
    <n v="74814647"/>
    <s v="7761258"/>
    <s v="3133876621"/>
    <s v="3133876621"/>
    <s v=" CR 21  5-25 ESPERANZA"/>
    <s v="5.7307304"/>
    <s v="-71.9986163"/>
    <s v="CASANARE"/>
    <s v="PORE"/>
    <s v="PORE"/>
    <n v="85263"/>
    <s v="2025-09-29"/>
    <n v="2"/>
    <s v="YOPAL"/>
    <x v="1"/>
    <n v="49671.7"/>
    <n v="99343.4"/>
  </r>
  <r>
    <n v="22558"/>
    <s v="BARRIO VIVEROS - MANIZALES"/>
    <n v="75076314"/>
    <s v="8963006"/>
    <s v="3104635540"/>
    <s v="3104635540"/>
    <s v="CR 12 62 A 43"/>
    <s v="5.06274966"/>
    <s v="-75.47797534"/>
    <s v="CALDAS"/>
    <s v="MANIZALES"/>
    <s v="MANIZALES"/>
    <n v="17001"/>
    <s v="2025-09-29"/>
    <n v="1"/>
    <s v="MANIZALES"/>
    <x v="6"/>
    <n v="49671.7"/>
    <n v="49671.7"/>
  </r>
  <r>
    <n v="30896"/>
    <s v="BARRIO LA RAMBLA"/>
    <n v="15957563"/>
    <s v="368810047"/>
    <s v="3216416380"/>
    <s v="3216416380"/>
    <s v=" CR 22 62 93"/>
    <s v="5.05935106"/>
    <s v="-75.48628102"/>
    <s v="CALDAS"/>
    <s v="MANIZALES"/>
    <s v="MANIZALES"/>
    <n v="17001"/>
    <s v="2025-09-29"/>
    <n v="1"/>
    <s v="MANIZALES"/>
    <x v="6"/>
    <n v="49671.7"/>
    <n v="49671.7"/>
  </r>
  <r>
    <n v="33148"/>
    <s v="BARRIO SANTA MONICA PASTO"/>
    <n v="1085253926"/>
    <s v="4239530"/>
    <s v="3117564772"/>
    <s v="3117564772"/>
    <s v="CR  9 Este E 3 MZ I  CA 28  Santa Monica"/>
    <s v="1.2038761"/>
    <s v="-77.2544144"/>
    <s v="NARIÑO"/>
    <s v="PASTO"/>
    <s v="SAN JUAN DE PASTO"/>
    <n v="52001"/>
    <s v="2025-09-29"/>
    <n v="1"/>
    <s v="PASTO"/>
    <x v="3"/>
    <n v="49671.7"/>
    <n v="49671.7"/>
  </r>
  <r>
    <n v="33401"/>
    <s v="BARRIO CAICEDO MEDELLIN"/>
    <n v="43581013"/>
    <s v="2936327"/>
    <s v="3122053968"/>
    <s v="3147218961"/>
    <s v=" CL 54 9 20"/>
    <s v="6.2340750"/>
    <s v="-75.53614000"/>
    <s v="ANTIOQUIA"/>
    <s v="MEDELLÍN"/>
    <s v="MEDELLÍN"/>
    <n v="5001"/>
    <s v="2025-09-29"/>
    <n v="2"/>
    <s v="MEDELLIN"/>
    <x v="0"/>
    <n v="37313"/>
    <n v="74626"/>
  </r>
  <r>
    <n v="31675"/>
    <s v="BARRIO PARQUE PRINCIPAL AMAGÁ AMAGÁ"/>
    <n v="75056224"/>
    <s v="3225089"/>
    <s v="3128738660"/>
    <s v="3128738660"/>
    <s v=" CR 50  51 24"/>
    <s v="6.0411096"/>
    <s v="-75.7025116"/>
    <s v="ANTIOQUIA"/>
    <s v="AMAGÁ"/>
    <s v="AMAGÁ"/>
    <n v="5030"/>
    <s v="2025-09-29"/>
    <n v="1"/>
    <s v="MEDELLIN"/>
    <x v="0"/>
    <n v="37313"/>
    <n v="37313"/>
  </r>
  <r>
    <n v="34922"/>
    <s v="BARRIO ROSALPI BELLO 1"/>
    <n v="43529493"/>
    <s v="4565583"/>
    <s v="3127227802"/>
    <s v="3127227802"/>
    <s v="CL 54 56 15"/>
    <s v="6.3390989"/>
    <s v="-75.5634045"/>
    <s v="ANTIOQUIA"/>
    <s v="BELLO"/>
    <s v="BELLO"/>
    <n v="5088"/>
    <s v="2025-09-29"/>
    <n v="1"/>
    <s v="MEDELLIN"/>
    <x v="0"/>
    <n v="37313"/>
    <n v="37313"/>
  </r>
  <r>
    <n v="42440"/>
    <s v="BARRIO CENTRO CAJAMARCA 6"/>
    <n v="1105612618"/>
    <s v="3102622945"/>
    <s v="3102622945"/>
    <s v="3102622945"/>
    <s v="CR 7 # 7-22,CENTRO"/>
    <s v="4.4417125"/>
    <s v="-75.4274142"/>
    <s v="TOLIMA"/>
    <s v="CAJAMARCA"/>
    <s v="CAJAMARCA"/>
    <n v="73124"/>
    <s v="2025-09-29"/>
    <n v="1"/>
    <s v="IBAGUE"/>
    <x v="1"/>
    <n v="49671.7"/>
    <n v="49671.7"/>
  </r>
  <r>
    <n v="46130"/>
    <s v="BARRIO MINITAS MANIZALES 1"/>
    <n v="30297055"/>
    <m/>
    <s v="3104280810"/>
    <s v="3104280810"/>
    <s v="CL 61 9 11,MINITAS"/>
    <s v="5.0659804"/>
    <s v="-75.4751649"/>
    <s v="CALDAS"/>
    <s v="MANIZALES"/>
    <s v="MANIZALES"/>
    <n v="17001"/>
    <s v="2025-09-29"/>
    <n v="1"/>
    <s v="MANIZALES"/>
    <x v="6"/>
    <n v="49671.7"/>
    <n v="49671.7"/>
  </r>
  <r>
    <n v="47262"/>
    <s v="BARRIO CARIBE VERDE BARRANQUILLA 1"/>
    <n v="900641678"/>
    <s v="3015027280"/>
    <s v="3004271010"/>
    <s v="3004271010"/>
    <s v="CL 130 8 H 6 MZ 19H,CARIBE VERDE"/>
    <s v="10.95466"/>
    <s v="-74.85438"/>
    <s v="ATLÁNTICO"/>
    <s v="BARRANQUILLA"/>
    <s v="BARRANQUILLA"/>
    <n v="8001"/>
    <s v="2025-09-29"/>
    <n v="1"/>
    <s v="BARRANQUILLA"/>
    <x v="5"/>
    <n v="37313"/>
    <n v="37313"/>
  </r>
  <r>
    <n v="33712"/>
    <s v="BARRIO CENTRO PURACE"/>
    <n v="76329271"/>
    <m/>
    <s v="3122810500"/>
    <s v="3122810500"/>
    <s v=" CR 3 6 59 CORREGIMIENTO COCONUCO MUNICIPIO PURACE"/>
    <s v="2.381217"/>
    <s v="-76.454664"/>
    <s v="CAUCA"/>
    <s v="PURACÉ"/>
    <s v="COCONUCO"/>
    <n v="19585"/>
    <s v="2025-09-29"/>
    <n v="1"/>
    <s v="CALI"/>
    <x v="3"/>
    <n v="37313"/>
    <n v="37313"/>
  </r>
  <r>
    <n v="46247"/>
    <s v="BARRIO CENTRO CAJAMARCA 8"/>
    <n v="28947344"/>
    <m/>
    <s v="3107995307"/>
    <s v="3107995307"/>
    <s v="CR 7 # 8 - 39,CENTRO"/>
    <s v="4.441702"/>
    <s v="-75.428174"/>
    <s v="TOLIMA"/>
    <s v="CAJAMARCA"/>
    <s v="CAJAMARCA"/>
    <n v="73124"/>
    <s v="2025-09-29"/>
    <n v="1"/>
    <s v="IBAGUE"/>
    <x v="1"/>
    <n v="49671.7"/>
    <n v="49671.7"/>
  </r>
  <r>
    <n v="37306"/>
    <s v="BARRIO CENTRO SORACA 1"/>
    <n v="23297275"/>
    <m/>
    <s v="3222381706"/>
    <s v="3222381706"/>
    <s v=" CR 4 4 24 CENTRO"/>
    <s v="5.501"/>
    <s v="-73.33"/>
    <s v="BOYACÁ"/>
    <s v="SORACÁ"/>
    <s v="SORACÁ"/>
    <n v="15764"/>
    <s v="2025-09-29"/>
    <n v="1"/>
    <s v="TUNJA"/>
    <x v="4"/>
    <n v="49671.7"/>
    <n v="49671.7"/>
  </r>
  <r>
    <n v="38260"/>
    <s v="BARRIO ALTO DE LA VIRGEN GUARNE"/>
    <n v="70755479"/>
    <s v="4566177"/>
    <s v="3117637062"/>
    <s v="3117637062"/>
    <s v=" VRD  ALTO DE LA VIRGEN ALTO DE LA VIRGEN"/>
    <s v="6.3213998"/>
    <s v="-75.4619863"/>
    <s v="ANTIOQUIA"/>
    <s v="GUARNE"/>
    <s v="GUARNE"/>
    <n v="5318"/>
    <s v="2025-09-29"/>
    <n v="1"/>
    <s v="MEDELLIN"/>
    <x v="0"/>
    <n v="37313"/>
    <n v="37313"/>
  </r>
  <r>
    <n v="37968"/>
    <s v=" BARRIO BELEN LAS MERCEDES MEDELLIN    1"/>
    <n v="900203203"/>
    <s v="2381583"/>
    <s v="3113779108"/>
    <s v="3136149429"/>
    <s v=" CR 88 31 C 56 BELÉN LAS MERCEDES"/>
    <s v="6.2348118"/>
    <s v="-75.6120903"/>
    <s v="ANTIOQUIA"/>
    <s v="MEDELLÍN"/>
    <s v="MEDELLÍN"/>
    <n v="5001"/>
    <s v="2025-09-29"/>
    <n v="2"/>
    <s v="MEDELLIN"/>
    <x v="0"/>
    <n v="37313"/>
    <n v="74626"/>
  </r>
  <r>
    <n v="48563"/>
    <s v="BARRIO PORTALES DEL NORTE BOGOTA"/>
    <n v="34562572"/>
    <s v="6681502"/>
    <s v="3105408542"/>
    <s v="3105408542"/>
    <s v="CR 58 A 167 58 LC 32"/>
    <s v="4.7499966"/>
    <s v="-74.0596395"/>
    <s v="CUNDINAMARCA"/>
    <s v="BOGOTÁ"/>
    <s v="BOGOTÁ"/>
    <n v="11001"/>
    <s v="2025-09-29"/>
    <n v="1"/>
    <s v="BOGOTA"/>
    <x v="2"/>
    <n v="37313"/>
    <n v="37313"/>
  </r>
  <r>
    <n v="39110"/>
    <s v="BARRIO CENTRO ARMENIA 10"/>
    <n v="89004048"/>
    <m/>
    <s v="3177954214"/>
    <s v="3177954214"/>
    <s v=" CL 19 17 48 CENTRO"/>
    <s v="4.5353039"/>
    <s v="-75.6741640"/>
    <s v="QUINDÍO"/>
    <s v="ARMENIA"/>
    <s v="ARMENIA"/>
    <n v="63001"/>
    <s v="2025-09-29"/>
    <n v="1"/>
    <s v="PEREIRA"/>
    <x v="6"/>
    <n v="37313"/>
    <n v="37313"/>
  </r>
  <r>
    <n v="40348"/>
    <s v="BARRIO CENTRO PURACE 1"/>
    <n v="25627635"/>
    <m/>
    <s v="3104192361"/>
    <s v="3104192361"/>
    <s v="AV PRINCIPAL CORREGIMIENTO PALETARA MUNICIPIO PURACE .DEPARTAMENTO CAUCA,CENTRO"/>
    <s v="2.204035"/>
    <s v="-76.49619"/>
    <s v="CAUCA"/>
    <s v="PURACÉ"/>
    <s v="COCONUCO"/>
    <n v="19585"/>
    <s v="2025-09-29"/>
    <n v="1"/>
    <s v="CALI"/>
    <x v="3"/>
    <n v="37313"/>
    <n v="37313"/>
  </r>
  <r>
    <n v="45646"/>
    <s v="BARRIO CENTRO PAIPA 8"/>
    <n v="1053610231"/>
    <s v="3214718005"/>
    <s v="3214718005"/>
    <s v="3214718005"/>
    <s v="CL 25 20-32,CENTRO"/>
    <s v="5.7803311"/>
    <s v="-73.1173750"/>
    <s v="BOYACÁ"/>
    <s v="PAIPA"/>
    <s v="PAIPA"/>
    <n v="15516"/>
    <s v="2025-09-29"/>
    <n v="1"/>
    <s v="TUNJA"/>
    <x v="4"/>
    <n v="49671.7"/>
    <n v="49671.7"/>
  </r>
  <r>
    <n v="39089"/>
    <s v="BARRIO MANRIQUE MEDELLIN 8"/>
    <n v="32474368"/>
    <m/>
    <s v="3045475557"/>
    <s v="3045475557"/>
    <s v="CR 43 86 - 12"/>
    <s v="6.2787784"/>
    <s v="-75.5512216"/>
    <s v="ANTIOQUIA"/>
    <s v="MEDELLÍN"/>
    <s v="MEDELLÍN"/>
    <n v="5001"/>
    <s v="2025-09-29"/>
    <n v="1"/>
    <s v="MEDELLIN"/>
    <x v="0"/>
    <n v="37313"/>
    <n v="37313"/>
  </r>
  <r>
    <n v="50994"/>
    <s v="BARRIO URB VILLA JULIA DURANIA"/>
    <n v="1094427167"/>
    <s v="0"/>
    <s v="3108016956"/>
    <s v="3108016956"/>
    <s v="AV 2  N  3  47 BRR LA TROJA"/>
    <s v="7.7151366583966565"/>
    <s v="-72.66043850432324"/>
    <s v="NORTE DE SANTANDER"/>
    <s v="DURANIA"/>
    <s v="DURANIA"/>
    <n v="54239"/>
    <s v="2025-09-29"/>
    <n v="1"/>
    <s v="CUCUTA"/>
    <x v="4"/>
    <n v="49671.7"/>
    <n v="49671.7"/>
  </r>
  <r>
    <n v="50139"/>
    <s v="BARRIO LA GALLERA SINCELEJO"/>
    <n v="92545189"/>
    <s v="0"/>
    <s v="3116867019"/>
    <s v="3116867019"/>
    <s v="CR 2 2- 135,LA GALLERA"/>
    <s v="9.2358889"/>
    <s v="-75.4188772"/>
    <s v="SUCRE"/>
    <s v="SINCELEJO"/>
    <s v="SINCELEJO"/>
    <n v="70001"/>
    <s v="2025-09-29"/>
    <n v="1"/>
    <s v="SINCELEJO"/>
    <x v="5"/>
    <n v="49671.7"/>
    <n v="49671.7"/>
  </r>
  <r>
    <n v="39416"/>
    <s v="BARRIO LOS ROSALES SINCELEJO"/>
    <n v="92542433"/>
    <s v="3147078204"/>
    <s v="3114044222"/>
    <s v="3114044222"/>
    <s v=" MZ 1 LT6 LOS ROSALES"/>
    <s v="9.32019"/>
    <s v="-75.39194"/>
    <s v="SUCRE"/>
    <s v="SINCELEJO"/>
    <s v="SINCELEJO"/>
    <n v="70001"/>
    <s v="2025-09-29"/>
    <n v="1"/>
    <s v="SINCELEJO"/>
    <x v="5"/>
    <n v="49671.7"/>
    <n v="49671.7"/>
  </r>
  <r>
    <n v="39503"/>
    <s v="BARRIO FRAY JOAQUIN LA PAZ"/>
    <n v="77039949"/>
    <s v="5770889"/>
    <s v="3017601694"/>
    <s v="3017601694"/>
    <s v=" CR 9 11 A 13 FRAY JOAQUIN"/>
    <s v="10.3875980"/>
    <s v="-73.1692109"/>
    <s v="CESAR"/>
    <s v="LA PAZ"/>
    <s v="ROBLES"/>
    <n v="20621"/>
    <s v="2025-09-29"/>
    <n v="1"/>
    <s v="VALLEDUPAR"/>
    <x v="5"/>
    <n v="49671.7"/>
    <n v="49671.7"/>
  </r>
  <r>
    <n v="52334"/>
    <s v="BARRIO EL PROGRESO BOGOTA 1"/>
    <n v="51866401"/>
    <s v="8043999"/>
    <s v="3107814775"/>
    <s v="3115152205"/>
    <s v="CL 5 19 A- 58"/>
    <s v="4.5997683"/>
    <s v="-74.091595"/>
    <s v="CUNDINAMARCA"/>
    <s v="BOGOTÁ"/>
    <s v="BOGOTÁ"/>
    <n v="11001"/>
    <s v="2025-09-29"/>
    <n v="1"/>
    <s v="BOGOTA"/>
    <x v="2"/>
    <n v="37313"/>
    <n v="37313"/>
  </r>
  <r>
    <n v="51554"/>
    <s v="BARRIO VILLA LOMA BOGOTA"/>
    <n v="1022397717"/>
    <s v="4535553"/>
    <s v="3142853785"/>
    <s v="3223546806"/>
    <s v="CR 82 A 42 C 27 SUR.VILLA LOMA"/>
    <s v="4.6277392"/>
    <s v="-74.1682723"/>
    <s v="CUNDINAMARCA"/>
    <s v="BOGOTÁ"/>
    <s v="BOGOTÁ"/>
    <n v="11001"/>
    <s v="2025-09-29"/>
    <n v="1"/>
    <s v="BOGOTA"/>
    <x v="2"/>
    <n v="37313"/>
    <n v="37313"/>
  </r>
  <r>
    <n v="50450"/>
    <s v="BARRIO VILLA SAN PABLO CARIBE VERDE BARRANQUILLA"/>
    <n v="1140836624"/>
    <s v="3013565489"/>
    <s v="3008218342"/>
    <s v="3013565489"/>
    <s v="CR 28 143 105,VILLA SAN PABLO - CARIBE VERDE"/>
    <s v="10.95928"/>
    <s v="-74.86360"/>
    <s v="ATLÁNTICO"/>
    <s v="BARRANQUILLA"/>
    <s v="BARRANQUILLA"/>
    <n v="8001"/>
    <s v="2025-09-29"/>
    <n v="1"/>
    <s v="BARRANQUILLA"/>
    <x v="5"/>
    <n v="37313"/>
    <n v="37313"/>
  </r>
  <r>
    <n v="45897"/>
    <s v="BARRIO TOSCANA MANIZALES"/>
    <n v="10270015"/>
    <s v="8903512"/>
    <s v="3117489754"/>
    <s v="3117489754"/>
    <s v="CR 15 A 63 B 62 NINGUNO,TOSCANA"/>
    <s v="5.0607088"/>
    <s v="-75.481009"/>
    <s v="CALDAS"/>
    <s v="MANIZALES"/>
    <s v="MANIZALES"/>
    <n v="17001"/>
    <s v="2025-09-29"/>
    <n v="1"/>
    <s v="MANIZALES"/>
    <x v="6"/>
    <n v="49671.7"/>
    <n v="49671.7"/>
  </r>
  <r>
    <n v="47802"/>
    <s v="BARRIO VILLA NELLY BOGOTA"/>
    <n v="53081356"/>
    <s v="3133394643"/>
    <s v="3133394643"/>
    <s v="3133394643"/>
    <s v="CL 42 A # 80 D - 33 SUR,VILLA NELLY"/>
    <s v="4.6237036"/>
    <s v="-74.1641334"/>
    <s v="CUNDINAMARCA"/>
    <s v="BOGOTÁ"/>
    <s v="BOGOTÁ"/>
    <n v="11001"/>
    <s v="2025-09-29"/>
    <n v="1"/>
    <s v="BOGOTA"/>
    <x v="2"/>
    <n v="37313"/>
    <n v="37313"/>
  </r>
  <r>
    <n v="54897"/>
    <s v="BARRIO VEREDA CUROS SAN MIGUEL BAJO PIEDECUESTA"/>
    <n v="1102393118"/>
    <s v="3124119359"/>
    <s v="3124119359"/>
    <s v="3124119359"/>
    <s v="VEREDA CUROS SAN MIGUEL BAJO,"/>
    <s v="6.9181370"/>
    <s v="-73.0064993"/>
    <s v="SANTANDER"/>
    <s v="PIEDECUESTA"/>
    <s v="PIEDECUESTA"/>
    <n v="68547"/>
    <s v="2025-09-29"/>
    <n v="1"/>
    <s v="BUCARAMANGA"/>
    <x v="4"/>
    <n v="37313"/>
    <n v="37313"/>
  </r>
  <r>
    <n v="54527"/>
    <s v="BARRIO VILLAS DE SAN JUAN PIEDECUESTA 1"/>
    <n v="1102358147"/>
    <s v="6541381"/>
    <s v="3007445908"/>
    <s v="3007445908"/>
    <s v="MZ D CA 27,BRR VILLAS DE SAN JUAN"/>
    <s v="7.00213692"/>
    <s v="-73.050922"/>
    <s v="SANTANDER"/>
    <s v="PIEDECUESTA"/>
    <s v="PIEDECUESTA"/>
    <n v="68547"/>
    <s v="2025-09-29"/>
    <n v="1"/>
    <s v="BUCARAMANGA"/>
    <x v="4"/>
    <n v="37313"/>
    <n v="37313"/>
  </r>
  <r>
    <n v="54096"/>
    <s v="BARRIO AVENIDA FERROCARRIL PEREIRA"/>
    <n v="1089744136"/>
    <s v="3448890"/>
    <s v="3142877808"/>
    <s v="3147555965"/>
    <s v="CRA 12  12 39"/>
    <s v="4.8098573"/>
    <s v="-75.689213"/>
    <s v="RISARALDA"/>
    <s v="PEREIRA"/>
    <s v="PEREIRA"/>
    <n v="66001"/>
    <s v="2025-09-29"/>
    <n v="1"/>
    <s v="PEREIRA"/>
    <x v="6"/>
    <n v="37313"/>
    <n v="37313"/>
  </r>
  <r>
    <n v="54719"/>
    <s v="BARRIO VILLA LA TORRE BOGOTA 3"/>
    <n v="1030610954"/>
    <s v="5173728"/>
    <s v="3144005402"/>
    <s v="3144005402"/>
    <s v="DG 42 A # 81C 05 SUR"/>
    <s v="4.6260517"/>
    <s v="-74.1657578"/>
    <s v="CUNDINAMARCA"/>
    <s v="BOGOTÁ"/>
    <s v="BOGOTÁ"/>
    <n v="11001"/>
    <s v="2025-09-29"/>
    <n v="1"/>
    <s v="BOGOTA"/>
    <x v="2"/>
    <n v="37313"/>
    <n v="37313"/>
  </r>
  <r>
    <n v="55673"/>
    <s v="BARRIO CENTRO PAMPLONA 14"/>
    <n v="88160556"/>
    <s v="0"/>
    <s v="3175571180"/>
    <s v="3175571180"/>
    <s v="CL 7 # 6 -15 CE SAN ANDRESITO  LC Z-19"/>
    <s v="7.3748533"/>
    <s v="-72.6481245"/>
    <s v="NORTE DE SANTANDER"/>
    <s v="PAMPLONA"/>
    <s v="PAMPLONA"/>
    <n v="54518"/>
    <s v="2025-09-29"/>
    <n v="2"/>
    <s v="CUCUTA"/>
    <x v="4"/>
    <n v="49671.7"/>
    <n v="99343.4"/>
  </r>
  <r>
    <n v="54094"/>
    <s v="BARRIO CENTRO PAMPLONA 12"/>
    <n v="60264334"/>
    <s v="0"/>
    <s v="3133917459"/>
    <s v="3133917459"/>
    <s v="CL 5 5-17,CENTRO"/>
    <s v="7.3771283"/>
    <s v="-72.6482497"/>
    <s v="NORTE DE SANTANDER"/>
    <s v="PAMPLONA"/>
    <s v="PAMPLONA"/>
    <n v="54518"/>
    <s v="2025-09-29"/>
    <n v="1"/>
    <s v="CUCUTA"/>
    <x v="4"/>
    <n v="49671.7"/>
    <n v="49671.7"/>
  </r>
  <r>
    <n v="56094"/>
    <s v="BARRIO LOS ROSALES PAIPA"/>
    <n v="1053604574"/>
    <s v="3104771929"/>
    <s v="3104771929"/>
    <s v="3104771929"/>
    <s v="CL 24 NO.24-43,BRR LOS ROSALES"/>
    <s v="5.783970"/>
    <s v="-73.117788"/>
    <s v="BOYACÁ"/>
    <s v="PAIPA"/>
    <s v="PAIPA"/>
    <n v="15516"/>
    <s v="2025-09-29"/>
    <n v="1"/>
    <s v="TUNJA"/>
    <x v="4"/>
    <n v="49671.7"/>
    <n v="49671.7"/>
  </r>
  <r>
    <n v="57115"/>
    <s v="BARRIO LUZ DEL PARAISO PIENDAMO"/>
    <n v="1010116272"/>
    <s v="0"/>
    <s v="3234421923"/>
    <s v="3234421923"/>
    <s v="CL 4  4- 99 TUNIA FRENTE AL PARQUE PRINCIPAL"/>
    <s v="2.676584"/>
    <s v="-76.534274"/>
    <s v="CAUCA"/>
    <s v="PIENDAMÓ"/>
    <s v="PIENDAMÓ"/>
    <n v="19548"/>
    <s v="2025-09-29"/>
    <n v="1"/>
    <s v="CALI"/>
    <x v="3"/>
    <n v="37313"/>
    <n v="37313"/>
  </r>
  <r>
    <n v="58347"/>
    <s v="BARRIO EL CENTRO LOURDES 1"/>
    <n v="27748818"/>
    <s v="3103846290"/>
    <s v="3103846290"/>
    <s v="3103846290"/>
    <s v="AV 5 NO 4-76,EL CENTRO"/>
    <s v="7.9453318"/>
    <s v="-72.8328408"/>
    <s v="NORTE DE SANTANDER"/>
    <s v="LOURDES"/>
    <s v="LOURDES"/>
    <n v="54418"/>
    <s v="2025-09-29"/>
    <n v="1"/>
    <s v="CUCUTA"/>
    <x v="4"/>
    <n v="49671.7"/>
    <n v="49671.7"/>
  </r>
  <r>
    <n v="58534"/>
    <s v="BARRIO LA MADRID VILLAVICENCIO 4"/>
    <n v="1136909792"/>
    <s v="3123673323"/>
    <s v="3123673323"/>
    <s v="3123673323"/>
    <s v="SM 4 MZ 5 CA 30 BRR MADRID QUINTA ETAPA"/>
    <s v="4.0505274"/>
    <s v="-73.6735883"/>
    <s v="META"/>
    <s v="VILLAVICENCIO"/>
    <s v="VILLAVICENCIO"/>
    <n v="50001"/>
    <s v="2025-09-29"/>
    <n v="1"/>
    <s v="VILLAVICENCIO"/>
    <x v="1"/>
    <n v="49671.7"/>
    <n v="49671.7"/>
  </r>
  <r>
    <n v="59050"/>
    <s v="BARRIO MONTECARLO ALTO"/>
    <n v="1118532147"/>
    <s v="3203068400"/>
    <s v="3203068400"/>
    <s v="3203068400"/>
    <s v="CR 48 N 23 SUR 05 MONTECARLO ALTO"/>
    <s v="4.1061622"/>
    <s v="-73.6563922"/>
    <s v="META"/>
    <s v="VILLAVICENCIO"/>
    <s v="VILLAVICENCIO"/>
    <n v="50001"/>
    <s v="2025-09-29"/>
    <n v="1"/>
    <s v="VILLAVICENCIO"/>
    <x v="1"/>
    <n v="49671.7"/>
    <n v="49671.7"/>
  </r>
  <r>
    <n v="59184"/>
    <s v="BARRIO LLANO DE BOLIVAR SANTA FE DE ANTIOQUIA"/>
    <n v="1038817417"/>
    <s v="0"/>
    <s v="3228933939"/>
    <s v="3228933939"/>
    <s v="CL 14 11 75 BRR LLANO DE BOLÍVAR"/>
    <s v="6.561040"/>
    <s v=" -75.827667"/>
    <s v="ANTIOQUIA"/>
    <s v="SANTA FÉ DE ANTIOQUIA"/>
    <s v="SANTA FÉ DE ANTIOQUIA"/>
    <n v="5042"/>
    <s v="2025-09-29"/>
    <n v="1"/>
    <s v="MEDELLIN"/>
    <x v="0"/>
    <n v="37313"/>
    <n v="37313"/>
  </r>
  <r>
    <n v="55737"/>
    <s v="BARRIO CENTRO ARMENIA 19"/>
    <n v="1094925005"/>
    <s v="7312031"/>
    <s v="3113528368"/>
    <s v="3113528368"/>
    <s v="CL 15 14 45 LC 1"/>
    <s v="4.535605021618"/>
    <s v="-75.6708695726"/>
    <s v="QUINDÍO"/>
    <s v="ARMENIA"/>
    <s v="ARMENIA"/>
    <n v="63001"/>
    <s v="2025-09-29"/>
    <n v="1"/>
    <s v="PEREIRA"/>
    <x v="6"/>
    <n v="37313"/>
    <n v="37313"/>
  </r>
  <r>
    <n v="56425"/>
    <s v="BARRIO SAN AGUSTIN PAMPLONA 3"/>
    <n v="1094281046"/>
    <s v="0"/>
    <s v="3014444712"/>
    <s v="3014444712"/>
    <s v="CR 5 1 B-115, SAN AGUSTIN"/>
    <s v="7.379964"/>
    <s v="-72.64677703"/>
    <s v="NORTE DE SANTANDER"/>
    <s v="PAMPLONA"/>
    <s v="PAMPLONA"/>
    <n v="54518"/>
    <s v="2025-09-29"/>
    <n v="1"/>
    <s v="CUCUTA"/>
    <x v="4"/>
    <n v="49671.7"/>
    <n v="49671.7"/>
  </r>
  <r>
    <n v="59534"/>
    <s v="BARRIO LLERAS YUMBO 1"/>
    <n v="1118296437"/>
    <s v="0"/>
    <s v="3134794291"/>
    <s v="3137218160"/>
    <s v="CL 9 N 4 34,LLERAS"/>
    <s v="3.5888921"/>
    <s v="-76.4915546"/>
    <s v="VALLE DEL CAUCA"/>
    <s v="YUMBO"/>
    <s v="YUMBO"/>
    <n v="76892"/>
    <s v="2025-09-29"/>
    <n v="1"/>
    <s v="CALI"/>
    <x v="3"/>
    <n v="37313"/>
    <n v="37313"/>
  </r>
  <r>
    <n v="60786"/>
    <s v="BARRIO SANTA CRUZ MEDELLIN 14"/>
    <n v="71451031"/>
    <s v="2144205"/>
    <s v="3003175695"/>
    <s v="3003175695"/>
    <s v="CR 44 98 46,SANTA CRUZ"/>
    <s v="6.2893603"/>
    <s v="-75.5505128"/>
    <s v="ANTIOQUIA"/>
    <s v="MEDELLÍN"/>
    <s v="MEDELLÍN"/>
    <n v="5001"/>
    <s v="2025-09-29"/>
    <n v="1"/>
    <s v="MEDELLIN"/>
    <x v="0"/>
    <n v="37313"/>
    <n v="37313"/>
  </r>
  <r>
    <n v="60862"/>
    <s v="BARRIO CENTRO PAMPLONA 16"/>
    <n v="60265605"/>
    <s v="0"/>
    <s v="3114893955"/>
    <s v="3114893955"/>
    <s v="CR 5 7-52,CENTRO"/>
    <s v="7.374792777"/>
    <s v="-72.6497497"/>
    <s v="NORTE DE SANTANDER"/>
    <s v="PAMPLONA"/>
    <s v="PAMPLONA"/>
    <n v="54518"/>
    <s v="2025-09-29"/>
    <n v="1"/>
    <s v="CUCUTA"/>
    <x v="4"/>
    <n v="49671.7"/>
    <n v="49671.7"/>
  </r>
  <r>
    <n v="59345"/>
    <s v="BARRIO CARIBE VERDE BARRANQUILLA 3"/>
    <n v="22731725"/>
    <s v="4013717"/>
    <s v="3012119440"/>
    <s v="3012119440"/>
    <s v="CL 136 9 160 AP 101"/>
    <s v="10.9561867"/>
    <s v="-74.8585833"/>
    <s v="ATLÁNTICO"/>
    <s v="BARRANQUILLA"/>
    <s v="BARRANQUILLA"/>
    <n v="8001"/>
    <s v="2025-09-29"/>
    <n v="2"/>
    <s v="BARRANQUILLA"/>
    <x v="5"/>
    <n v="37313"/>
    <n v="74626"/>
  </r>
  <r>
    <n v="60495"/>
    <s v="BARRIO EL CENTRO DURANIA1"/>
    <n v="88003136"/>
    <s v="0"/>
    <s v="3107845945"/>
    <s v="3107845945"/>
    <s v="AV 2 6-03,EL CENTRO"/>
    <s v="7.7150223"/>
    <s v="-72.6588331"/>
    <s v="NORTE DE SANTANDER"/>
    <s v="DURANIA"/>
    <s v="DURANIA"/>
    <n v="54239"/>
    <s v="2025-09-29"/>
    <n v="1"/>
    <s v="CUCUTA"/>
    <x v="4"/>
    <n v="49671.7"/>
    <n v="49671.7"/>
  </r>
  <r>
    <n v="61191"/>
    <s v="BARRIO LA MOCHILA LA PAZ"/>
    <n v="1065647596"/>
    <s v="3162929660"/>
    <s v="3045227910"/>
    <s v="3045227910"/>
    <s v="CL 3 5 22 CRR SAN JOSE DE ORIENTE,LA MOCHILA"/>
    <s v="10.3501591"/>
    <s v="-73.0430968"/>
    <s v="CESAR"/>
    <s v="LA PAZ"/>
    <s v="ROBLES"/>
    <n v="20621"/>
    <s v="2025-09-29"/>
    <n v="1"/>
    <s v="VALLEDUPAR"/>
    <x v="5"/>
    <n v="49671.7"/>
    <n v="49671.7"/>
  </r>
  <r>
    <n v="61869"/>
    <s v="BARRIO CENTRO ARMENIA 21"/>
    <n v="1094904074"/>
    <s v="3167081253"/>
    <s v="3167081253"/>
    <s v="3167081253"/>
    <s v="CR 18 13 53"/>
    <s v="4.537666"/>
    <s v="-75.671800"/>
    <s v="QUINDÍO"/>
    <s v="ARMENIA"/>
    <s v="ARMENIA"/>
    <n v="63001"/>
    <s v="2025-09-29"/>
    <n v="1"/>
    <s v="PEREIRA"/>
    <x v="6"/>
    <n v="37313"/>
    <n v="37313"/>
  </r>
  <r>
    <n v="59148"/>
    <s v="BARRIO ALBORADA VILLAVICENCIO 4"/>
    <n v="40414861"/>
    <s v="3117167520"/>
    <s v="3228792613"/>
    <s v="3117167520"/>
    <s v="CL 5 B 28 - 10 LOC 1 BRR ALBORADA"/>
    <s v="4.122848"/>
    <s v="-73.624551"/>
    <s v="META"/>
    <s v="VILLAVICENCIO"/>
    <s v="VILLAVICENCIO"/>
    <n v="50001"/>
    <s v="2025-09-29"/>
    <n v="1"/>
    <s v="VILLAVICENCIO"/>
    <x v="1"/>
    <n v="49671.7"/>
    <n v="49671.7"/>
  </r>
  <r>
    <n v="59363"/>
    <s v="BARRIO VIA MOÑITOS MONTERIA"/>
    <n v="1045420771"/>
    <s v="3044415671"/>
    <s v="3044415671"/>
    <s v="3044415671"/>
    <s v="CR 1 CLL 1 5 VÍA MOÑITOS,VIA MOÑITOS"/>
    <s v="8.50348036"/>
    <s v="-76.02122244"/>
    <s v="CÓRDOBA"/>
    <s v="MONTERÍA"/>
    <s v="MONTERÍA"/>
    <n v="23001"/>
    <s v="2025-09-29"/>
    <n v="1"/>
    <s v="MONTERIA"/>
    <x v="5"/>
    <n v="37313"/>
    <n v="37313"/>
  </r>
  <r>
    <n v="60332"/>
    <s v="BARRIO RECREO VILLAVICENCIO 1"/>
    <n v="1121937598"/>
    <s v="3226662044"/>
    <s v="3226662044"/>
    <s v="3158550905"/>
    <s v="CR 11 N 30 A 21 MANZANA S CASA 16 BARRIO RECREÓ 1 ETAPA,RECREO"/>
    <s v="4.1432"/>
    <s v="-73.6112"/>
    <s v="META"/>
    <s v="VILLAVICENCIO"/>
    <s v="VILLAVICENCIO"/>
    <n v="50001"/>
    <s v="2025-09-29"/>
    <n v="1"/>
    <s v="VILLAVICENCIO"/>
    <x v="1"/>
    <n v="49671.7"/>
    <n v="49671.7"/>
  </r>
  <r>
    <n v="62265"/>
    <s v="BARRIO DOS MIL VILLAVICENCIO 3"/>
    <n v="1098767394"/>
    <s v="3102429867"/>
    <s v="3102429867"/>
    <s v="3155441635"/>
    <s v="CR 19 NRO 18 A 38 BRR DOS MIL - DOS MIL,DOS MIL"/>
    <s v="4.1491688"/>
    <s v="-73.6285475"/>
    <s v="META"/>
    <s v="VILLAVICENCIO"/>
    <s v="VILLAVICENCIO"/>
    <n v="50001"/>
    <s v="2025-09-29"/>
    <n v="1"/>
    <s v="VILLAVICENCIO"/>
    <x v="1"/>
    <n v="49671.7"/>
    <n v="49671.7"/>
  </r>
  <r>
    <n v="65750"/>
    <s v="BARRIO VEREDA MORINDO SANTO DOMINGO MONTERIA"/>
    <n v="1063651425"/>
    <s v="3136014926"/>
    <s v="3136014926"/>
    <s v="3136014926"/>
    <s v="CR 1 CLL 1 203,VEREDA MORINDO SANTO DOMINGO"/>
    <s v="8.915879"/>
    <s v="-76.158782"/>
    <s v="CÓRDOBA"/>
    <s v="MONTERÍA"/>
    <s v="MONTERÍA"/>
    <n v="23001"/>
    <s v="2025-09-29"/>
    <n v="1"/>
    <s v="MONTERIA"/>
    <x v="5"/>
    <n v="37313"/>
    <n v="37313"/>
  </r>
  <r>
    <n v="65799"/>
    <s v="BARRIO LA FLORIDA PEREIRA"/>
    <n v="42009100"/>
    <s v="0"/>
    <s v="3218176547"/>
    <s v="3148068166"/>
    <s v="CR 13 99 E 02 CGT LA FLORIDA"/>
    <s v="4.75861805"/>
    <s v="-75.611733055"/>
    <s v="RISARALDA"/>
    <s v="PEREIRA"/>
    <s v="PEREIRA"/>
    <n v="66001"/>
    <s v="2025-09-29"/>
    <n v="1"/>
    <s v="PEREIRA"/>
    <x v="6"/>
    <n v="37313"/>
    <n v="37313"/>
  </r>
  <r>
    <n v="65906"/>
    <s v="BARRIO CENTRO CAJAMARCA 10"/>
    <n v="28947533"/>
    <s v="3133543303"/>
    <s v="0"/>
    <s v="3133543303"/>
    <s v="CR 8 8 32,CENTRO"/>
    <s v="4.4424264"/>
    <s v="-75.4281470"/>
    <s v="TOLIMA"/>
    <s v="CAJAMARCA"/>
    <s v="CAJAMARCA"/>
    <n v="73124"/>
    <s v="2025-09-29"/>
    <n v="1"/>
    <s v="IBAGUE"/>
    <x v="1"/>
    <n v="49671.7"/>
    <n v="49671.7"/>
  </r>
  <r>
    <n v="62183"/>
    <s v="BARRIO EL CENTRO GRAMALOTE"/>
    <n v="27719445"/>
    <s v="3222316144"/>
    <s v="3222316144"/>
    <s v="3102884053"/>
    <s v="MZ 3 CASA 19,EL CENTRO"/>
    <s v="7.8878061"/>
    <s v="-72.7977203"/>
    <s v="NORTE DE SANTANDER"/>
    <s v="GRAMALOTE"/>
    <s v="GRAMALOTE"/>
    <n v="54313"/>
    <s v="2025-09-29"/>
    <n v="1"/>
    <s v="CUCUTA"/>
    <x v="4"/>
    <n v="49671.7"/>
    <n v="49671.7"/>
  </r>
  <r>
    <n v="62407"/>
    <s v="BARRIO SANTO TOMAS PAMPLONA"/>
    <n v="37441368"/>
    <s v="0"/>
    <s v="3042908849"/>
    <s v="3042908849"/>
    <s v="CR 9 CA 3 LT 3 SANTO TOMAS"/>
    <s v="7.365714"/>
    <s v="-72.646881"/>
    <s v="NORTE DE SANTANDER"/>
    <s v="PAMPLONA"/>
    <s v="PAMPLONA"/>
    <n v="54518"/>
    <s v="2025-09-29"/>
    <n v="1"/>
    <s v="CUCUTA"/>
    <x v="4"/>
    <n v="49671.7"/>
    <n v="49671.7"/>
  </r>
  <r>
    <n v="40162"/>
    <s v="BARRIO LAGOS 3 FLORIDABLANCA"/>
    <n v="37745046"/>
    <s v="6680713"/>
    <s v="3005587179"/>
    <s v="3123522819"/>
    <s v="CR 6 28 26,LAGOS 3"/>
    <s v="7.0711710"/>
    <s v="-73.0980060"/>
    <s v="SANTANDER"/>
    <s v="FLORIDABLANCA"/>
    <s v="FLORIDABLANCA"/>
    <n v="68276"/>
    <s v="2025-09-29"/>
    <n v="1"/>
    <s v="BUCARAMANGA"/>
    <x v="4"/>
    <n v="37313"/>
    <n v="37313"/>
  </r>
  <r>
    <n v="62409"/>
    <s v="BARRIO LA PAZ FLORIDABLANCA 4"/>
    <n v="1102373286"/>
    <s v="3053469672"/>
    <s v="3053469672"/>
    <s v="3053469672"/>
    <s v="CL 200 18 38,BRR LA PAZ"/>
    <s v="7.0615600"/>
    <s v="-73.0978050"/>
    <s v="SANTANDER"/>
    <s v="FLORIDABLANCA"/>
    <s v="FLORIDABLANCA"/>
    <n v="68276"/>
    <s v="2025-09-29"/>
    <n v="1"/>
    <s v="BUCARAMANGA"/>
    <x v="4"/>
    <n v="37313"/>
    <n v="37313"/>
  </r>
  <r>
    <n v="62255"/>
    <s v="BARRIO SOPETRAN SOPETRAN"/>
    <n v="42974039"/>
    <s v="0"/>
    <s v="3137979053"/>
    <s v="3213228894"/>
    <s v="CR 10 11 17"/>
    <s v="6.502290"/>
    <s v="-75.742244"/>
    <s v="ANTIOQUIA"/>
    <s v="SOPETRÁN"/>
    <s v="SOPETRÁN"/>
    <n v="5761"/>
    <s v="2025-09-29"/>
    <n v="1"/>
    <s v="MEDELLIN"/>
    <x v="0"/>
    <n v="37313"/>
    <n v="37313"/>
  </r>
  <r>
    <n v="62321"/>
    <s v="BARRIO MARANATHA VILLAVICENCIO 2"/>
    <n v="30394422"/>
    <s v="3135286457"/>
    <s v="3135286457"/>
    <s v="3135286457"/>
    <s v="CL 19 43 A 04 LC 3 BRR MARANATHA,MARANATHA"/>
    <s v="4.106610"/>
    <s v="-73.649856"/>
    <s v="META"/>
    <s v="VILLAVICENCIO"/>
    <s v="VILLAVICENCIO"/>
    <n v="50001"/>
    <s v="2025-09-29"/>
    <n v="1"/>
    <s v="VILLAVICENCIO"/>
    <x v="1"/>
    <n v="49671.7"/>
    <n v="49671.7"/>
  </r>
  <r>
    <n v="66395"/>
    <s v="BARRIO LA CUMBRE SAMACA"/>
    <n v="1056802183"/>
    <s v="3204141619"/>
    <s v="3204141619"/>
    <s v="3204141619"/>
    <s v="VRD TIBAQUIRA,SECTOR LA CUMBRE,LA CUMBRE"/>
    <s v="5.485615"/>
    <s v="-73.4666567"/>
    <s v="BOYACÁ"/>
    <s v="SAMACÁ"/>
    <s v="SAMACÁ"/>
    <n v="15646"/>
    <s v="2025-09-29"/>
    <n v="1"/>
    <s v="TUNJA"/>
    <x v="4"/>
    <n v="49671.7"/>
    <n v="49671.7"/>
  </r>
  <r>
    <n v="60074"/>
    <s v="BARRIO VEREDA KM 15 MONTERIA"/>
    <n v="71003977"/>
    <s v="3007435999"/>
    <s v="3007435999"/>
    <s v="3007435999"/>
    <s v="CL 4 5 A 20 VEREDA KM 15 CORREGIMIENTO EL CERRITO"/>
    <s v="8.652305"/>
    <s v="-75.782681"/>
    <s v="CÓRDOBA"/>
    <s v="MONTERÍA"/>
    <s v="MONTERÍA"/>
    <n v="23001"/>
    <s v="2025-09-29"/>
    <n v="1"/>
    <s v="MONTERIA"/>
    <x v="5"/>
    <n v="37313"/>
    <n v="37313"/>
  </r>
  <r>
    <n v="44027"/>
    <s v="BARRIO CENTRO CANDELARIA"/>
    <n v="38644341"/>
    <m/>
    <s v="3167868223"/>
    <s v="3167868223"/>
    <s v="CR 10 12 02 CORR EL CARMELO,CENTRO"/>
    <s v="3.4015052"/>
    <s v="-76.4175471"/>
    <s v="VALLE DEL CAUCA"/>
    <s v="CANDELARIA"/>
    <s v="CANDELARIA"/>
    <n v="76130"/>
    <s v="2025-09-29"/>
    <n v="1"/>
    <s v="CALI"/>
    <x v="3"/>
    <n v="37313"/>
    <n v="37313"/>
  </r>
  <r>
    <n v="46248"/>
    <s v="BARRIO LAS FERIAS CAJAMARCA 1"/>
    <n v="1105613027"/>
    <m/>
    <s v="3118889275"/>
    <s v="3138014327"/>
    <s v="CR 3 # 14-23,LAS FERIAS"/>
    <s v="4.4425399"/>
    <s v="-75.2388017"/>
    <s v="TOLIMA"/>
    <s v="CAJAMARCA"/>
    <s v="CAJAMARCA"/>
    <n v="73124"/>
    <s v="2025-09-29"/>
    <n v="1"/>
    <s v="IBAGUE"/>
    <x v="1"/>
    <n v="49671.7"/>
    <n v="49671.7"/>
  </r>
  <r>
    <n v="59857"/>
    <s v="BARRIO PAMPLONA PAMPLONA 2"/>
    <n v="60420536"/>
    <s v="0"/>
    <s v="3156275752"/>
    <s v="3016829654"/>
    <s v="CL 3 7-55 LOCAL 2,PAMPLONA"/>
    <s v="7.3778236"/>
    <s v="-72.6450355"/>
    <s v="NORTE DE SANTANDER"/>
    <s v="PAMPLONA"/>
    <s v="PAMPLONA"/>
    <n v="54518"/>
    <s v="2025-09-29"/>
    <n v="1"/>
    <s v="CUCUTA"/>
    <x v="4"/>
    <n v="49671.7"/>
    <n v="49671.7"/>
  </r>
  <r>
    <n v="59877"/>
    <s v="BARRIO POBLADO CAMPESTRE CANDELARIA 3"/>
    <n v="1144154961"/>
    <s v="0"/>
    <s v="3246336140"/>
    <s v="3044720987"/>
    <s v="CL 19 34 C 22 P1 LOC 1 POBLADO CAMPESTRE MANZANA 8 CASA 66,POBLADO CAMPESTRE"/>
    <s v="3.4097636"/>
    <s v="-76.4553559"/>
    <s v="VALLE DEL CAUCA"/>
    <s v="CANDELARIA"/>
    <s v="CANDELARIA"/>
    <n v="76130"/>
    <s v="2025-09-29"/>
    <n v="1"/>
    <s v="CALI"/>
    <x v="3"/>
    <n v="37313"/>
    <n v="37313"/>
  </r>
  <r>
    <n v="65498"/>
    <s v="BARRIO LOS ROBLES FLORIDABLANCA"/>
    <n v="1095791157"/>
    <s v="3208755777"/>
    <s v="3208755777"/>
    <s v="3163243304"/>
    <s v="CL 56 A 12 04,LOS ROBLES"/>
    <s v="7.087756"/>
    <s v="-73.0931835"/>
    <s v="SANTANDER"/>
    <s v="FLORIDABLANCA"/>
    <s v="FLORIDABLANCA"/>
    <n v="68276"/>
    <s v="2025-09-29"/>
    <n v="1"/>
    <s v="BUCARAMANGA"/>
    <x v="4"/>
    <n v="37313"/>
    <n v="37313"/>
  </r>
  <r>
    <n v="65793"/>
    <s v="BARRIO OASIS NEIVA"/>
    <n v="1075303927"/>
    <s v="8704136"/>
    <s v="3223739817"/>
    <s v="3223739817"/>
    <s v="CL 24 BIS SUR36 A 26,OASIS"/>
    <s v="2.904875"/>
    <s v="-75.263425"/>
    <s v="HUILA"/>
    <s v="NEIVA"/>
    <s v="NEIVA"/>
    <n v="41001"/>
    <s v="2025-09-29"/>
    <n v="1"/>
    <s v="NEIVA"/>
    <x v="1"/>
    <n v="49671.7"/>
    <n v="49671.7"/>
  </r>
  <r>
    <n v="67058"/>
    <s v="BARRIO CASTELLANA 1 PIEDECUESTA"/>
    <n v="1102365906"/>
    <s v="3107902876"/>
    <s v="3153182844"/>
    <s v="3107902876"/>
    <s v="CL 1 8 A 38,CASTELLANA I"/>
    <s v="6.99050548"/>
    <s v="-73.5203543"/>
    <s v="SANTANDER"/>
    <s v="PIEDECUESTA"/>
    <s v="PIEDECUESTA"/>
    <n v="68547"/>
    <s v="2025-09-29"/>
    <n v="1"/>
    <s v="BUCARAMANGA"/>
    <x v="4"/>
    <n v="37313"/>
    <n v="37313"/>
  </r>
  <r>
    <n v="68842"/>
    <s v="BARRIO GUACANDA YUMBO"/>
    <n v="31482298"/>
    <s v="0"/>
    <s v="0"/>
    <s v="3188605870"/>
    <s v="CL 15  3 N 28,GUACANDA"/>
    <s v="3.5879158"/>
    <s v="-76.4865803"/>
    <s v="VALLE DEL CAUCA"/>
    <s v="YUMBO"/>
    <s v="YUMBO"/>
    <n v="76892"/>
    <s v="2025-09-29"/>
    <n v="1"/>
    <s v="CALI"/>
    <x v="3"/>
    <n v="37313"/>
    <n v="37313"/>
  </r>
  <r>
    <n v="65764"/>
    <s v="BARRIO ARGENTINA  ANTIGUA PIEDECUESTA"/>
    <n v="71771001"/>
    <s v="3185088764"/>
    <s v="3185486189"/>
    <s v="3185486189"/>
    <s v="CL 3 6 22,ARGENTINA ANTIGUA"/>
    <s v="6.99011890"/>
    <s v="-73.0531100"/>
    <s v="SANTANDER"/>
    <s v="PIEDECUESTA"/>
    <s v="PIEDECUESTA"/>
    <n v="68547"/>
    <s v="2025-09-29"/>
    <n v="1"/>
    <s v="BUCARAMANGA"/>
    <x v="4"/>
    <n v="37313"/>
    <n v="37313"/>
  </r>
  <r>
    <n v="69606"/>
    <s v="BARRIO CENTRO BUESACO 3"/>
    <n v="27142150"/>
    <s v="3147669064"/>
    <s v="3147669064"/>
    <s v="3147669064"/>
    <s v="BRR CENTRO NORTE CRA 3 NO. 5 -29"/>
    <s v="1.386778"/>
    <s v="-77.156115"/>
    <s v="NARIÑO"/>
    <s v="BUESACO"/>
    <s v="BUESACO"/>
    <n v="52110"/>
    <s v="2025-09-29"/>
    <n v="1"/>
    <s v="PASTO"/>
    <x v="3"/>
    <n v="49671.7"/>
    <n v="49671.7"/>
  </r>
  <r>
    <n v="59761"/>
    <s v="BARRIO SAN ANTONIO BOGOTA 5"/>
    <n v="1110172107"/>
    <s v="7061089"/>
    <s v="3125503635"/>
    <s v="3125503635"/>
    <s v="AV CARACAS NO. 2 81 SUR"/>
    <s v="4.5898246"/>
    <s v="-74.0914555"/>
    <s v="CUNDINAMARCA"/>
    <s v="BOGOTÁ"/>
    <s v="BOGOTÁ"/>
    <n v="11001"/>
    <s v="2025-09-29"/>
    <n v="1"/>
    <s v="BOGOTA"/>
    <x v="2"/>
    <n v="37313"/>
    <n v="37313"/>
  </r>
  <r>
    <n v="71194"/>
    <s v="BARRIO CENTRO PIENDAMO 4"/>
    <n v="1061814666"/>
    <s v="3148445960"/>
    <s v="3148445960"/>
    <s v="3148445960"/>
    <s v="CR 7 8 - 34"/>
    <s v="2.6396538"/>
    <s v="-76.5288293"/>
    <s v="CAUCA"/>
    <s v="PIENDAMÓ"/>
    <s v="PIENDAMÓ"/>
    <n v="19548"/>
    <s v="2025-09-29"/>
    <n v="1"/>
    <s v="CALI"/>
    <x v="3"/>
    <n v="37313"/>
    <n v="37313"/>
  </r>
  <r>
    <n v="71813"/>
    <s v="EL PARAISO SAMACA"/>
    <n v="1056801570"/>
    <s v="3204443201"/>
    <s v="3204443201"/>
    <s v="3204443201"/>
    <s v="CL 6 A 3 96,EL PARAÍSO"/>
    <s v="5.4937373"/>
    <s v="-73.4852087"/>
    <s v="BOYACÁ"/>
    <s v="SAMACÁ"/>
    <s v="SAMACÁ"/>
    <n v="15646"/>
    <s v="2025-09-29"/>
    <n v="1"/>
    <s v="TUNJA"/>
    <x v="4"/>
    <n v="49671.7"/>
    <n v="49671.7"/>
  </r>
  <r>
    <n v="69020"/>
    <s v="BARRIO ARGENTINA MANIZALES 1"/>
    <n v="24341237"/>
    <s v="3136548075"/>
    <s v="3136548075"/>
    <s v="3136548075"/>
    <s v="CR 19B NRO. 51E- 41 - ARGENTINA,ARGENTINA"/>
    <s v="5.065565"/>
    <s v="-75.495255"/>
    <s v="CALDAS"/>
    <s v="MANIZALES"/>
    <s v="MANIZALES"/>
    <n v="17001"/>
    <s v="2025-09-29"/>
    <n v="1"/>
    <s v="MANIZALES"/>
    <x v="6"/>
    <n v="49671.7"/>
    <n v="49671.7"/>
  </r>
  <r>
    <n v="41294"/>
    <s v="BARRIO EL CENTRO LOURDES"/>
    <n v="27749083"/>
    <m/>
    <s v="3123020976"/>
    <s v="3123020976"/>
    <s v="CR 5  5  50"/>
    <s v="7.9451674"/>
    <s v="-72.832282"/>
    <s v="NORTE DE SANTANDER"/>
    <s v="LOURDES"/>
    <s v="LOURDES"/>
    <n v="54418"/>
    <s v="2025-09-29"/>
    <n v="1"/>
    <s v="CUCUTA"/>
    <x v="4"/>
    <n v="49671.7"/>
    <n v="49671.7"/>
  </r>
  <r>
    <n v="41492"/>
    <s v="BARRIO LAGUITO CARTAGENA DE INDIAS"/>
    <n v="19873876"/>
    <s v="3006495752"/>
    <s v="3006495752"/>
    <s v="3006495752"/>
    <s v="CL 1 A 3 173 EDIFICIO CONQUISTADOR LC 6,LAGUITO"/>
    <s v="10.394323"/>
    <s v="-75.56075"/>
    <s v="BOLÍVAR"/>
    <s v="CARTAGENA DE INDIAS"/>
    <s v="CARTAGENA DE INDIAS"/>
    <n v="13001"/>
    <s v="2025-09-29"/>
    <n v="1"/>
    <s v="CARTAGENA"/>
    <x v="5"/>
    <n v="49671.7"/>
    <n v="49671.7"/>
  </r>
  <r>
    <n v="41575"/>
    <s v="BARRIO ANAIME CAJAMARCA CAJAMARCA"/>
    <n v="41927087"/>
    <s v="3136419902"/>
    <s v="3136419902"/>
    <s v="3154218438"/>
    <s v="CL 5 # 2-07,ANAIME-CAJAMARCA"/>
    <s v="4.396571"/>
    <s v="-75.4447860"/>
    <s v="TOLIMA"/>
    <s v="CAJAMARCA"/>
    <s v="CAJAMARCA"/>
    <n v="73124"/>
    <s v="2025-09-29"/>
    <n v="1"/>
    <s v="IBAGUE"/>
    <x v="1"/>
    <n v="49671.7"/>
    <n v="49671.7"/>
  </r>
  <r>
    <n v="42674"/>
    <s v="BARRIO PARQUE PRINCIPAL SANTA DE ANTIOQUIA"/>
    <n v="22117809"/>
    <m/>
    <s v="3217871961"/>
    <s v="3217804407"/>
    <s v="CL 9 11-14"/>
    <s v="6.557055"/>
    <s v=" -75.829132"/>
    <s v="ANTIOQUIA"/>
    <s v="SANTA FÉ DE ANTIOQUIA"/>
    <s v="SANTA FÉ DE ANTIOQUIA"/>
    <n v="5042"/>
    <s v="2025-09-29"/>
    <n v="1"/>
    <s v="MEDELLIN"/>
    <x v="0"/>
    <n v="37313"/>
    <n v="37313"/>
  </r>
  <r>
    <n v="45350"/>
    <s v="BARRIO CENTRO PURACE 2"/>
    <n v="25274937"/>
    <m/>
    <s v="3104192361"/>
    <s v="3104192361"/>
    <s v="CR 3 N 2-67 BRR SANTA MONICA.CABECERA MUNICIPAL COCONUCO"/>
    <s v="2.3411965"/>
    <s v="-76.4965757"/>
    <s v="CAUCA"/>
    <s v="PURACÉ"/>
    <s v="COCONUCO"/>
    <n v="19585"/>
    <s v="2025-09-29"/>
    <n v="1"/>
    <s v="CALI"/>
    <x v="3"/>
    <n v="37313"/>
    <n v="37313"/>
  </r>
  <r>
    <n v="70166"/>
    <s v="BARRIO PUERTAS DEL SOL NEIVA 1"/>
    <n v="1075241282"/>
    <s v="3103424584"/>
    <s v="3103424584"/>
    <s v="3103424584"/>
    <s v="CR 31 B 28 27,PUERTAS DEL SOL"/>
    <s v="2.899687"/>
    <s v="-75.266162"/>
    <s v="HUILA"/>
    <s v="NEIVA"/>
    <s v="NEIVA"/>
    <n v="41001"/>
    <s v="2025-09-29"/>
    <n v="1"/>
    <s v="NEIVA"/>
    <x v="1"/>
    <n v="49671.7"/>
    <n v="49671.7"/>
  </r>
  <r>
    <n v="71695"/>
    <s v="BARRIO _x0009_VILLA GUADALUPE MEDELLIN"/>
    <n v="8011371"/>
    <s v="3115667944"/>
    <s v="3115667944"/>
    <s v="3115667944"/>
    <s v="CALLE 95 42 B 39,VILLA GUADALUPE"/>
    <s v="6.2862589"/>
    <s v="-75.5503541"/>
    <s v="ANTIOQUIA"/>
    <s v="MEDELLÍN"/>
    <s v="MEDELLÍN"/>
    <n v="5001"/>
    <s v="2025-09-29"/>
    <n v="1"/>
    <s v="MEDELLIN"/>
    <x v="0"/>
    <n v="37313"/>
    <n v="37313"/>
  </r>
  <r>
    <n v="67494"/>
    <s v="BARRIO PASO REAL LA ESMERALDA SANTA FE DE ANTIOQUIA"/>
    <n v="1022096428"/>
    <s v="3059277706"/>
    <s v="3106028803"/>
    <s v="3106028803"/>
    <s v="SEC PASO REAL,PASO REAL LA ESMERALDA"/>
    <s v="6.5158078"/>
    <s v="-75.8179777"/>
    <s v="ANTIOQUIA"/>
    <s v="SANTA FÉ DE ANTIOQUIA"/>
    <s v="SANTA FÉ DE ANTIOQUIA"/>
    <n v="5042"/>
    <s v="2025-09-29"/>
    <n v="1"/>
    <s v="MEDELLIN"/>
    <x v="0"/>
    <n v="37313"/>
    <n v="37313"/>
  </r>
  <r>
    <n v="71227"/>
    <s v="BARRIO CENTRO CAJAMARCA 11"/>
    <n v="900845156"/>
    <s v="3204913750"/>
    <s v="3204913750"/>
    <s v="3204913750"/>
    <s v="CR 7 11 38,CENTRO"/>
    <s v="4.4412979"/>
    <s v="-75.4299754"/>
    <s v="TOLIMA"/>
    <s v="CAJAMARCA"/>
    <s v="CAJAMARCA"/>
    <n v="73124"/>
    <s v="2025-09-29"/>
    <n v="1"/>
    <s v="IBAGUE"/>
    <x v="1"/>
    <n v="49671.7"/>
    <n v="49671.7"/>
  </r>
  <r>
    <n v="71338"/>
    <s v="BARRIO EL CENTRO LOURDES  2"/>
    <n v="88236671"/>
    <s v="3123662175"/>
    <s v="3123662175"/>
    <s v="3123662175"/>
    <s v="AV 3 A CL 5A,EL CENTRO"/>
    <s v="7.9445424"/>
    <s v="-72.8339620"/>
    <s v="NORTE DE SANTANDER"/>
    <s v="LOURDES"/>
    <s v="LOURDES"/>
    <n v="54418"/>
    <s v="2025-09-29"/>
    <n v="1"/>
    <s v="CUCUTA"/>
    <x v="4"/>
    <n v="49671.7"/>
    <n v="49671.7"/>
  </r>
  <r>
    <n v="71430"/>
    <s v="BARRIO ESTADIO URDANETA ARBELAEZ NEIVA"/>
    <n v="1075232234"/>
    <s v="3208553059"/>
    <s v="3102648361"/>
    <s v="3208553059"/>
    <s v="CL 2 5 57,ESTADIO URDANETA ARBELAEZ"/>
    <s v="2.922403"/>
    <s v="-75.286537"/>
    <s v="HUILA"/>
    <s v="NEIVA"/>
    <s v="NEIVA"/>
    <n v="41001"/>
    <s v="2025-09-29"/>
    <n v="1"/>
    <s v="NEIVA"/>
    <x v="1"/>
    <n v="49671.7"/>
    <n v="49671.7"/>
  </r>
  <r>
    <n v="71549"/>
    <s v="BARRIO LAGOS 1 FLORIDABLANCA"/>
    <n v="1097994572"/>
    <s v="3185390555"/>
    <s v="3185390555"/>
    <s v="3185390555"/>
    <s v="CL 29 10 18,LAGOS 1"/>
    <s v="7.0725380"/>
    <s v="-73.1023070"/>
    <s v="SANTANDER"/>
    <s v="FLORIDABLANCA"/>
    <s v="FLORIDABLANCA"/>
    <n v="68276"/>
    <s v="2025-09-29"/>
    <n v="1"/>
    <s v="BUCARAMANGA"/>
    <x v="4"/>
    <n v="37313"/>
    <n v="37313"/>
  </r>
  <r>
    <n v="71779"/>
    <s v="BARRIO EL PROGRESO "/>
    <n v="40782846"/>
    <s v="3186113695"/>
    <s v="3186113695"/>
    <s v="3186113695"/>
    <s v="AVENIDA CALLE 6 # 23 - 09,EL PROGRESO"/>
    <s v="4.6021897"/>
    <s v="-74.0926811"/>
    <s v="CUNDINAMARCA"/>
    <s v="BOGOTÁ"/>
    <s v="BOGOTÁ"/>
    <n v="11001"/>
    <s v="2025-09-29"/>
    <n v="1"/>
    <s v="BOGOTA"/>
    <x v="2"/>
    <n v="37313"/>
    <n v="37313"/>
  </r>
  <r>
    <n v="69534"/>
    <s v="BARRIO GUARNE GUARNE 1"/>
    <n v="901050553"/>
    <s v="6043018678"/>
    <s v="3012861997"/>
    <s v="3215644949"/>
    <s v="AUTOPISTA MEDELLÍN BOGOTÁ KM 21 RETORNO 6,GUARNE"/>
    <s v="6.2917495"/>
    <s v="-75.4505567"/>
    <s v="ANTIOQUIA"/>
    <s v="GUARNE"/>
    <s v="GUARNE"/>
    <n v="5318"/>
    <s v="2025-09-29"/>
    <n v="1"/>
    <s v="MEDELLIN"/>
    <x v="0"/>
    <n v="37313"/>
    <n v="37313"/>
  </r>
  <r>
    <n v="65275"/>
    <s v="BARRIO CARIBE VERDE BARRANQUILLA 10"/>
    <n v="72211840"/>
    <s v="3157119512"/>
    <s v="3157119512"/>
    <s v="3157119512"/>
    <s v="CL 130 KR 8 L 06 CA 482 MZ 19"/>
    <s v="10.95582"/>
    <s v="-74.85425"/>
    <s v="ATLÁNTICO"/>
    <s v="BARRANQUILLA"/>
    <s v="BARRANQUILLA"/>
    <n v="8001"/>
    <s v="2025-09-29"/>
    <n v="1"/>
    <s v="BARRANQUILLA"/>
    <x v="5"/>
    <n v="37313"/>
    <n v="37313"/>
  </r>
  <r>
    <n v="63076"/>
    <s v="BARRIO CENTRO PAIPA 15"/>
    <n v="900455493"/>
    <s v="3103133010"/>
    <s v="3118813939"/>
    <s v="3118813939"/>
    <s v="CR 23 NO.24-03,CENTRO"/>
    <s v="5.78252526"/>
    <s v="-73.1178009"/>
    <s v="BOYACÁ"/>
    <s v="PAIPA"/>
    <s v="PAIPA"/>
    <n v="15516"/>
    <s v="2025-09-29"/>
    <n v="1"/>
    <s v="TUNJA"/>
    <x v="4"/>
    <n v="49671.7"/>
    <n v="49671.7"/>
  </r>
  <r>
    <n v="71945"/>
    <s v="NOMBRE PASEO DEL PUENTE 2"/>
    <n v="1098788542"/>
    <s v="3175697222"/>
    <s v="3175697222"/>
    <s v="3175697222"/>
    <s v="manzana g casa  191 villas de San juan"/>
    <s v="7.0025500"/>
    <s v="-73.0497687"/>
    <s v="SANTANDER"/>
    <s v="PIEDECUESTA"/>
    <s v="PIEDECUESTA"/>
    <n v="68547"/>
    <s v="2025-09-29"/>
    <n v="1"/>
    <s v="BUCARAMANGA"/>
    <x v="4"/>
    <n v="37313"/>
    <n v="37313"/>
  </r>
  <r>
    <n v="63254"/>
    <s v="BARRIO CARIBE VERDE BARRANQUILLA 6"/>
    <n v="8780572"/>
    <s v="3106227790"/>
    <s v="3015630195"/>
    <s v="3217746407"/>
    <s v="CR 41 G 113 125,CARIBE VERDE"/>
    <s v="10.99002"/>
    <s v="-74.84371"/>
    <s v="ATLÁNTICO"/>
    <s v="BARRANQUILLA"/>
    <s v="BARRANQUILLA"/>
    <n v="8001"/>
    <s v="2025-09-29"/>
    <n v="1"/>
    <s v="BARRANQUILLA"/>
    <x v="5"/>
    <n v="37313"/>
    <n v="37313"/>
  </r>
  <r>
    <n v="63766"/>
    <s v="BARRIO SAN FRANCISCO LA PAZ"/>
    <n v="53132166"/>
    <s v="3103406949"/>
    <s v="3103406949"/>
    <s v="3044557612"/>
    <s v="CL 4 N 5A 15,SAN FRASCISCO"/>
    <s v="10.39264043"/>
    <s v="-73.17693001"/>
    <s v="CESAR"/>
    <s v="LA PAZ"/>
    <s v="ROBLES"/>
    <n v="20621"/>
    <s v="2025-09-29"/>
    <n v="1"/>
    <s v="VALLEDUPAR"/>
    <x v="5"/>
    <n v="49671.7"/>
    <n v="49671.7"/>
  </r>
  <r>
    <n v="78155"/>
    <s v="BARRIO EL CERRITO LA PAZ"/>
    <n v="30061582"/>
    <s v="3135454468"/>
    <s v="3138054270"/>
    <s v="3135454468"/>
    <s v="CR 5 CL 4 5 BRR EL CERRITO CGT SAN JOSE DE ORIENTE,EL CERRITO"/>
    <s v="10.3504404"/>
    <s v="-73.04293909"/>
    <s v="CESAR"/>
    <s v="LA PAZ"/>
    <s v="ROBLES"/>
    <n v="20621"/>
    <s v="2025-09-29"/>
    <n v="1"/>
    <s v="VALLEDUPAR"/>
    <x v="5"/>
    <n v="49671.7"/>
    <n v="49671.7"/>
  </r>
  <r>
    <n v="78365"/>
    <s v="BARRIO BOTERO SINCELEJO 1"/>
    <n v="1005573551"/>
    <s v="3135627402"/>
    <s v="3135627402"/>
    <s v="3135627402"/>
    <s v="CL 5C 15A 08,BOTERO"/>
    <s v="9.3155321"/>
    <s v="-75.4008484"/>
    <s v="SUCRE"/>
    <s v="SINCELEJO"/>
    <s v="SINCELEJO"/>
    <n v="70001"/>
    <s v="2025-09-29"/>
    <n v="1"/>
    <s v="SINCELEJO"/>
    <x v="5"/>
    <n v="49671.7"/>
    <n v="49671.7"/>
  </r>
  <r>
    <n v="78430"/>
    <s v="BARRIO BUENAVISTA MONTERIA 8"/>
    <n v="901308406"/>
    <s v="3016400799"/>
    <s v="3016400799"/>
    <s v="3016400799"/>
    <s v="CR 4 19 - 07,BUENAVISTA"/>
    <s v="8.749991"/>
    <s v="-75.889857"/>
    <s v="CÓRDOBA"/>
    <s v="MONTERÍA"/>
    <s v="MONTERÍA"/>
    <n v="23001"/>
    <s v="2025-09-29"/>
    <n v="1"/>
    <s v="MONTERIA"/>
    <x v="5"/>
    <n v="37313"/>
    <n v="37313"/>
  </r>
  <r>
    <n v="76351"/>
    <s v="BARRIO CENTRO PIENDAMO 5"/>
    <n v="1061537716"/>
    <s v="3023734572"/>
    <s v="3011807967"/>
    <s v="3023734572"/>
    <s v="CR 4 2 - 571 BRR SAN CAYETANO"/>
    <s v="2.6328384"/>
    <s v="-76.5246035"/>
    <s v="CAUCA"/>
    <s v="PIENDAMÓ"/>
    <s v="PIENDAMÓ"/>
    <n v="19548"/>
    <s v="2025-09-29"/>
    <n v="1"/>
    <s v="CALI"/>
    <x v="3"/>
    <n v="37313"/>
    <n v="37313"/>
  </r>
  <r>
    <n v="76465"/>
    <s v="BARRIO GUAYABAL PEREIRA 1"/>
    <n v="1088286628"/>
    <s v="3234691284"/>
    <s v="3022314205"/>
    <s v="3234691284"/>
    <s v="MZ 58 CA 8 BRR GUAYABAL"/>
    <s v="4.7872871"/>
    <s v="-75.6696808"/>
    <s v="RISARALDA"/>
    <s v="PEREIRA"/>
    <s v="PEREIRA"/>
    <n v="66001"/>
    <s v="2025-09-29"/>
    <n v="1"/>
    <s v="PEREIRA"/>
    <x v="6"/>
    <n v="37313"/>
    <n v="37313"/>
  </r>
  <r>
    <n v="73731"/>
    <s v="BARRIO CENTRO EL PEÑOL"/>
    <n v="1089459263"/>
    <s v="3102872652"/>
    <s v="3102872652"/>
    <s v="3183487506"/>
    <s v="CASA 2A BARRIO CENTRO,CENTRO"/>
    <s v="1.4531076"/>
    <s v="-77.4394142"/>
    <s v="NARIÑO"/>
    <s v="EL PEÑOL"/>
    <s v="EL PEÑOL"/>
    <n v="52254"/>
    <s v="2025-09-29"/>
    <n v="1"/>
    <s v="PASTO"/>
    <x v="3"/>
    <n v="49671.7"/>
    <n v="49671.7"/>
  </r>
  <r>
    <n v="64520"/>
    <s v="BARRIO CARIBE VERDE BARRANQUILLA 8"/>
    <n v="1045758084"/>
    <s v="3015233307"/>
    <s v="3015233307"/>
    <s v="3015233307"/>
    <s v="CL 131 9 125 AP 103 TO 26,CARIBE VERDE"/>
    <s v="10.9584651"/>
    <s v="-74.8568055"/>
    <s v="ATLÁNTICO"/>
    <s v="BARRANQUILLA"/>
    <s v="BARRANQUILLA"/>
    <n v="8001"/>
    <s v="2025-09-29"/>
    <n v="1"/>
    <s v="BARRANQUILLA"/>
    <x v="5"/>
    <n v="37313"/>
    <n v="37313"/>
  </r>
  <r>
    <n v="65387"/>
    <s v="BARRIO PAMPLONA PAMPLONA 3"/>
    <n v="60260125"/>
    <s v="0"/>
    <s v="0"/>
    <s v="3132974858"/>
    <s v="CL 7 CON CRR 3 MERCADO CUBIERTO LC 80,PAMPLONA"/>
    <s v="7.3820311"/>
    <s v="-72.6455692"/>
    <s v="NORTE DE SANTANDER"/>
    <s v="PAMPLONA"/>
    <s v="PAMPLONA"/>
    <n v="54518"/>
    <s v="2025-09-29"/>
    <n v="1"/>
    <s v="CUCUTA"/>
    <x v="4"/>
    <n v="49671.7"/>
    <n v="49671.7"/>
  </r>
  <r>
    <n v="73829"/>
    <s v="BARRIO EL SOCORRO BUESACO "/>
    <n v="1084227793"/>
    <s v="3105579852"/>
    <s v="3108078446"/>
    <s v="3105579852"/>
    <s v="CR 3 CALLE 3 10 DIV 1 BARRIO EL SOCORRO,EL SOCORRO"/>
    <s v="1.3876370"/>
    <s v="-77.1550012"/>
    <s v="NARIÑO"/>
    <s v="BUESACO"/>
    <s v="BUESACO"/>
    <n v="52110"/>
    <s v="2025-09-29"/>
    <n v="1"/>
    <s v="PASTO"/>
    <x v="3"/>
    <n v="49671.7"/>
    <n v="49671.7"/>
  </r>
  <r>
    <n v="78168"/>
    <s v="BARRIO BELEN MEDELLIN 11"/>
    <n v="1042456508"/>
    <s v="3216401313"/>
    <s v="3127444654"/>
    <s v="3127444654"/>
    <s v="CR 77 29 - 28,BELEN"/>
    <s v="6.2310715"/>
    <s v="-75.5971148"/>
    <s v="ANTIOQUIA"/>
    <s v="MEDELLÍN"/>
    <s v="MEDELLÍN"/>
    <n v="5001"/>
    <s v="2025-09-29"/>
    <n v="1"/>
    <s v="MEDELLIN"/>
    <x v="0"/>
    <n v="37313"/>
    <n v="37313"/>
  </r>
  <r>
    <n v="78284"/>
    <s v="BARRIO VRD EL SANGO GUARNE"/>
    <n v="39452741"/>
    <s v="3208153989"/>
    <s v="3206650827"/>
    <s v="3206650827"/>
    <s v="KM 19 AUT MED BGT VRD EL SANGO,VRD EL SANGO"/>
    <s v="6.2989182"/>
    <s v="-75.4546751"/>
    <s v="ANTIOQUIA"/>
    <s v="GUARNE"/>
    <s v="GUARNE"/>
    <n v="5318"/>
    <s v="2025-09-29"/>
    <n v="1"/>
    <s v="MEDELLIN"/>
    <x v="0"/>
    <n v="37313"/>
    <n v="37313"/>
  </r>
  <r>
    <n v="71642"/>
    <s v="BARRIO POBLADO II CALI 1"/>
    <n v="1130655104"/>
    <s v="3016936274"/>
    <s v="3016936274"/>
    <s v="3016936274"/>
    <s v="CR 28 B 3 72 Z 3 17 BRR POBLADO II"/>
    <s v="3.4204683882"/>
    <s v="-76.4877553"/>
    <s v="VALLE DEL CAUCA"/>
    <s v="CALI"/>
    <s v="SANTIAGO DE CALI"/>
    <n v="76001"/>
    <s v="2025-09-29"/>
    <n v="1"/>
    <s v="CALI"/>
    <x v="3"/>
    <n v="37313"/>
    <n v="37313"/>
  </r>
  <r>
    <n v="72253"/>
    <s v="CENTRO MOTAVITA BOYACA"/>
    <n v="1056708140"/>
    <s v="3143171016"/>
    <s v="0"/>
    <s v="3143171016"/>
    <s v="CL 3 2 72,CENTRO"/>
    <s v="5.5767275"/>
    <s v="-73.3671469"/>
    <s v="BOYACÁ"/>
    <s v="MOTAVITA"/>
    <s v="MOTAVITA"/>
    <n v="15476"/>
    <s v="2025-09-29"/>
    <n v="1"/>
    <s v="TUNJA"/>
    <x v="4"/>
    <n v="49671.7"/>
    <n v="49671.7"/>
  </r>
  <r>
    <n v="67300"/>
    <s v="BARRIO BRITALIA NORTE BOGOTA 5"/>
    <n v="1018453311"/>
    <s v="0"/>
    <s v="0"/>
    <s v="3212002252"/>
    <s v="CR 58 A 167 58 LC 21"/>
    <s v="4.750039"/>
    <s v="-74.059571"/>
    <s v="CUNDINAMARCA"/>
    <s v="BOGOTÁ"/>
    <s v="BOGOTÁ"/>
    <n v="11001"/>
    <s v="2025-09-29"/>
    <n v="1"/>
    <s v="BOGOTA"/>
    <x v="2"/>
    <n v="37313"/>
    <n v="37313"/>
  </r>
  <r>
    <n v="67989"/>
    <s v="CENTRO SAMACA BOYACA"/>
    <n v="24018043"/>
    <s v="3223974068"/>
    <s v="3223974068"/>
    <s v="3223974068"/>
    <s v="CR 6 5 32,CENTRO"/>
    <s v="5.49202671"/>
    <s v="-73.48621425"/>
    <s v="BOYACÁ"/>
    <s v="SAMACÁ"/>
    <s v="SAMACÁ"/>
    <n v="15646"/>
    <s v="2025-09-29"/>
    <n v="1"/>
    <s v="TUNJA"/>
    <x v="4"/>
    <n v="49671.7"/>
    <n v="49671.7"/>
  </r>
  <r>
    <n v="76065"/>
    <s v="BARRIO BRISAS BAJAS LA MONTAÑITA"/>
    <n v="1006460277"/>
    <s v="3164998822"/>
    <s v="3164998822"/>
    <s v="3164998822"/>
    <s v="CL 7 4 47,BRISAS BAJAS"/>
    <s v="1.479822"/>
    <s v="-75.435416"/>
    <s v="CAQUETÁ"/>
    <s v="LA MONTAÑITA"/>
    <s v="LA MONTAÑITA"/>
    <n v="18410"/>
    <s v="2025-09-29"/>
    <n v="1"/>
    <s v="NEIVA"/>
    <x v="1"/>
    <n v="49671.7"/>
    <n v="49671.7"/>
  </r>
  <r>
    <n v="76299"/>
    <s v="BARRIO CORAZON DE JESUS BUESACO"/>
    <n v="1085290531"/>
    <s v="3005487848"/>
    <s v="3104548596"/>
    <s v="3104548596"/>
    <s v="CR 4 5 10 BRR CORAZON DE JESUS CGT VILLA MORENO,CORAZON DE JESUS"/>
    <s v="1.3236132"/>
    <s v="-77.1994349"/>
    <s v="NARIÑO"/>
    <s v="BUESACO"/>
    <s v="BUESACO"/>
    <n v="52110"/>
    <s v="2025-09-29"/>
    <n v="1"/>
    <s v="PASTO"/>
    <x v="3"/>
    <n v="49671.7"/>
    <n v="49671.7"/>
  </r>
  <r>
    <n v="76202"/>
    <s v="BARRIO EL CENTRO NEIVA 11"/>
    <n v="55179343"/>
    <s v="3157561714"/>
    <s v="3123001305"/>
    <s v="3157561714"/>
    <s v="CR 5 13 18,EL CENTRO"/>
    <s v="2.931520"/>
    <s v="-75.290382"/>
    <s v="HUILA"/>
    <s v="NEIVA"/>
    <s v="NEIVA"/>
    <n v="41001"/>
    <s v="2025-09-29"/>
    <n v="1"/>
    <s v="NEIVA"/>
    <x v="1"/>
    <n v="49671.7"/>
    <n v="49671.7"/>
  </r>
  <r>
    <n v="73221"/>
    <s v="BARRIO LOS SANTOS GRAMOLETE"/>
    <n v="27721085"/>
    <s v="3133510973"/>
    <s v="3133510973"/>
    <s v="3208893306"/>
    <s v="MZ 74 CA 5 BRR LA LOMITA"/>
    <s v="7.9181388"/>
    <s v="-72.7880919"/>
    <s v="NORTE DE SANTANDER"/>
    <s v="GRAMALOTE"/>
    <s v="GRAMALOTE"/>
    <n v="54313"/>
    <s v="2025-09-29"/>
    <n v="1"/>
    <s v="CUCUTA"/>
    <x v="4"/>
    <n v="49671.7"/>
    <n v="49671.7"/>
  </r>
  <r>
    <n v="73318"/>
    <s v="BARRIO CENTRO PAMPLONA 20"/>
    <n v="1094241125"/>
    <s v="3107049558"/>
    <s v="3203030525"/>
    <s v="3203030525"/>
    <s v="CR 5 # 4 - 66,CENTRO"/>
    <s v="7.3776036"/>
    <s v="-72.6482661"/>
    <s v="NORTE DE SANTANDER"/>
    <s v="PAMPLONA"/>
    <s v="PAMPLONA"/>
    <n v="54518"/>
    <s v="2025-09-29"/>
    <n v="1"/>
    <s v="CUCUTA"/>
    <x v="4"/>
    <n v="49671.7"/>
    <n v="49671.7"/>
  </r>
  <r>
    <n v="63385"/>
    <s v="BARRIO CENTRO PIEDECUESTA 8"/>
    <n v="3608329"/>
    <s v="3133689930"/>
    <s v="3144617293"/>
    <s v="3133689930"/>
    <s v="CL 10 5 70,CENTRO"/>
    <s v="6.9848773"/>
    <s v="-73.0514164"/>
    <s v="SANTANDER"/>
    <s v="PIEDECUESTA"/>
    <s v="PIEDECUESTA"/>
    <n v="68547"/>
    <s v="2025-09-29"/>
    <n v="1"/>
    <s v="BUCARAMANGA"/>
    <x v="4"/>
    <n v="37313"/>
    <n v="37313"/>
  </r>
  <r>
    <n v="63939"/>
    <s v="BARRIO LAGOS 2 FLORIDABLANCA 1"/>
    <n v="37369966"/>
    <s v="6848751"/>
    <s v="3176854529"/>
    <s v="3176854529"/>
    <s v="CR 4 43 20 BRR LAGOS 2"/>
    <s v="7.0693650"/>
    <s v="-73.0944530"/>
    <s v="SANTANDER"/>
    <s v="FLORIDABLANCA"/>
    <s v="FLORIDABLANCA"/>
    <n v="68276"/>
    <s v="2025-09-29"/>
    <n v="1"/>
    <s v="BUCARAMANGA"/>
    <x v="4"/>
    <n v="37313"/>
    <n v="37313"/>
  </r>
  <r>
    <n v="80562"/>
    <s v="BARRIO CENTRO MONTERIA 60"/>
    <n v="901923658"/>
    <s v="3042343347"/>
    <s v="3042343347"/>
    <m/>
    <s v="CR 4 34 - 99 P1 AP 01,CENTRO"/>
    <s v="8.7595431"/>
    <s v="-75.8825108"/>
    <s v="CÓRDOBA"/>
    <s v="MONTERÍA"/>
    <s v="MONTERÍA"/>
    <n v="23001"/>
    <s v="2025-09-29"/>
    <n v="1"/>
    <s v="MONTERIA"/>
    <x v="5"/>
    <n v="37313"/>
    <n v="37313"/>
  </r>
  <r>
    <n v="79073"/>
    <s v="BARRIO CIUDAD DEL BICENTENARIO CARTAGENA DE INDIAS"/>
    <n v="1128056304"/>
    <s v="3124393032"/>
    <s v="3124393032"/>
    <m/>
    <s v="MZ 75B TO 10 AP 104,BRR CIUDAD DEL BICENTENARIO"/>
    <s v="10.4244897"/>
    <s v="-75.4456054"/>
    <s v="BOLÍVAR"/>
    <s v="CARTAGENA DE INDIAS"/>
    <s v="CARTAGENA DE INDIAS"/>
    <n v="13001"/>
    <s v="2025-09-29"/>
    <n v="1"/>
    <s v="CARTAGENA"/>
    <x v="5"/>
    <n v="49671.7"/>
    <n v="49671.7"/>
  </r>
  <r>
    <n v="79443"/>
    <s v="BARRIO GAITAN YUMBO"/>
    <n v="1005706876"/>
    <s v="3137135341"/>
    <s v="3122257259"/>
    <s v="3137135341"/>
    <s v="CR 7 DN 13N 41,GAITAN"/>
    <s v="3.5911888"/>
    <s v="-76.4874727"/>
    <s v="VALLE DEL CAUCA"/>
    <s v="YUMBO"/>
    <s v="YUMBO"/>
    <n v="76892"/>
    <s v="2025-09-29"/>
    <n v="1"/>
    <s v="CALI"/>
    <x v="3"/>
    <n v="37313"/>
    <n v="37313"/>
  </r>
  <r>
    <n v="76901"/>
    <s v="BARRIO CENTRO PAIPA 18"/>
    <n v="23856708"/>
    <s v="3114973688"/>
    <s v="3114973688"/>
    <s v="3204325118"/>
    <s v="CR 21 NO.23-31,CENTRO"/>
    <s v="5.7810973"/>
    <s v="-73.1185194"/>
    <s v="BOYACÁ"/>
    <s v="PAIPA"/>
    <s v="PAIPA"/>
    <n v="15516"/>
    <s v="2025-09-29"/>
    <n v="1"/>
    <s v="TUNJA"/>
    <x v="4"/>
    <n v="49671.7"/>
    <n v="49671.7"/>
  </r>
  <r>
    <n v="77078"/>
    <s v="BARRIO NIZA FLORIFABLANCA"/>
    <n v="37875152"/>
    <s v="3104807318"/>
    <s v="3104807318"/>
    <s v="3104807318"/>
    <s v="CL 117 27 60 CONJUNTO SAN FELIPE ETAPA 3,NIZA"/>
    <s v="7.085258"/>
    <s v="-73.1484747"/>
    <s v="SANTANDER"/>
    <s v="FLORIDABLANCA"/>
    <s v="FLORIDABLANCA"/>
    <n v="68276"/>
    <s v="2025-09-29"/>
    <n v="1"/>
    <s v="BUCARAMANGA"/>
    <x v="4"/>
    <n v="37313"/>
    <n v="37313"/>
  </r>
  <r>
    <n v="75280"/>
    <s v="BARRIO VEREDA LOS CUROS PIEDECUESTA"/>
    <n v="79450204"/>
    <s v="3166281983"/>
    <s v="3166281983"/>
    <s v="3166281983"/>
    <s v="VRD KM 9 VIA SANGIL VEREDA LOS CUROS PIEDECUESTA,VEREDA LOS CUROS"/>
    <s v="6.9213312"/>
    <s v="-73.0068150"/>
    <s v="SANTANDER"/>
    <s v="PIEDECUESTA"/>
    <s v="PIEDECUESTA"/>
    <n v="68547"/>
    <s v="2025-09-29"/>
    <n v="1"/>
    <s v="BUCARAMANGA"/>
    <x v="4"/>
    <n v="37313"/>
    <n v="37313"/>
  </r>
  <r>
    <n v="76794"/>
    <s v="BARRIO CANDELARIA -CARMELO CANDELARIA"/>
    <n v="1113533705"/>
    <s v="3152212742"/>
    <s v="3157212742"/>
    <s v="3108541109"/>
    <s v="CL 16  3 60 CGT CARMELO"/>
    <s v="3.4029618"/>
    <s v="-76.4202519"/>
    <s v="VALLE DEL CAUCA"/>
    <s v="CANDELARIA"/>
    <s v="CANDELARIA"/>
    <n v="76130"/>
    <s v="2025-09-29"/>
    <n v="1"/>
    <s v="CALI"/>
    <x v="3"/>
    <n v="37313"/>
    <n v="37313"/>
  </r>
  <r>
    <n v="78575"/>
    <s v="BARRIO VENCEDORES VILLAVICENCIO"/>
    <n v="1121839079"/>
    <s v="3102026731"/>
    <s v="3108097887"/>
    <s v="3108097887"/>
    <s v="CL 47 N 3 A 23 - 27 VENCEDORES ,VENCEDORES"/>
    <s v="4.1730389"/>
    <s v="-73.6011072"/>
    <s v="META"/>
    <s v="VILLAVICENCIO"/>
    <s v="VILLAVICENCIO"/>
    <n v="50001"/>
    <s v="2025-09-29"/>
    <n v="1"/>
    <s v="VILLAVICENCIO"/>
    <x v="1"/>
    <n v="49671.7"/>
    <n v="49671.7"/>
  </r>
  <r>
    <n v="78794"/>
    <s v="BARRIO BOCAGRANDE CARTAGENA DE INDIAS 6"/>
    <n v="1125349298"/>
    <s v="3009822899"/>
    <s v="3004650197"/>
    <s v="3004650197"/>
    <s v="CC EL PUEBLITO #4-115,BRR BOCAGRANDE"/>
    <s v="10.3992149"/>
    <s v="-75.5591503"/>
    <s v="BOLÍVAR"/>
    <s v="CARTAGENA DE INDIAS"/>
    <s v="CARTAGENA DE INDIAS"/>
    <n v="13001"/>
    <s v="2025-09-29"/>
    <n v="1"/>
    <s v="CARTAGENA"/>
    <x v="5"/>
    <n v="49671.7"/>
    <n v="49671.7"/>
  </r>
  <r>
    <n v="77318"/>
    <s v="BARRIO BRR SAN AGUSTIN PAMPLONA"/>
    <n v="1093772355"/>
    <s v="3144057979"/>
    <s v="3144057979"/>
    <s v="3144057979"/>
    <s v="CR 6 NRO 2-40,BRR SAN AGUSTIN"/>
    <s v="7.379010017989348"/>
    <s v="-72.64627706540404"/>
    <s v="NORTE DE SANTANDER"/>
    <s v="PAMPLONA"/>
    <s v="PAMPLONA"/>
    <n v="54518"/>
    <s v="2025-09-29"/>
    <n v="1"/>
    <s v="CUCUTA"/>
    <x v="4"/>
    <n v="49671.7"/>
    <n v="49671.7"/>
  </r>
  <r>
    <n v="79041"/>
    <s v="BARRIO AMPARO CAÑIZARES BOGOTA"/>
    <n v="93138352"/>
    <s v="3228101755"/>
    <s v="3213183331"/>
    <s v="3228101755"/>
    <s v="CL 41 SUR 80 I 03,AMPARO CAÑIZARES"/>
    <s v="4.6270635"/>
    <s v="-74.1625490"/>
    <s v="CUNDINAMARCA"/>
    <s v="BOGOTÁ"/>
    <s v="BOGOTÁ"/>
    <n v="11001"/>
    <s v="2025-09-29"/>
    <n v="1"/>
    <s v="BOGOTA"/>
    <x v="2"/>
    <n v="37313"/>
    <n v="37313"/>
  </r>
  <r>
    <n v="78511"/>
    <s v="BARRIO ALFONSO BONILLA ARAGON CALI  5"/>
    <n v="1234188710"/>
    <s v="3136503691"/>
    <s v="3042512519"/>
    <s v="3162838926"/>
    <s v="CR 28 87 04,ALFONSO BONILLA ARAGON"/>
    <s v="3.4186066"/>
    <s v="-76.4834259"/>
    <s v="VALLE DEL CAUCA"/>
    <s v="CALI"/>
    <s v="SANTIAGO DE CALI"/>
    <n v="76001"/>
    <s v="2025-09-29"/>
    <n v="1"/>
    <s v="CALI"/>
    <x v="3"/>
    <n v="37313"/>
    <n v="37313"/>
  </r>
  <r>
    <n v="77367"/>
    <s v="BARRIO RESERVA DE CURINCA SANTA MARTA"/>
    <n v="1082900061"/>
    <s v="3003810655"/>
    <s v="3007525536"/>
    <s v="3007525536"/>
    <s v="CR 30 50 09 CONJ LC1 RESERVAS DE CURINCA,RESERVA DE CURINCA"/>
    <s v="11.2069580"/>
    <s v="-74.1798618"/>
    <s v="MAGDALENA"/>
    <s v="SANTA MARTA"/>
    <s v="SANTA MARTA"/>
    <n v="47001"/>
    <s v="2025-09-29"/>
    <n v="1"/>
    <s v="SANTA MARTA"/>
    <x v="5"/>
    <n v="49671.7"/>
    <n v="49671.7"/>
  </r>
  <r>
    <n v="79430"/>
    <s v="BARRIO PORTALES EL LLANO VILLAVICENCIO"/>
    <n v="40178285"/>
    <s v="3107871482"/>
    <s v="3208456002"/>
    <s v="3107871482"/>
    <s v="CL 45 A N 14 - 04 PORTALES DEL LLANO,PORTALES EL LLANO"/>
    <s v="4.1471908"/>
    <s v="-73.5896273"/>
    <s v="META"/>
    <s v="VILLAVICENCIO"/>
    <s v="VILLAVICENCIO"/>
    <n v="50001"/>
    <s v="2025-09-29"/>
    <n v="1"/>
    <s v="VILLAVICENCIO"/>
    <x v="1"/>
    <n v="49671.7"/>
    <n v="49671.7"/>
  </r>
  <r>
    <n v="74120"/>
    <s v="BARRIO CENTRO PAMPLONA 22"/>
    <n v="88033346"/>
    <s v="3144247431"/>
    <s v="3144247431"/>
    <s v="3102300096"/>
    <s v="CR 6 # 4 - 44 LOCAL 1,CENTRO"/>
    <s v="7.3769489"/>
    <s v="-72.6473029"/>
    <s v="NORTE DE SANTANDER"/>
    <s v="PAMPLONA"/>
    <s v="PAMPLONA"/>
    <n v="54518"/>
    <s v="2025-09-29"/>
    <n v="1"/>
    <s v="CUCUTA"/>
    <x v="4"/>
    <n v="49671.7"/>
    <n v="49671.7"/>
  </r>
  <r>
    <n v="74595"/>
    <s v="BARRIO SECTOR CENTRO ARMENIA"/>
    <n v="9729791"/>
    <s v="3127663700"/>
    <s v="3127663700"/>
    <s v="3127663700"/>
    <s v="CR 15 11 73 LC 2,SECTOR CENTRO"/>
    <s v="4.5369857"/>
    <s v="-75.6692077"/>
    <s v="QUINDÍO"/>
    <s v="ARMENIA"/>
    <s v="ARMENIA"/>
    <n v="63001"/>
    <s v="2025-09-29"/>
    <n v="1"/>
    <s v="PEREIRA"/>
    <x v="6"/>
    <n v="37313"/>
    <n v="37313"/>
  </r>
  <r>
    <n v="78898"/>
    <s v="BARRIO OLIMPICO VILLAVICENCIO"/>
    <n v="1006798196"/>
    <s v="3204170946"/>
    <s v="3204170946"/>
    <m/>
    <s v="CL 24 N 13 - 69 - OLÍMPICO,OLÍMPICO"/>
    <s v="4.1392416"/>
    <s v="-73.6150615"/>
    <s v="META"/>
    <s v="VILLAVICENCIO"/>
    <s v="VILLAVICENCIO"/>
    <n v="50001"/>
    <s v="2025-09-29"/>
    <n v="1"/>
    <s v="VILLAVICENCIO"/>
    <x v="1"/>
    <n v="49671.7"/>
    <n v="49671.7"/>
  </r>
  <r>
    <n v="78921"/>
    <s v="BARRIO SAN ANTONIO VILLAVICENCIO 9"/>
    <n v="1122514163"/>
    <s v="3116289658"/>
    <s v="3116289658"/>
    <m/>
    <s v="CL 14 B 42 26 SAN ANTONIO,SAN ANTONIO"/>
    <s v="4.1200002"/>
    <s v="-73.5633610"/>
    <s v="META"/>
    <s v="VILLAVICENCIO"/>
    <s v="VILLAVICENCIO"/>
    <n v="50001"/>
    <s v="2025-09-29"/>
    <n v="1"/>
    <s v="VILLAVICENCIO"/>
    <x v="1"/>
    <n v="49671.7"/>
    <n v="49671.7"/>
  </r>
  <r>
    <n v="78915"/>
    <s v="BARRIO CENTRO MOTAVITA 3"/>
    <n v="40045660"/>
    <s v="3102415779"/>
    <s v="3102415779"/>
    <m/>
    <s v="CL 3 4 95,CENTRO"/>
    <s v="5.5781560"/>
    <s v="-73.3677092"/>
    <s v="BOYACÁ"/>
    <s v="MOTAVITA"/>
    <s v="MOTAVITA"/>
    <n v="15476"/>
    <s v="2025-09-29"/>
    <n v="1"/>
    <s v="TUNJA"/>
    <x v="4"/>
    <n v="49671.7"/>
    <n v="49671.7"/>
  </r>
  <r>
    <n v="79444"/>
    <s v="BARRIO VDA SAN MARCOS YUMBO"/>
    <n v="1118300008"/>
    <s v="3053450366"/>
    <s v="3053450366"/>
    <s v="3053450366"/>
    <s v="CL 17 81 N 139 LC 1 VDA SAN MARCOS,VDA SAN MARCOS"/>
    <s v="3.6552426"/>
    <s v="-76.4586998"/>
    <s v="VALLE DEL CAUCA"/>
    <s v="YUMBO"/>
    <s v="YUMBO"/>
    <n v="76892"/>
    <s v="2025-09-29"/>
    <n v="1"/>
    <s v="CALI"/>
    <x v="3"/>
    <n v="37313"/>
    <n v="37313"/>
  </r>
  <r>
    <n v="75295"/>
    <s v="BARRIO CEIBAS YUMBO"/>
    <n v="1006844020"/>
    <s v="3122986609"/>
    <s v="3208917499"/>
    <s v="3122986609"/>
    <s v="CR 6 B 10 N 04,CEIBAS"/>
    <s v="3.5904312"/>
    <s v="-76.4906890"/>
    <s v="VALLE DEL CAUCA"/>
    <s v="YUMBO"/>
    <s v="YUMBO"/>
    <n v="76892"/>
    <s v="2025-09-29"/>
    <n v="1"/>
    <s v="CALI"/>
    <x v="3"/>
    <n v="37313"/>
    <n v="37313"/>
  </r>
  <r>
    <n v="75331"/>
    <s v="BARRIO AMAGA AMAGA 1"/>
    <n v="43323381"/>
    <s v="3127756433"/>
    <s v="3127756433"/>
    <s v="3127756433"/>
    <s v="CR 51 47 18,AMAGA"/>
    <s v="6.0381282"/>
    <s v="-75.7043844"/>
    <s v="ANTIOQUIA"/>
    <s v="AMAGÁ"/>
    <s v="AMAGÁ"/>
    <n v="5030"/>
    <s v="2025-09-29"/>
    <n v="1"/>
    <s v="MEDELLIN"/>
    <x v="0"/>
    <n v="37313"/>
    <n v="37313"/>
  </r>
  <r>
    <n v="75875"/>
    <s v="BARRIO BARLOVENTO SINCELEJO "/>
    <n v="64703370"/>
    <s v="3004488103"/>
    <s v="3004488103"/>
    <s v="3004488103"/>
    <s v="CL 26 F 7 C - 24,BARLOVENTO"/>
    <s v="9.2892540"/>
    <s v="-75.4102247"/>
    <s v="SUCRE"/>
    <s v="SINCELEJO"/>
    <s v="SINCELEJO"/>
    <n v="70001"/>
    <s v="2025-09-29"/>
    <n v="1"/>
    <s v="SINCELEJO"/>
    <x v="5"/>
    <n v="49671.7"/>
    <n v="49671.7"/>
  </r>
  <r>
    <n v="75777"/>
    <s v="BARRIO EL POZON CARGENA DE INDIAS "/>
    <n v="1048601895"/>
    <s v="3046064900"/>
    <s v="3046064900"/>
    <s v="3183537351"/>
    <s v="CR 87 MZ 88-7P1 APT 2,EL POZON"/>
    <s v="10.4079786"/>
    <s v="-75.4564043"/>
    <s v="BOLÍVAR"/>
    <s v="CARTAGENA DE INDIAS"/>
    <s v="CARTAGENA DE INDIAS"/>
    <n v="13001"/>
    <s v="2025-09-29"/>
    <n v="1"/>
    <s v="CARTAGENA"/>
    <x v="5"/>
    <n v="49671.7"/>
    <n v="49671.7"/>
  </r>
  <r>
    <n v="80078"/>
    <s v="BARRIO EL RECREO VILLAVICENCIO 1"/>
    <n v="86081282"/>
    <s v="3125608209"/>
    <s v="3125608209"/>
    <s v="3125608209"/>
    <s v="CL 31 11 106 BRR EL RECREO,EL RECREO"/>
    <s v="4.1520239"/>
    <s v="-73.6577222"/>
    <s v="META"/>
    <s v="VILLAVICENCIO"/>
    <s v="VILLAVICENCIO"/>
    <n v="50001"/>
    <s v="2025-09-29"/>
    <n v="1"/>
    <s v="VILLAVICENCIO"/>
    <x v="1"/>
    <n v="49671.7"/>
    <n v="49671.7"/>
  </r>
  <r>
    <n v="75873"/>
    <s v="BARRIO CENTRO PIEDECUESTA PIEDECUESTA"/>
    <n v="1007799635"/>
    <s v="3223214978"/>
    <s v="3223214978"/>
    <s v="3174542980"/>
    <s v="CL 9 # 7 - 96 LC 5-6-7,CENTRO PIEDECUESTA"/>
    <s v="6.9863650"/>
    <s v="-73.0496500"/>
    <s v="SANTANDER"/>
    <s v="PIEDECUESTA"/>
    <s v="PIEDECUESTA"/>
    <n v="68547"/>
    <s v="2025-09-29"/>
    <n v="1"/>
    <s v="BUCARAMANGA"/>
    <x v="4"/>
    <n v="37313"/>
    <n v="37313"/>
  </r>
  <r>
    <n v="79669"/>
    <s v="BARRIO BELLEN MEDELLIN "/>
    <n v="1036610025"/>
    <s v="3212344064"/>
    <s v="3212344064"/>
    <s v="3005243283"/>
    <s v="CR 82 A 30 48,BELEN"/>
    <s v="6.2316945"/>
    <s v="-75.6042550"/>
    <s v="ANTIOQUIA"/>
    <s v="MEDELLÍN"/>
    <s v="MEDELLÍN"/>
    <n v="5001"/>
    <s v="2025-09-29"/>
    <n v="1"/>
    <s v="MEDELLIN"/>
    <x v="0"/>
    <n v="37313"/>
    <n v="37313"/>
  </r>
  <r>
    <n v="77156"/>
    <s v="BARRIO VILLAS DE SAN PABLO BARRANQUILLA 1"/>
    <n v="72195385"/>
    <s v="3016090970"/>
    <s v="3016090970"/>
    <s v="3016090970"/>
    <s v="CR 28 143 - 39,VILLAS DE SAN PABLO"/>
    <s v="10.95947"/>
    <s v="-74.86294"/>
    <s v="ATLÁNTICO"/>
    <s v="BARRANQUILLA"/>
    <s v="BARRANQUILLA"/>
    <n v="8001"/>
    <s v="2025-09-29"/>
    <n v="1"/>
    <s v="BARRANQUILLA"/>
    <x v="5"/>
    <n v="37313"/>
    <n v="37313"/>
  </r>
  <r>
    <n v="77466"/>
    <s v="BARRIO EL LIMONAR NEIVA 1"/>
    <n v="1075301780"/>
    <s v="3115088703"/>
    <s v="3209578059"/>
    <s v="3115088703"/>
    <s v="CL 19 SUR37 41 ,EL LIMONAR"/>
    <s v="2.910795"/>
    <s v="-75.264364"/>
    <s v="HUILA"/>
    <s v="NEIVA"/>
    <s v="NEIVA"/>
    <n v="41001"/>
    <s v="2025-09-29"/>
    <n v="1"/>
    <s v="NEIVA"/>
    <x v="1"/>
    <n v="49671.7"/>
    <n v="49671.7"/>
  </r>
  <r>
    <n v="79584"/>
    <s v="BARRIO SANTA CATALINA VILLAVICENCIO 2"/>
    <n v="51997842"/>
    <s v="3107648948"/>
    <s v="3107648948"/>
    <m/>
    <s v="CL 35 N 14 E 107 - SANTA CATALINA,SANTA CATALINA"/>
    <s v="4.1373593"/>
    <s v="-73.5892086"/>
    <s v="META"/>
    <s v="VILLAVICENCIO"/>
    <s v="VILLAVICENCIO"/>
    <n v="50001"/>
    <s v="2025-09-29"/>
    <n v="1"/>
    <s v="VILLAVICENCIO"/>
    <x v="1"/>
    <n v="49671.7"/>
    <n v="49671.7"/>
  </r>
  <r>
    <n v="79663"/>
    <s v="BARRIO ESTERO VILLAVICENCIO 17"/>
    <n v="901537761"/>
    <s v="3134295521"/>
    <s v="3134295521"/>
    <m/>
    <s v="CL 5 N 11 - 50 BRR ESTERO,ESTERO"/>
    <s v="4.1293031"/>
    <s v="-73.6128273"/>
    <s v="META"/>
    <s v="VILLAVICENCIO"/>
    <s v="VILLAVICENCIO"/>
    <n v="50001"/>
    <s v="2025-09-29"/>
    <n v="1"/>
    <s v="VILLAVICENCIO"/>
    <x v="1"/>
    <n v="49671.7"/>
    <n v="49671.7"/>
  </r>
  <r>
    <n v="77319"/>
    <s v="BARRIO URB ROMERO PAMPLONA"/>
    <n v="80127874"/>
    <s v="3117869935"/>
    <s v="3150532870"/>
    <s v="3150532870"/>
    <s v="CL 9 11A 28 LC ROMERO"/>
    <s v="7.3684621"/>
    <s v="-72.6485205"/>
    <s v="NORTE DE SANTANDER"/>
    <s v="PAMPLONA"/>
    <s v="PAMPLONA"/>
    <n v="54518"/>
    <s v="2025-09-29"/>
    <n v="1"/>
    <s v="CUCUTA"/>
    <x v="4"/>
    <n v="49671.7"/>
    <n v="49671.7"/>
  </r>
  <r>
    <n v="77360"/>
    <s v="BARRIO SANTA LUCIA MONTERIA 2"/>
    <n v="1063177612"/>
    <s v="3233064653"/>
    <s v="3233064653"/>
    <s v="3233064653"/>
    <s v="CR 4 4 34,SANTA LUCIA"/>
    <s v="8.845025"/>
    <s v="-76.036601"/>
    <s v="CÓRDOBA"/>
    <s v="MONTERÍA"/>
    <s v="MONTERÍA"/>
    <n v="23001"/>
    <s v="2025-09-29"/>
    <n v="1"/>
    <s v="MONTERIA"/>
    <x v="5"/>
    <n v="37313"/>
    <n v="37313"/>
  </r>
  <r>
    <n v="79824"/>
    <s v="BARRIO GALAN PIENDAMO 1"/>
    <n v="1061531390"/>
    <s v="3204690843"/>
    <s v="3204690843"/>
    <s v="3204690843"/>
    <s v="CL 9 9 24 BRR GALAN,GALAN"/>
    <s v="2.6407076"/>
    <s v="-76.5307100"/>
    <s v="CAUCA"/>
    <s v="PIENDAMÓ"/>
    <s v="PIENDAMÓ"/>
    <n v="19548"/>
    <s v="2025-09-29"/>
    <n v="1"/>
    <s v="CALI"/>
    <x v="3"/>
    <n v="37313"/>
    <n v="37313"/>
  </r>
  <r>
    <n v="21442"/>
    <s v="BARRIO LA MILAGROSA - RIONEGRO"/>
    <n v="39448439"/>
    <s v="6145032"/>
    <s v="3105999569"/>
    <s v="3105999569"/>
    <s v=" CL 41 38 32"/>
    <s v="6.1532430"/>
    <s v="-75.3630617"/>
    <s v="ANTIOQUIA"/>
    <s v="RIONEGRO"/>
    <s v="RIONEGRO"/>
    <n v="5615"/>
    <s v="2025-09-30"/>
    <n v="1"/>
    <s v="MEDELLIN"/>
    <x v="0"/>
    <n v="37313"/>
    <n v="37313"/>
  </r>
  <r>
    <n v="12549"/>
    <s v="BARRIO CENTENAROIO - PEREIRA"/>
    <n v="42101076"/>
    <s v="3489347"/>
    <s v="3105453416"/>
    <s v="3105453416"/>
    <s v=" CR 15  24-17 LC-2 "/>
    <s v="4.8085337"/>
    <s v="-75.6993211"/>
    <s v="RISARALDA"/>
    <s v="PEREIRA"/>
    <s v="PEREIRA"/>
    <n v="66001"/>
    <s v="2025-09-30"/>
    <n v="1"/>
    <s v="PEREIRA"/>
    <x v="6"/>
    <n v="37313"/>
    <n v="37313"/>
  </r>
  <r>
    <n v="28208"/>
    <s v="BARRIO MIRAVALLE YUMBO"/>
    <n v="16842385"/>
    <s v="2878820"/>
    <s v="3013486595"/>
    <s v="3013486595"/>
    <s v=" KM 9 2 93 VRD MIRAVALLE DE YUMBO"/>
    <s v="3.5722"/>
    <s v="-76.54859"/>
    <s v="VALLE DEL CAUCA"/>
    <s v="YUMBO"/>
    <s v="YUMBO"/>
    <n v="76892"/>
    <s v="2025-09-30"/>
    <n v="1"/>
    <s v="CALI"/>
    <x v="3"/>
    <n v="37313"/>
    <n v="37313"/>
  </r>
  <r>
    <n v="12717"/>
    <s v="LA LAGUNA - PAMPLONA"/>
    <n v="27849873"/>
    <s v="8570037"/>
    <s v="3203411830"/>
    <s v="3203411830"/>
    <s v=" KDX 10- 2 LA LAGUNA"/>
    <s v="7.254309079370306"/>
    <s v="-72.76255889032082"/>
    <s v="NORTE DE SANTANDER"/>
    <s v="PAMPLONA"/>
    <s v="PAMPLONA"/>
    <n v="54518"/>
    <s v="2025-09-30"/>
    <n v="1"/>
    <s v="CUCUTA"/>
    <x v="4"/>
    <n v="49671.7"/>
    <n v="49671.7"/>
  </r>
  <r>
    <n v="25472"/>
    <s v="CENTRO PAMPLONITA - NORTE DE SANTANDER"/>
    <n v="5478694"/>
    <s v="3124398"/>
    <s v="3204020362"/>
    <s v="3204020362"/>
    <s v=" CL 1  1 35"/>
    <s v="7.4372061560198865"/>
    <s v=" -72.63718046947714"/>
    <s v="NORTE DE SANTANDER"/>
    <s v="PAMPLONITA"/>
    <s v="PAMPLONITA"/>
    <n v="54520"/>
    <s v="2025-09-30"/>
    <n v="1"/>
    <s v="CUCUTA"/>
    <x v="4"/>
    <n v="49671.7"/>
    <n v="49671.7"/>
  </r>
  <r>
    <n v="18770"/>
    <s v="BARRIO CENTRO XIX ARMENIA"/>
    <n v="13493848"/>
    <s v="7464616"/>
    <s v="3106126088"/>
    <s v="3103966101"/>
    <s v="CR 17  3 NORTE 33 BR NUEVA CECILIA"/>
    <s v="4.5477064"/>
    <s v="-75.6635073"/>
    <s v="QUINDÍO"/>
    <s v="ARMENIA"/>
    <s v="ARMENIA"/>
    <n v="63001"/>
    <s v="2025-09-30"/>
    <n v="1"/>
    <s v="PEREIRA"/>
    <x v="6"/>
    <n v="37313"/>
    <n v="37313"/>
  </r>
  <r>
    <n v="27268"/>
    <s v="BARRIO RESTREPO IBAGUE"/>
    <n v="51572298"/>
    <s v="6050962"/>
    <s v="3102033705"/>
    <s v="3102033705"/>
    <s v=" CR 6 39 64"/>
    <s v="4.4377242"/>
    <s v="-75.2144596"/>
    <s v="TOLIMA"/>
    <s v="IBAGUÉ"/>
    <s v="IBAGUÉ"/>
    <n v="73001"/>
    <s v="2025-09-30"/>
    <n v="1"/>
    <s v="IBAGUE"/>
    <x v="1"/>
    <n v="49671.7"/>
    <n v="49671.7"/>
  </r>
  <r>
    <n v="31177"/>
    <s v="BARRIO VILLA PAUL FUNZA"/>
    <n v="900756795"/>
    <s v="8221780"/>
    <s v="3143309553"/>
    <s v="3188910180"/>
    <s v=" CL 15 19 67"/>
    <s v="4.7211858"/>
    <s v="-74.2141855"/>
    <s v="CUNDINAMARCA"/>
    <s v="FUNZA"/>
    <s v="FUNZA"/>
    <n v="25286"/>
    <s v="2025-09-30"/>
    <n v="1"/>
    <s v="BOGOTA"/>
    <x v="2"/>
    <n v="37313"/>
    <n v="37313"/>
  </r>
  <r>
    <n v="32647"/>
    <s v="BARRIO CENTRO LEBRIJA"/>
    <n v="63320779"/>
    <s v="6567676"/>
    <s v="3182917529"/>
    <s v="3182917529"/>
    <s v=" CL 8 7 28  CENTRO"/>
    <s v="7.111474"/>
    <s v="-73.216875"/>
    <s v="SANTANDER"/>
    <s v="LEBRIJA"/>
    <s v="LEBRIJA"/>
    <n v="68406"/>
    <s v="2025-09-30"/>
    <n v="1"/>
    <s v="BUCARAMANGA"/>
    <x v="4"/>
    <n v="37313"/>
    <n v="37313"/>
  </r>
  <r>
    <n v="11090"/>
    <s v="AMAGA V - ANTIOQUIA"/>
    <n v="1037629808"/>
    <s v="8471126"/>
    <s v="3013271124"/>
    <s v="3013271124"/>
    <s v="CGT CAMILO C"/>
    <s v="6.025087"/>
    <s v="-75.698959"/>
    <s v="ANTIOQUIA"/>
    <s v="AMAGÁ"/>
    <s v="AMAGÁ"/>
    <n v="5030"/>
    <s v="2025-09-30"/>
    <n v="1"/>
    <s v="MEDELLIN"/>
    <x v="0"/>
    <n v="37313"/>
    <n v="37313"/>
  </r>
  <r>
    <n v="11130"/>
    <s v="BARRIO CHIPRE"/>
    <n v="24851370"/>
    <s v="8822789"/>
    <s v="3128777382"/>
    <s v="3128777382"/>
    <s v=" CL 12  13A-41 LC-4"/>
    <s v="5.0730628"/>
    <s v="-75.5250034"/>
    <s v="CALDAS"/>
    <s v="MANIZALES"/>
    <s v="MANIZALES"/>
    <n v="17001"/>
    <s v="2025-09-30"/>
    <n v="1"/>
    <s v="MANIZALES"/>
    <x v="6"/>
    <n v="49671.7"/>
    <n v="49671.7"/>
  </r>
  <r>
    <n v="13980"/>
    <s v="BELMIRA ANTIOQUIA"/>
    <n v="42843846"/>
    <s v="8674329"/>
    <s v="3242035500"/>
    <s v="3242035500"/>
    <s v=" CL 20  20-50 PAR PRINCIPAL"/>
    <s v="6.6067495"/>
    <s v="-75.6676050"/>
    <s v="ANTIOQUIA"/>
    <s v="BELMIRA"/>
    <s v="BELMIRA"/>
    <n v="5086"/>
    <s v="2025-09-30"/>
    <n v="1"/>
    <s v="MEDELLIN"/>
    <x v="0"/>
    <n v="37313"/>
    <n v="37313"/>
  </r>
  <r>
    <n v="29241"/>
    <s v="BARRIO CENTRO 16 SOGAMOSO"/>
    <n v="46365280"/>
    <s v="7701185"/>
    <s v="3102144937"/>
    <s v="3102144937"/>
    <s v=" CL 12 10 48"/>
    <s v="5.7155"/>
    <s v="-72.927"/>
    <s v="BOYACÁ"/>
    <s v="SOGAMOSO"/>
    <s v="SOGAMOSO"/>
    <n v="15759"/>
    <s v="2025-09-30"/>
    <n v="2"/>
    <s v="TUNJA"/>
    <x v="4"/>
    <n v="49671.7"/>
    <n v="99343.4"/>
  </r>
  <r>
    <n v="22893"/>
    <s v="BARRIO LLERAS III - MANIZALES"/>
    <n v="900168908"/>
    <s v="8853687"/>
    <s v="3105206252"/>
    <s v="3105206252"/>
    <s v=" CR 25 45 08 LOCAL 1"/>
    <s v="5.06528667"/>
    <s v="-75.50158417"/>
    <s v="CALDAS"/>
    <s v="MANIZALES"/>
    <s v="MANIZALES"/>
    <n v="17001"/>
    <s v="2025-09-30"/>
    <n v="1"/>
    <s v="MANIZALES"/>
    <x v="6"/>
    <n v="49671.7"/>
    <n v="49671.7"/>
  </r>
  <r>
    <n v="26780"/>
    <s v="BARRIO BOSQUE 3 CARTAGENA DE INDIAS"/>
    <n v="73180071"/>
    <s v="6769517"/>
    <s v="3145666208"/>
    <s v="3133962915"/>
    <s v=" BOSQUE AV BUENOS AIRES DG 21 D 47 20 CRTAGENA DE INDIAS CRTAGENA BOLIVAR"/>
    <s v="10.399650"/>
    <s v="-75.5202550"/>
    <s v="BOLÍVAR"/>
    <s v="CARTAGENA DE INDIAS"/>
    <s v="CARTAGENA DE INDIAS"/>
    <n v="13001"/>
    <s v="2025-09-30"/>
    <n v="1"/>
    <s v="CARTAGENA"/>
    <x v="5"/>
    <n v="49671.7"/>
    <n v="49671.7"/>
  </r>
  <r>
    <n v="28364"/>
    <s v="BARRIO EL PORVENIR 3 RIONEGRO"/>
    <n v="39456947"/>
    <s v="5316817"/>
    <s v="3206751332"/>
    <s v="3206751332"/>
    <s v=" CL 41 70 54"/>
    <s v="6.1491268"/>
    <s v="-75.3906941"/>
    <s v="ANTIOQUIA"/>
    <s v="RIONEGRO"/>
    <s v="RIONEGRO"/>
    <n v="5615"/>
    <s v="2025-09-30"/>
    <n v="1"/>
    <s v="MEDELLIN"/>
    <x v="0"/>
    <n v="37313"/>
    <n v="37313"/>
  </r>
  <r>
    <n v="29492"/>
    <s v="BARRIO PARQUE PRINCIPAL BELMIRA"/>
    <n v="98554809"/>
    <s v="8674176"/>
    <s v="3105063638"/>
    <s v="3105063638"/>
    <s v=" CR 21 20 39"/>
    <s v="6.6066030"/>
    <s v="-75.6676005"/>
    <s v="ANTIOQUIA"/>
    <s v="BELMIRA"/>
    <s v="BELMIRA"/>
    <n v="5086"/>
    <s v="2025-09-30"/>
    <n v="1"/>
    <s v="MEDELLIN"/>
    <x v="0"/>
    <n v="37313"/>
    <n v="37313"/>
  </r>
  <r>
    <n v="35759"/>
    <s v=" BARRIO ORO NEGRO ARMENIA   "/>
    <n v="41962486"/>
    <m/>
    <s v="3146400909"/>
    <s v="3146400909"/>
    <s v="CR 14 45 NORTE 15 LC 1 DENTRO DE EDS TERPEL ORO NEGRO"/>
    <s v="4.576178"/>
    <s v="-75.644613"/>
    <s v="QUINDÍO"/>
    <s v="ARMENIA"/>
    <s v="ARMENIA"/>
    <n v="63001"/>
    <s v="2025-09-30"/>
    <n v="1"/>
    <s v="PEREIRA"/>
    <x v="6"/>
    <n v="37313"/>
    <n v="37313"/>
  </r>
  <r>
    <n v="27520"/>
    <s v="BARRIO AVENIDA BOLIVAR - ARMENIA"/>
    <n v="800014251"/>
    <s v="7457527"/>
    <s v="3176361667"/>
    <s v="3176361667"/>
    <s v=" CL 2 14 01 CE BOLIVAR ARMENIA  ARMENIA  QUINDIO"/>
    <s v="4.54294422"/>
    <s v="-75.66413058"/>
    <s v="QUINDÍO"/>
    <s v="ARMENIA"/>
    <s v="ARMENIA"/>
    <n v="63001"/>
    <s v="2025-09-30"/>
    <n v="1"/>
    <s v="PEREIRA"/>
    <x v="6"/>
    <n v="37313"/>
    <n v="37313"/>
  </r>
  <r>
    <n v="32943"/>
    <s v="BARRIO MARIA AUXILIADORA MARINILLA"/>
    <n v="900563044"/>
    <s v="5487607"/>
    <s v="3163235663"/>
    <s v="3163235663"/>
    <s v=" CL CR 30 38 81"/>
    <s v="6.1765553"/>
    <s v="-75.3405569"/>
    <s v="ANTIOQUIA"/>
    <s v="MARINILLA"/>
    <s v="MARINILLA"/>
    <n v="5440"/>
    <s v="2025-09-30"/>
    <n v="1"/>
    <s v="MEDELLIN"/>
    <x v="0"/>
    <n v="37313"/>
    <n v="37313"/>
  </r>
  <r>
    <n v="36496"/>
    <s v="BARRIO LA FOGATA ARMENIA"/>
    <n v="33819413"/>
    <s v="7450855"/>
    <s v="3103851923"/>
    <s v="3103851923"/>
    <s v=" CR 14 13  26/28"/>
    <s v="4.5527522"/>
    <s v="-75.6581386"/>
    <s v="QUINDÍO"/>
    <s v="ARMENIA"/>
    <s v="ARMENIA"/>
    <n v="63001"/>
    <s v="2025-09-30"/>
    <n v="1"/>
    <s v="PEREIRA"/>
    <x v="6"/>
    <n v="37313"/>
    <n v="37313"/>
  </r>
  <r>
    <n v="33979"/>
    <s v="BARRIO EL CENTRO VALLEDUPAR 1"/>
    <n v="901185479"/>
    <m/>
    <s v="3224540260"/>
    <s v="3224540260"/>
    <s v=" CL 16 B 7 A 09"/>
    <s v="10.47483166"/>
    <s v="-73.244953333"/>
    <s v="CESAR"/>
    <s v="VALLEDUPAR"/>
    <s v="VALLEDUPAR"/>
    <n v="20001"/>
    <s v="2025-09-30"/>
    <n v="1"/>
    <s v="VALLEDUPAR"/>
    <x v="5"/>
    <n v="49671.7"/>
    <n v="49671.7"/>
  </r>
  <r>
    <n v="36663"/>
    <s v=" BARRIO CIUDADELA 20 DE JULIO BARRANQUILLA   4"/>
    <n v="12591921"/>
    <s v="3247311"/>
    <s v="3116857973"/>
    <s v="3116857973"/>
    <s v=" CL 49 8B SUR 34 CIUDADELA 20 DE JULIO"/>
    <s v="10.9244816"/>
    <s v="-74.8117039"/>
    <s v="ATLÁNTICO"/>
    <s v="BARRANQUILLA"/>
    <s v="BARRANQUILLA"/>
    <n v="8001"/>
    <s v="2025-09-30"/>
    <n v="1"/>
    <s v="BARRANQUILLA"/>
    <x v="5"/>
    <n v="37313"/>
    <n v="37313"/>
  </r>
  <r>
    <n v="29778"/>
    <s v="BARRIO MARINILLA ANTIOQUIA"/>
    <n v="1038405627"/>
    <s v="5602390"/>
    <s v="3127227055"/>
    <s v="3127227055"/>
    <s v=" CR 33 32 A 60"/>
    <s v="6.1769059"/>
    <s v="-75.3351824"/>
    <s v="ANTIOQUIA"/>
    <s v="MARINILLA"/>
    <s v="MARINILLA"/>
    <n v="5440"/>
    <s v="2025-09-30"/>
    <n v="2"/>
    <s v="MEDELLIN"/>
    <x v="0"/>
    <n v="37313"/>
    <n v="74626"/>
  </r>
  <r>
    <n v="28542"/>
    <s v="BARRIO SAN FELIPE 1 PASTO"/>
    <n v="89003694"/>
    <s v="7296439"/>
    <s v="3217466807"/>
    <s v="3217466807"/>
    <s v=" kr 4 Nº 7 60 O ero"/>
    <s v="1.2848793"/>
    <s v="-77.4711549"/>
    <s v="NARIÑO"/>
    <s v="SANDONÁ"/>
    <s v="SANDONÁ"/>
    <n v="52683"/>
    <s v="2025-09-30"/>
    <n v="1"/>
    <s v="PASTO"/>
    <x v="3"/>
    <n v="49671.7"/>
    <n v="49671.7"/>
  </r>
  <r>
    <n v="35334"/>
    <s v="BARRIO LA ESPERANZA YOPAL"/>
    <n v="5626375"/>
    <s v="6323091"/>
    <s v="3103346006"/>
    <s v="3103346006"/>
    <s v=" CL 24 16 68"/>
    <s v="5.3345152"/>
    <s v="-72.3968480"/>
    <s v="CASANARE"/>
    <s v="YOPAL"/>
    <s v="YOPAL"/>
    <n v="85001"/>
    <s v="2025-09-30"/>
    <n v="1"/>
    <s v="YOPAL"/>
    <x v="1"/>
    <n v="49671.7"/>
    <n v="49671.7"/>
  </r>
  <r>
    <n v="41244"/>
    <s v="BARRIO CENTRO SINCELEJO 12"/>
    <n v="1110450094"/>
    <s v="2808194"/>
    <s v="3214951565"/>
    <s v="3214951565"/>
    <s v="CR 20 22 42,CENTRO"/>
    <s v="9.3015557"/>
    <s v="-75.3937823"/>
    <s v="SUCRE"/>
    <s v="SINCELEJO"/>
    <s v="SINCELEJO"/>
    <n v="70001"/>
    <s v="2025-09-30"/>
    <n v="1"/>
    <s v="SINCELEJO"/>
    <x v="5"/>
    <n v="49671.7"/>
    <n v="49671.7"/>
  </r>
  <r>
    <n v="48419"/>
    <s v="BARRIO SUBA SANTA CECILIA BOGOTA 2"/>
    <n v="53177920"/>
    <s v="1"/>
    <s v="3164358348"/>
    <s v="3164358348"/>
    <s v="CL 132 D 155 04,SUBA SANTA CECILIA"/>
    <s v="4.7419367"/>
    <s v="-74.1257083"/>
    <s v="CUNDINAMARCA"/>
    <s v="BOGOTÁ"/>
    <s v="BOGOTÁ"/>
    <n v="11001"/>
    <s v="2025-09-30"/>
    <n v="1"/>
    <s v="BOGOTA"/>
    <x v="2"/>
    <n v="37313"/>
    <n v="37313"/>
  </r>
  <r>
    <n v="35305"/>
    <s v="BARRIO MARIA AUXILIADORA  1 MARINILLA"/>
    <n v="900407191"/>
    <s v="5450856"/>
    <s v="3023818152"/>
    <s v="3127047087"/>
    <s v=" CL 30 36 41"/>
    <s v="6.1754809"/>
    <s v="-75.3388793"/>
    <s v="ANTIOQUIA"/>
    <s v="MARINILLA"/>
    <s v="MARINILLA"/>
    <n v="5440"/>
    <s v="2025-09-30"/>
    <n v="1"/>
    <s v="MEDELLIN"/>
    <x v="0"/>
    <n v="37313"/>
    <n v="37313"/>
  </r>
  <r>
    <n v="44891"/>
    <s v="BARRIO LA NUEVA CECILIA ARMENIA 1"/>
    <n v="801001443"/>
    <s v="7466560"/>
    <s v="3203819838"/>
    <s v="3216417533"/>
    <s v="CL 3 N 14 34,LA NUEVA CECILIA"/>
    <s v="4.5470333"/>
    <s v="-75.662320"/>
    <s v="QUINDÍO"/>
    <s v="ARMENIA"/>
    <s v="ARMENIA"/>
    <n v="63001"/>
    <s v="2025-09-30"/>
    <n v="1"/>
    <s v="PEREIRA"/>
    <x v="6"/>
    <n v="37313"/>
    <n v="37313"/>
  </r>
  <r>
    <n v="49555"/>
    <s v="BARRIO MANZANARES DUITAMA 1"/>
    <n v="23323319"/>
    <s v="3133089538"/>
    <s v="3118244474"/>
    <s v="3133089538"/>
    <s v="CL 18 NO.4-44,MANZANARES"/>
    <s v="5.832668"/>
    <s v="-73.034694"/>
    <s v="BOYACÁ"/>
    <s v="DUITAMA"/>
    <s v="DUITAMA"/>
    <n v="15238"/>
    <s v="2025-09-30"/>
    <n v="1"/>
    <s v="TUNJA"/>
    <x v="4"/>
    <n v="49671.7"/>
    <n v="49671.7"/>
  </r>
  <r>
    <n v="41413"/>
    <s v="BARRIO CIUDADELA 20 DEJULIO BARRANQUILLA"/>
    <n v="37549214"/>
    <s v="3645696"/>
    <s v="3215129824"/>
    <s v="3215129824"/>
    <s v="CL 46 J 1 62,CIUDADELA 20 DE JULIO"/>
    <s v="10.93138"/>
    <s v="-74.80513"/>
    <s v="ATLÁNTICO"/>
    <s v="BARRANQUILLA"/>
    <s v="BARRANQUILLA"/>
    <n v="8001"/>
    <s v="2025-09-30"/>
    <n v="1"/>
    <s v="BARRANQUILLA"/>
    <x v="5"/>
    <n v="37313"/>
    <n v="37313"/>
  </r>
  <r>
    <n v="41819"/>
    <s v="BARRIO SAN ISIDRO BARRANQUILLA 1"/>
    <n v="32719510"/>
    <s v="3022537739"/>
    <s v="3022537739"/>
    <s v="3022537739"/>
    <s v="CL 47 B N  26  100 bloque 34 1 D"/>
    <s v="10.96904"/>
    <s v="-74.79254"/>
    <s v="ATLÁNTICO"/>
    <s v="BARRANQUILLA"/>
    <s v="BARRANQUILLA"/>
    <n v="8001"/>
    <s v="2025-09-30"/>
    <n v="1"/>
    <s v="BARRANQUILLA"/>
    <x v="5"/>
    <n v="37313"/>
    <n v="37313"/>
  </r>
  <r>
    <n v="43161"/>
    <s v="BARRIO CENTRO SOGAMOSO 13"/>
    <n v="33449070"/>
    <s v="3043910558"/>
    <s v="3118146584"/>
    <s v="3114942073"/>
    <s v="CR 26 6A-43,CENTRO"/>
    <s v="5.717"/>
    <s v="-72.942"/>
    <s v="BOYACÁ"/>
    <s v="SOGAMOSO"/>
    <s v="SOGAMOSO"/>
    <n v="15759"/>
    <s v="2025-09-30"/>
    <n v="1"/>
    <s v="TUNJA"/>
    <x v="4"/>
    <n v="49671.7"/>
    <n v="49671.7"/>
  </r>
  <r>
    <n v="47379"/>
    <s v="BARRIO CENTRO SOGAMOSO 18"/>
    <n v="46665560"/>
    <s v="3138930193"/>
    <s v="3138930193"/>
    <s v="3108072316"/>
    <s v="CL 16 NO.13-02,CENTRO"/>
    <s v="5.720"/>
    <s v="-72.927"/>
    <s v="BOYACÁ"/>
    <s v="SOGAMOSO"/>
    <s v="SOGAMOSO"/>
    <n v="15759"/>
    <s v="2025-09-30"/>
    <n v="1"/>
    <s v="TUNJA"/>
    <x v="4"/>
    <n v="49671.7"/>
    <n v="49671.7"/>
  </r>
  <r>
    <n v="45648"/>
    <s v="BARRIO CENTRO SOGAMOSO 15"/>
    <n v="46379941"/>
    <s v="3214617764"/>
    <s v="3214617764"/>
    <s v="3214617764"/>
    <s v="CR 10 14-137 LOCAL 1,CENTRO"/>
    <s v="5.717"/>
    <s v="-72.925"/>
    <s v="BOYACÁ"/>
    <s v="SOGAMOSO"/>
    <s v="SOGAMOSO"/>
    <n v="15759"/>
    <s v="2025-09-30"/>
    <n v="1"/>
    <s v="TUNJA"/>
    <x v="4"/>
    <n v="49671.7"/>
    <n v="49671.7"/>
  </r>
  <r>
    <n v="45639"/>
    <s v="BARRIO CAMILO C AMAGA 1"/>
    <n v="21437463"/>
    <s v="8471793"/>
    <s v="3122903616"/>
    <s v="3122903616"/>
    <s v="CGT CAMILO C"/>
    <s v="6.025644"/>
    <s v="-75.698904"/>
    <s v="ANTIOQUIA"/>
    <s v="AMAGÁ"/>
    <s v="AMAGÁ"/>
    <n v="5030"/>
    <s v="2025-09-30"/>
    <n v="1"/>
    <s v="MEDELLIN"/>
    <x v="0"/>
    <n v="37313"/>
    <n v="37313"/>
  </r>
  <r>
    <n v="37908"/>
    <s v="BARRIO GALERIA SANTA BARBARA"/>
    <n v="43715655"/>
    <s v="8463227"/>
    <s v="3045776134"/>
    <s v="3125811727"/>
    <s v=" CL SALGAE 49 26 GALERIA"/>
    <s v="5.8758620"/>
    <s v="-75.5677981"/>
    <s v="ANTIOQUIA"/>
    <s v="SANTA BÁRBARA"/>
    <s v="SANTA BÁRBARA"/>
    <n v="5679"/>
    <s v="2025-09-30"/>
    <n v="1"/>
    <s v="MEDELLIN"/>
    <x v="0"/>
    <n v="37313"/>
    <n v="37313"/>
  </r>
  <r>
    <n v="39130"/>
    <s v="BARRIO LA CLARITA AMAGA"/>
    <n v="15517827"/>
    <m/>
    <s v="3135202352"/>
    <s v="3007021470"/>
    <s v="VRD LA CLARITA"/>
    <s v="6.075114"/>
    <s v="-75.571243"/>
    <s v="ANTIOQUIA"/>
    <s v="AMAGÁ"/>
    <s v="AMAGÁ"/>
    <n v="5030"/>
    <s v="2025-09-30"/>
    <n v="1"/>
    <s v="MEDELLIN"/>
    <x v="0"/>
    <n v="37313"/>
    <n v="37313"/>
  </r>
  <r>
    <n v="43269"/>
    <s v="BARRIO JUAN MOTON MERCADERES"/>
    <n v="1061018823"/>
    <s v="3217361318"/>
    <s v="3217361318"/>
    <s v="3137490344"/>
    <s v="CR 3 8 32 BRR JUAN MOTON"/>
    <s v="1.796320"/>
    <s v="-77.163986"/>
    <s v="CAUCA"/>
    <s v="MERCADERES"/>
    <s v="MERCADERES"/>
    <n v="19450"/>
    <s v="2025-09-30"/>
    <n v="1"/>
    <s v="CALI"/>
    <x v="3"/>
    <n v="37313"/>
    <n v="37313"/>
  </r>
  <r>
    <n v="52558"/>
    <s v="BARRIO EL PROGRESO MERCADERES 2"/>
    <n v="901043970"/>
    <s v="0"/>
    <s v="3113539568"/>
    <s v="3117702945"/>
    <s v="TV 2 9 49,EL PROGRESO"/>
    <s v="1.7956326"/>
    <s v="-77.1634417"/>
    <s v="CAUCA"/>
    <s v="MERCADERES"/>
    <s v="MERCADERES"/>
    <n v="19450"/>
    <s v="2025-09-30"/>
    <n v="1"/>
    <s v="CALI"/>
    <x v="3"/>
    <n v="37313"/>
    <n v="37313"/>
  </r>
  <r>
    <n v="47170"/>
    <s v="BARRIO EDUARDO SANTOS BOGOTA 4"/>
    <n v="1099547221"/>
    <s v="1"/>
    <s v="3053595768"/>
    <s v="3138160512"/>
    <s v="CR 16 4 55,EDUARDO SANTOS"/>
    <s v="4.5972028"/>
    <s v="-74.0873920"/>
    <s v="CUNDINAMARCA"/>
    <s v="BOGOTÁ"/>
    <s v="BOGOTÁ"/>
    <n v="11001"/>
    <s v="2025-09-30"/>
    <n v="1"/>
    <s v="BOGOTA"/>
    <x v="2"/>
    <n v="37313"/>
    <n v="37313"/>
  </r>
  <r>
    <n v="48260"/>
    <s v="BARRIO SEMILLITAS MARINILLA"/>
    <n v="1041326261"/>
    <s v="0"/>
    <s v="3113737311"/>
    <s v="3113737311"/>
    <s v="CL 32 33 07 LC 101,SEMILLITAS"/>
    <s v="6.1756762"/>
    <s v="-75.3359412"/>
    <s v="ANTIOQUIA"/>
    <s v="MARINILLA"/>
    <s v="MARINILLA"/>
    <n v="5440"/>
    <s v="2025-09-30"/>
    <n v="1"/>
    <s v="MEDELLIN"/>
    <x v="0"/>
    <n v="37313"/>
    <n v="37313"/>
  </r>
  <r>
    <n v="50617"/>
    <s v="BARRIO CENTRO SOGAMOSO 21"/>
    <n v="1057577064"/>
    <s v="3142914142"/>
    <s v="3142914142"/>
    <s v="3142914142"/>
    <s v="CL 15 NO.12-17,CENTRO"/>
    <s v="5.719"/>
    <s v="-72.927"/>
    <s v="BOYACÁ"/>
    <s v="SOGAMOSO"/>
    <s v="SOGAMOSO"/>
    <n v="15759"/>
    <s v="2025-09-30"/>
    <n v="1"/>
    <s v="TUNJA"/>
    <x v="4"/>
    <n v="49671.7"/>
    <n v="49671.7"/>
  </r>
  <r>
    <n v="51513"/>
    <s v="BARRIO PARQUE SANTA BARBARA SANTA BARBARA"/>
    <n v="8456727"/>
    <s v="8463111"/>
    <s v="3116179117"/>
    <s v="3145113203"/>
    <s v="CARRERA 51 NO. 51 38,PARQUE SANTA BARBARA"/>
    <s v="5.875160"/>
    <s v="-75.568009"/>
    <s v="ANTIOQUIA"/>
    <s v="SANTA BÁRBARA"/>
    <s v="SANTA BÁRBARA"/>
    <n v="5679"/>
    <s v="2025-09-30"/>
    <n v="1"/>
    <s v="MEDELLIN"/>
    <x v="0"/>
    <n v="37313"/>
    <n v="37313"/>
  </r>
  <r>
    <n v="49801"/>
    <s v="BARRIO CENTRO LEBRIJA 6"/>
    <n v="5670392"/>
    <s v="3183121765"/>
    <s v="3183121840"/>
    <s v="3183121765"/>
    <s v="CL 8 9 14,CENTRO"/>
    <s v="7.111407"/>
    <s v="-73.218563"/>
    <s v="SANTANDER"/>
    <s v="LEBRIJA"/>
    <s v="LEBRIJA"/>
    <n v="68406"/>
    <s v="2025-09-30"/>
    <n v="1"/>
    <s v="BUCARAMANGA"/>
    <x v="4"/>
    <n v="37313"/>
    <n v="37313"/>
  </r>
  <r>
    <n v="53706"/>
    <s v="BARRIO VEREDA EL COFRE CAJIBIO"/>
    <n v="901248784"/>
    <s v="0"/>
    <s v="3234129448"/>
    <s v="3234129448"/>
    <s v="VEREDA EL COFRE"/>
    <s v="2.565076"/>
    <s v="-76.5636095"/>
    <s v="CAUCA"/>
    <s v="CAJIBÍO"/>
    <s v="CAJIBÍO"/>
    <n v="19130"/>
    <s v="2025-09-30"/>
    <n v="1"/>
    <s v="CALI"/>
    <x v="3"/>
    <n v="37313"/>
    <n v="37313"/>
  </r>
  <r>
    <n v="55155"/>
    <s v="BARRIO ESTACION URIBE MANIZALES"/>
    <n v="890804987"/>
    <s v="8899132"/>
    <s v="3102328909"/>
    <s v="3108211685"/>
    <s v="ESTACION URIBE"/>
    <s v="5.048337"/>
    <s v="-75.528282"/>
    <s v="CALDAS"/>
    <s v="MANIZALES"/>
    <s v="MANIZALES"/>
    <n v="17001"/>
    <s v="2025-09-30"/>
    <n v="1"/>
    <s v="MANIZALES"/>
    <x v="6"/>
    <n v="49671.7"/>
    <n v="49671.7"/>
  </r>
  <r>
    <n v="52921"/>
    <s v="BARRIO JOSE JOAQUIN CAMACHO TUNJA 1"/>
    <n v="1049602894"/>
    <s v="3102106132"/>
    <s v="3102106132"/>
    <s v="3102106132"/>
    <s v="CL 49 9 24"/>
    <s v="5.55843631"/>
    <s v="-73.35200369"/>
    <s v="BOYACÁ"/>
    <s v="TUNJA"/>
    <s v="TUNJA"/>
    <n v="15001"/>
    <s v="2025-09-30"/>
    <n v="1"/>
    <s v="TUNJA"/>
    <x v="4"/>
    <n v="49671.7"/>
    <n v="49671.7"/>
  </r>
  <r>
    <n v="52976"/>
    <s v="BARRIO SOACHA SOACHA 5"/>
    <n v="51946136"/>
    <s v="0"/>
    <s v="3133820961"/>
    <s v="3133820961"/>
    <s v="CR 32 13 226 TO 19 LC 101 B, CON ABEDUL, CIUDAD VERDE"/>
    <s v="4.601774"/>
    <s v="-74.220835"/>
    <s v="CUNDINAMARCA"/>
    <s v="SOACHA"/>
    <s v="SOACHA"/>
    <n v="25754"/>
    <s v="2025-09-30"/>
    <n v="1"/>
    <s v="BOGOTA"/>
    <x v="2"/>
    <n v="37313"/>
    <n v="37313"/>
  </r>
  <r>
    <n v="55159"/>
    <s v="BARRIO KENNEDY BOGOTA 10"/>
    <n v="80737899"/>
    <s v="0"/>
    <s v="3212226198"/>
    <s v="3212226198"/>
    <s v="CL 40 C SUR 79 D 15"/>
    <s v="4.623759"/>
    <s v="-74.159998"/>
    <s v="CUNDINAMARCA"/>
    <s v="BOGOTÁ"/>
    <s v="BOGOTÁ"/>
    <n v="11001"/>
    <s v="2025-09-30"/>
    <n v="1"/>
    <s v="BOGOTA"/>
    <x v="2"/>
    <n v="37313"/>
    <n v="37313"/>
  </r>
  <r>
    <n v="57851"/>
    <s v="BARRIO EL PROGRESO MERCADERES 3"/>
    <n v="10593738"/>
    <s v="0"/>
    <s v="3106021759"/>
    <s v="3106021759"/>
    <s v="CR 3 BRR EL PROGRESO"/>
    <s v="1.79572638"/>
    <s v="-77.163700000"/>
    <s v="CAUCA"/>
    <s v="MERCADERES"/>
    <s v="MERCADERES"/>
    <n v="19450"/>
    <s v="2025-09-30"/>
    <n v="1"/>
    <s v="CALI"/>
    <x v="3"/>
    <n v="37313"/>
    <n v="37313"/>
  </r>
  <r>
    <n v="56763"/>
    <s v="BARRIO BOSQUES DE ABAJAM VILLAVICENCIO 3"/>
    <n v="80222731"/>
    <s v="3213739646"/>
    <s v="3213739646"/>
    <s v="3213739646"/>
    <s v="MZ M CASA NO. 1 BOSQUES DE ABAJAM"/>
    <s v="4.1410127"/>
    <s v="-73.5903940"/>
    <s v="META"/>
    <s v="VILLAVICENCIO"/>
    <s v="VILLAVICENCIO"/>
    <n v="50001"/>
    <s v="2025-09-30"/>
    <n v="1"/>
    <s v="VILLAVICENCIO"/>
    <x v="1"/>
    <n v="49671.7"/>
    <n v="49671.7"/>
  </r>
  <r>
    <n v="58206"/>
    <s v="BARRIO CENTRO MALAMBO 1"/>
    <n v="1088244250"/>
    <s v="3046162459"/>
    <s v="3046162459"/>
    <s v="3046162459"/>
    <s v="CL 10 13 69,CENTRO"/>
    <s v="10.8612129"/>
    <s v="-74.7737388"/>
    <s v="ATLÁNTICO"/>
    <s v="MALAMBO"/>
    <s v="MALAMBO"/>
    <n v="8433"/>
    <s v="2025-09-30"/>
    <n v="1"/>
    <s v="BARRANQUILLA"/>
    <x v="5"/>
    <n v="37313"/>
    <n v="37313"/>
  </r>
  <r>
    <n v="58686"/>
    <s v="BARRIO PICALEÑA IBAGUE 3"/>
    <n v="85438236"/>
    <s v="0"/>
    <s v="3152409009"/>
    <s v="3143124633"/>
    <s v="CR 19 A SUR # 156-176,PICALEÑA"/>
    <s v="4.39431750"/>
    <s v="-75.13710666"/>
    <s v="TOLIMA"/>
    <s v="IBAGUÉ"/>
    <s v="IBAGUÉ"/>
    <n v="73001"/>
    <s v="2025-09-30"/>
    <n v="1"/>
    <s v="IBAGUE"/>
    <x v="1"/>
    <n v="49671.7"/>
    <n v="49671.7"/>
  </r>
  <r>
    <n v="58956"/>
    <s v="BARRIO PAISAJE DE LAS FLORES JAMUNDI"/>
    <n v="34315611"/>
    <s v="0"/>
    <s v="3137621165"/>
    <s v="3137621165"/>
    <s v="CR 53B SUR 22-95"/>
    <s v="3.2388726"/>
    <s v="-76.5015016"/>
    <s v="VALLE DEL CAUCA"/>
    <s v="JAMUNDÍ"/>
    <s v="JAMUNDÍ"/>
    <n v="76364"/>
    <s v="2025-09-30"/>
    <n v="1"/>
    <s v="CALI"/>
    <x v="3"/>
    <n v="37313"/>
    <n v="37313"/>
  </r>
  <r>
    <n v="59054"/>
    <s v="BARRIO HERNANDO GOMEZ SANDONA"/>
    <n v="87571911"/>
    <s v="3148103637"/>
    <s v="3148103637"/>
    <s v="3196674484"/>
    <s v="CL 8 3 57 BARRIO HERNANDO GOMEZ,"/>
    <s v="1.2839650"/>
    <s v="-77.4711285"/>
    <s v="NARIÑO"/>
    <s v="SANDONÁ"/>
    <s v="SANDONÁ"/>
    <n v="52683"/>
    <s v="2025-09-30"/>
    <n v="1"/>
    <s v="PASTO"/>
    <x v="3"/>
    <n v="49671.7"/>
    <n v="49671.7"/>
  </r>
  <r>
    <n v="52290"/>
    <s v="BARRIO CALLE PRINCIPAL SANTA BARBARA"/>
    <n v="39388115"/>
    <s v="0"/>
    <s v="3155965275"/>
    <s v="3155965275"/>
    <s v="CR 50 56 107,CALLE PRINCIPAL"/>
    <s v="5.881389"/>
    <s v="-75.5714642"/>
    <s v="ANTIOQUIA"/>
    <s v="SANTA BÁRBARA"/>
    <s v="SANTA BÁRBARA"/>
    <n v="5679"/>
    <s v="2025-09-30"/>
    <n v="1"/>
    <s v="MEDELLIN"/>
    <x v="0"/>
    <n v="37313"/>
    <n v="37313"/>
  </r>
  <r>
    <n v="56200"/>
    <s v="  BARRIO URBANIZACION SAN SEBASTIAN IBAGUE   "/>
    <n v="1109068743"/>
    <s v="0"/>
    <s v="3212509182"/>
    <s v="3212509182"/>
    <s v="MZ K CASA 89,URBANIZACIÓN SAN SEBASTIÁN"/>
    <s v="4.447755"/>
    <s v="-75.152050"/>
    <s v="TOLIMA"/>
    <s v="IBAGUÉ"/>
    <s v="IBAGUÉ"/>
    <n v="73001"/>
    <s v="2025-09-30"/>
    <n v="1"/>
    <s v="IBAGUE"/>
    <x v="1"/>
    <n v="49671.7"/>
    <n v="49671.7"/>
  </r>
  <r>
    <n v="57804"/>
    <s v="BARRIO EL VOLANTE SALAZAR 1"/>
    <n v="60266398"/>
    <s v="3223913758"/>
    <s v="3223913758"/>
    <s v="3223913758"/>
    <s v="CR 7 NO 1-35,EL VOLANTE"/>
    <s v="7.7733885"/>
    <s v="-72.8094577"/>
    <s v="NORTE DE SANTANDER"/>
    <s v="SALAZAR"/>
    <s v="SALAZAR DE LAS PALMAS"/>
    <n v="54660"/>
    <s v="2025-09-30"/>
    <n v="1"/>
    <s v="CUCUTA"/>
    <x v="4"/>
    <n v="49671.7"/>
    <n v="49671.7"/>
  </r>
  <r>
    <n v="58395"/>
    <s v="BARRIO REMANSOS DE LA SABANA TUNJA"/>
    <n v="23965507"/>
    <s v="3138924103"/>
    <s v="3138924103"/>
    <s v="3138924103"/>
    <s v="AV UNIVERSITARIA 47 12,LOCAL 3,C.C. TOTOCENTRO,REMANSOS DE LA SABANA"/>
    <s v="5.5523957"/>
    <s v="-73.3455865"/>
    <s v="BOYACÁ"/>
    <s v="TUNJA"/>
    <s v="TUNJA"/>
    <n v="15001"/>
    <s v="2025-09-30"/>
    <n v="1"/>
    <s v="TUNJA"/>
    <x v="4"/>
    <n v="49671.7"/>
    <n v="49671.7"/>
  </r>
  <r>
    <n v="60811"/>
    <s v="BARRIO JUAN XXIII FLORENCIA 2"/>
    <n v="1117516366"/>
    <s v="3115593349"/>
    <s v="3115593349"/>
    <s v="3115593349"/>
    <s v="CR 15 6 26 LOCAL 3,JUAN XXIII"/>
    <s v="1.608824"/>
    <s v="-75.608047"/>
    <s v="CAQUETÁ"/>
    <s v="FLORENCIA"/>
    <s v="FLORENCIA"/>
    <n v="18001"/>
    <s v="2025-09-30"/>
    <n v="1"/>
    <s v="NEIVA"/>
    <x v="1"/>
    <n v="49671.7"/>
    <n v="49671.7"/>
  </r>
  <r>
    <n v="61261"/>
    <s v="BARRIO LAS CANOAS COPACABANA"/>
    <n v="42691558"/>
    <s v="0"/>
    <s v="3216669223"/>
    <s v="3216669223"/>
    <s v="CL 43 34 178,LAS CANOAS"/>
    <s v="6.350109"/>
    <s v="-75.4980211"/>
    <s v="ANTIOQUIA"/>
    <s v="COPACABANA"/>
    <s v="COPACABANA"/>
    <n v="5212"/>
    <s v="2025-09-30"/>
    <n v="1"/>
    <s v="MEDELLIN"/>
    <x v="0"/>
    <n v="37313"/>
    <n v="37313"/>
  </r>
  <r>
    <n v="61195"/>
    <s v="BARRIO CIUDAD VERDE SOAHCA"/>
    <n v="79217292"/>
    <s v="0"/>
    <s v="3158079239"/>
    <s v="3164870094"/>
    <s v="CR 34 A 37 77 TO 29 AP 1113,CIUDAD VERDE"/>
    <s v="4.608837"/>
    <s v="-74.214259"/>
    <s v="CUNDINAMARCA"/>
    <s v="SOACHA"/>
    <s v="SOACHA"/>
    <n v="25754"/>
    <s v="2025-09-30"/>
    <n v="1"/>
    <s v="BOGOTA"/>
    <x v="2"/>
    <n v="37313"/>
    <n v="37313"/>
  </r>
  <r>
    <n v="61811"/>
    <s v="BARRIO PRIMERO DE MAYO DUITAMA 1"/>
    <n v="23588694"/>
    <s v="3114403076"/>
    <s v="3132815042"/>
    <s v="3132815042"/>
    <s v="CL 3 NO.14-72,BARRIO PRIMERO DE MAYO"/>
    <s v="5.8232434"/>
    <s v="-73.0421151"/>
    <s v="BOYACÁ"/>
    <s v="DUITAMA"/>
    <s v="DUITAMA"/>
    <n v="15238"/>
    <s v="2025-09-30"/>
    <n v="1"/>
    <s v="TUNJA"/>
    <x v="4"/>
    <n v="49671.7"/>
    <n v="49671.7"/>
  </r>
  <r>
    <n v="37746"/>
    <s v="BARRIO SAN CARLOS SANDONA 1"/>
    <n v="59176452"/>
    <s v="3182229031"/>
    <s v="3182229031"/>
    <s v="3182229031"/>
    <s v=" CR 5 4 85 SAN CRLOS SAN CRLOS"/>
    <s v="1.2870425"/>
    <s v="-77.4713497"/>
    <s v="NARIÑO"/>
    <s v="SANDONÁ"/>
    <s v="SANDONÁ"/>
    <n v="52683"/>
    <s v="2025-09-30"/>
    <n v="1"/>
    <s v="PASTO"/>
    <x v="3"/>
    <n v="49671.7"/>
    <n v="49671.7"/>
  </r>
  <r>
    <n v="42471"/>
    <s v="BARRIO LA MARIA SINCELEJO 1"/>
    <n v="1102798193"/>
    <s v="2809142"/>
    <s v="3015296575"/>
    <s v="3015296575"/>
    <s v="CR 23 A 23 B 241,LA MARIA"/>
    <s v="9.2983250"/>
    <s v="-75.3878160"/>
    <s v="SUCRE"/>
    <s v="SINCELEJO"/>
    <s v="SINCELEJO"/>
    <n v="70001"/>
    <s v="2025-09-30"/>
    <n v="1"/>
    <s v="SINCELEJO"/>
    <x v="5"/>
    <n v="49671.7"/>
    <n v="49671.7"/>
  </r>
  <r>
    <n v="41542"/>
    <s v="BARRIO SANTA ANA TUNJA"/>
    <n v="7164213"/>
    <s v="7404804"/>
    <s v="3204603060"/>
    <s v="3204603060"/>
    <s v="AV NORTE 57 10,SANTA ANA"/>
    <s v="5.5640114"/>
    <s v="-73.346867"/>
    <s v="BOYACÁ"/>
    <s v="TUNJA"/>
    <s v="TUNJA"/>
    <n v="15001"/>
    <s v="2025-09-30"/>
    <n v="1"/>
    <s v="TUNJA"/>
    <x v="4"/>
    <n v="49671.7"/>
    <n v="49671.7"/>
  </r>
  <r>
    <n v="62079"/>
    <s v="BARRIO VEREDA MAMPUESTO RIONEGRO"/>
    <n v="1036966007"/>
    <s v="0"/>
    <s v="3006701412"/>
    <s v="3006701412"/>
    <s v="VRD MAMPUESTO SEC LA CANCHA"/>
    <s v="6.2060683"/>
    <s v="-75.4079750"/>
    <s v="ANTIOQUIA"/>
    <s v="RIONEGRO"/>
    <s v="RIONEGRO"/>
    <n v="5615"/>
    <s v="2025-09-30"/>
    <n v="1"/>
    <s v="MEDELLIN"/>
    <x v="0"/>
    <n v="37313"/>
    <n v="37313"/>
  </r>
  <r>
    <n v="59644"/>
    <s v="BARRIO EL GUAYABAL PIEDECUESTA"/>
    <n v="1099543116"/>
    <s v="3226806276"/>
    <s v="3226806276"/>
    <s v="3208535398"/>
    <s v="VEREDA EL GUAYABAL"/>
    <s v="6.8930149"/>
    <s v="-73.0389381"/>
    <s v="SANTANDER"/>
    <s v="PIEDECUESTA"/>
    <s v="PIEDECUESTA"/>
    <n v="68547"/>
    <s v="2025-09-30"/>
    <n v="1"/>
    <s v="BUCARAMANGA"/>
    <x v="4"/>
    <n v="37313"/>
    <n v="37313"/>
  </r>
  <r>
    <n v="66523"/>
    <s v="BARRIO CAMPO ALEGRE LEBRIJA"/>
    <n v="63339602"/>
    <s v="3174240862"/>
    <s v="3174240862"/>
    <s v="3158124133"/>
    <s v="CL 7 12 A 32 CAMPO ALEGRE,CAMPO ALEGRE"/>
    <s v="7.1112850"/>
    <s v="-73.2228500"/>
    <s v="SANTANDER"/>
    <s v="LEBRIJA"/>
    <s v="LEBRIJA"/>
    <n v="68406"/>
    <s v="2025-09-30"/>
    <n v="1"/>
    <s v="BUCARAMANGA"/>
    <x v="4"/>
    <n v="37313"/>
    <n v="37313"/>
  </r>
  <r>
    <n v="66552"/>
    <s v="BARRIO EL PORVENIR PRIMERA ETAPA RIONEGRO"/>
    <n v="39454119"/>
    <s v="0"/>
    <s v="3008638357"/>
    <s v="3008638357"/>
    <s v="CL 41 64 A 03,EL PROVENIR PRIMERA ETAPA"/>
    <s v="6.1473157"/>
    <s v="-75.3855006"/>
    <s v="ANTIOQUIA"/>
    <s v="RIONEGRO"/>
    <s v="RIONEGRO"/>
    <n v="5615"/>
    <s v="2025-09-30"/>
    <n v="1"/>
    <s v="MEDELLIN"/>
    <x v="0"/>
    <n v="37313"/>
    <n v="37313"/>
  </r>
  <r>
    <n v="67365"/>
    <s v="BARRIO SAN JORGE MOSQUERA"/>
    <n v="901559120"/>
    <s v="0"/>
    <s v="3115980785"/>
    <s v="3143563231"/>
    <s v="CL 2 18 93 LC 106.SAN JORGE"/>
    <s v="4.7144768"/>
    <s v="-74.2417478"/>
    <s v="CUNDINAMARCA"/>
    <s v="MOSQUERA"/>
    <s v="MOSQUERA"/>
    <n v="25473"/>
    <s v="2025-09-30"/>
    <n v="1"/>
    <s v="BOGOTA"/>
    <x v="2"/>
    <n v="37313"/>
    <n v="37313"/>
  </r>
  <r>
    <n v="49985"/>
    <s v="BARRIO EDUARDO SANTOS BOGOTA 5"/>
    <n v="1013657321"/>
    <s v="0"/>
    <s v="3213548386"/>
    <s v="3213548386"/>
    <s v="DG 4 A 18 B 34,EDUARDO SANTOS"/>
    <s v="4.597564"/>
    <s v="-74.090568"/>
    <s v="CUNDINAMARCA"/>
    <s v="BOGOTÁ"/>
    <s v="BOGOTÁ"/>
    <n v="11001"/>
    <s v="2025-09-30"/>
    <n v="1"/>
    <s v="BOGOTA"/>
    <x v="2"/>
    <n v="37313"/>
    <n v="37313"/>
  </r>
  <r>
    <n v="68349"/>
    <s v="BARRIO NOGALES MANIZALES"/>
    <n v="1053789850"/>
    <s v="3215257878"/>
    <s v="3215257878"/>
    <s v="3104927239"/>
    <s v="CRA 36 10C 62 - NOGALES,NOGALES"/>
    <s v="5.0586521"/>
    <s v="-75.5244885"/>
    <s v="CALDAS"/>
    <s v="MANIZALES"/>
    <s v="MANIZALES"/>
    <n v="17001"/>
    <s v="2025-09-30"/>
    <n v="1"/>
    <s v="MANIZALES"/>
    <x v="6"/>
    <n v="49671.7"/>
    <n v="49671.7"/>
  </r>
  <r>
    <n v="69035"/>
    <s v="BARRIO TOTORO TOTORO"/>
    <n v="25454239"/>
    <s v="0"/>
    <s v="3122127265"/>
    <s v="3122127265"/>
    <s v="CL PRINCIPAL GALERIA TOTORO,TOTORO"/>
    <s v="2.5118017"/>
    <s v="-76.4016517"/>
    <s v="CAUCA"/>
    <s v="TOTORÓ"/>
    <s v="TOTORÓ"/>
    <n v="19824"/>
    <s v="2025-09-30"/>
    <n v="1"/>
    <s v="CALI"/>
    <x v="3"/>
    <n v="37313"/>
    <n v="37313"/>
  </r>
  <r>
    <n v="69434"/>
    <s v="BARRIO EL REFUGIO PIEDECUESTA 1"/>
    <n v="63525198"/>
    <s v="3123427366"/>
    <s v="0"/>
    <s v="3123427366"/>
    <s v="CL 6 N 1 W 34,EL REFUGIO"/>
    <s v="6.9954550"/>
    <s v="-73.0637890"/>
    <s v="SANTANDER"/>
    <s v="PIEDECUESTA"/>
    <s v="PIEDECUESTA"/>
    <n v="68547"/>
    <s v="2025-09-30"/>
    <n v="1"/>
    <s v="BUCARAMANGA"/>
    <x v="4"/>
    <n v="37313"/>
    <n v="37313"/>
  </r>
  <r>
    <n v="69579"/>
    <s v="BARRIO SANTA ANA MOSQUERA"/>
    <n v="1073517698"/>
    <s v="3213382016"/>
    <s v="0"/>
    <s v="3213382016"/>
    <s v="CRR 10 NRO. 9-39 BRR SANTA ANA ,SANTA ANA"/>
    <s v="4.7135733"/>
    <s v="-74.2280085"/>
    <s v="CUNDINAMARCA"/>
    <s v="MOSQUERA"/>
    <s v="MOSQUERA"/>
    <n v="25473"/>
    <s v="2025-09-30"/>
    <n v="1"/>
    <s v="BOGOTA"/>
    <x v="2"/>
    <n v="37313"/>
    <n v="37313"/>
  </r>
  <r>
    <n v="69984"/>
    <s v="BARRIO LA FERIA PIEDECUESTA "/>
    <n v="37618674"/>
    <s v="3162298231"/>
    <s v="3162298231"/>
    <s v="3162298231"/>
    <s v="CR 4 9 01 LC 1,LA FERIA"/>
    <s v="6.9850650"/>
    <s v="-73.0530060"/>
    <s v="SANTANDER"/>
    <s v="PIEDECUESTA"/>
    <s v="PIEDECUESTA"/>
    <n v="68547"/>
    <s v="2025-09-30"/>
    <n v="1"/>
    <s v="BUCARAMANGA"/>
    <x v="4"/>
    <n v="37313"/>
    <n v="37313"/>
  </r>
  <r>
    <n v="71768"/>
    <s v="CANDELARIA CIUDAD DEL VALLE"/>
    <n v="1060105086"/>
    <s v="3127059424"/>
    <s v="3127059424"/>
    <s v="3127059424"/>
    <s v="CALLE 12 N° 31B OESTE 68 URB MANZANARES DE CIUDAD DEL VALLE,CIUDAD DEL VALLE"/>
    <s v="3.4008016"/>
    <s v="-76.4574151"/>
    <s v="VALLE DEL CAUCA"/>
    <s v="CANDELARIA"/>
    <s v="CANDELARIA"/>
    <n v="76130"/>
    <s v="2025-09-30"/>
    <n v="1"/>
    <s v="CALI"/>
    <x v="3"/>
    <n v="37313"/>
    <n v="37313"/>
  </r>
  <r>
    <n v="71882"/>
    <s v="MANIZALES ALCAZARES"/>
    <n v="24369061"/>
    <s v="3137808971"/>
    <s v="3137808971"/>
    <s v="3137808971"/>
    <s v="CL 51 # 19 - 56 LC 1 ED SACRAMENTO BRR ARGENTINA"/>
    <s v="5.06697"/>
    <s v="-75.49105"/>
    <s v="CALDAS"/>
    <s v="MANIZALES"/>
    <s v="MANIZALES"/>
    <n v="17001"/>
    <s v="2025-09-30"/>
    <n v="1"/>
    <s v="MANIZALES"/>
    <x v="6"/>
    <n v="49671.7"/>
    <n v="49671.7"/>
  </r>
  <r>
    <n v="68419"/>
    <s v="LA ESTANCIA BOGOTA 2"/>
    <n v="1032487995"/>
    <s v="0"/>
    <s v="3114576074"/>
    <s v="3114576074"/>
    <s v="CALLE 62 D SUR 74 F 03,LA ESTANCIA"/>
    <s v="4.5893900"/>
    <s v="-74.1739717"/>
    <s v="CUNDINAMARCA"/>
    <s v="BOGOTÁ"/>
    <s v="BOGOTÁ"/>
    <n v="11001"/>
    <s v="2025-09-30"/>
    <n v="1"/>
    <s v="BOGOTA"/>
    <x v="2"/>
    <n v="37313"/>
    <n v="37313"/>
  </r>
  <r>
    <n v="68813"/>
    <s v="BARRIO HOGAR DEL SOL SOACHA SOACHA"/>
    <n v="52048759"/>
    <s v="0"/>
    <s v="3104870124"/>
    <s v="3104870124"/>
    <s v="DG 30 L # 7 D 84,HOGAR DEL SOL SOACHA"/>
    <s v="4.5888216"/>
    <s v="-74.2081825"/>
    <s v="CUNDINAMARCA"/>
    <s v="SOACHA"/>
    <s v="SOACHA"/>
    <n v="25754"/>
    <s v="2025-09-30"/>
    <n v="1"/>
    <s v="BOGOTA"/>
    <x v="2"/>
    <n v="37313"/>
    <n v="37313"/>
  </r>
  <r>
    <n v="68853"/>
    <s v="BARRIO QUIRIGUA BOGOTA 9"/>
    <n v="1018502622"/>
    <s v="0"/>
    <s v="0"/>
    <s v="3123190457"/>
    <s v="CARRERA 89 A # 81 A - 13,QUIRIGUA"/>
    <s v="4.7061477"/>
    <s v="-74.1021720"/>
    <s v="CUNDINAMARCA"/>
    <s v="BOGOTÁ"/>
    <s v="BOGOTÁ"/>
    <n v="11001"/>
    <s v="2025-09-30"/>
    <n v="1"/>
    <s v="BOGOTA"/>
    <x v="2"/>
    <n v="37313"/>
    <n v="37313"/>
  </r>
  <r>
    <n v="44037"/>
    <s v="BARRIO MARIA PAZ BOGOTA"/>
    <n v="900807767"/>
    <m/>
    <s v="3203707660"/>
    <s v="3203707660"/>
    <s v="CR 82 26 03 SUR"/>
    <s v="4.6360311"/>
    <s v="-74.1584393"/>
    <s v="CUNDINAMARCA"/>
    <s v="BOGOTÁ"/>
    <s v="BOGOTÁ"/>
    <n v="11001"/>
    <s v="2025-09-30"/>
    <n v="1"/>
    <s v="BOGOTA"/>
    <x v="2"/>
    <n v="37313"/>
    <n v="37313"/>
  </r>
  <r>
    <n v="64340"/>
    <s v="BARRIO SEIS DE ABRIL VILLAVICENCIO"/>
    <n v="40447604"/>
    <s v="3144383613"/>
    <s v="3144383613"/>
    <s v="3213542454"/>
    <s v="CL 33 N 8 - 99 BRR SEIS DE ABRIL - "/>
    <s v="4.145493"/>
    <s v="-73.609137"/>
    <s v="META"/>
    <s v="VILLAVICENCIO"/>
    <s v="VILLAVICENCIO"/>
    <n v="50001"/>
    <s v="2025-09-30"/>
    <n v="1"/>
    <s v="VILLAVICENCIO"/>
    <x v="1"/>
    <n v="49671.7"/>
    <n v="49671.7"/>
  </r>
  <r>
    <n v="70840"/>
    <s v="prado taminango 1"/>
    <n v="1085686360"/>
    <s v="3234684856"/>
    <s v="3234684856"/>
    <s v="3234684856"/>
    <s v="CALLE 1 NO, 7 58 BRR EL PRADO,PRADO"/>
    <s v="1.568821"/>
    <s v="-77.2823966"/>
    <s v="NARIÑO"/>
    <s v="TAMINANGO"/>
    <s v="TAMINANGO"/>
    <n v="52786"/>
    <s v="2025-09-30"/>
    <n v="1"/>
    <s v="PASTO"/>
    <x v="3"/>
    <n v="49671.7"/>
    <n v="49671.7"/>
  </r>
  <r>
    <n v="62758"/>
    <s v="BARRIO SAN NICOLAS PEREIRA 1"/>
    <n v="9874902"/>
    <s v="3272789"/>
    <s v="3178629792"/>
    <s v="3178629792"/>
    <s v="CARRERA 15 NRO. 25 B 11 CON CALLE 25 B 15 - 06 BARRIO SAN NICOLAS"/>
    <s v="4.8084389"/>
    <s v="-75.7003095"/>
    <s v="RISARALDA"/>
    <s v="PEREIRA"/>
    <s v="PEREIRA"/>
    <n v="66001"/>
    <s v="2025-09-30"/>
    <n v="1"/>
    <s v="PEREIRA"/>
    <x v="6"/>
    <n v="37313"/>
    <n v="37313"/>
  </r>
  <r>
    <n v="70812"/>
    <s v="BARRIO MARINILLA MARINILLA 1"/>
    <n v="43382424"/>
    <s v="3208995870"/>
    <s v="3218767659"/>
    <s v="3208995870"/>
    <s v="CR 20 17 12 LC 195,MARINILLA"/>
    <s v="6.1656221"/>
    <s v="-75.3262232"/>
    <s v="ANTIOQUIA"/>
    <s v="MARINILLA"/>
    <s v="MARINILLA"/>
    <n v="5440"/>
    <s v="2025-09-30"/>
    <n v="1"/>
    <s v="MEDELLIN"/>
    <x v="0"/>
    <n v="37313"/>
    <n v="37313"/>
  </r>
  <r>
    <n v="69561"/>
    <s v="BARRIO CENTRO MERCADERES "/>
    <n v="1061020252"/>
    <s v="3177458197"/>
    <s v="3177458197"/>
    <s v="3177458197"/>
    <s v="CR 3 9 - 41 ,CENTRO"/>
    <s v="1.795119"/>
    <s v="-77.1635868"/>
    <s v="CAUCA"/>
    <s v="MERCADERES"/>
    <s v="MERCADERES"/>
    <n v="19450"/>
    <s v="2025-09-30"/>
    <n v="1"/>
    <s v="CALI"/>
    <x v="3"/>
    <n v="37313"/>
    <n v="37313"/>
  </r>
  <r>
    <n v="69739"/>
    <s v="BARRIO AMGAGA AMAGA"/>
    <n v="3365295"/>
    <s v="6048472844"/>
    <s v="3135251869"/>
    <s v="3135251869"/>
    <s v="CARRERA 47 46 04,AMAGA"/>
    <s v="6.0365645"/>
    <s v="-75.701088"/>
    <s v="ANTIOQUIA"/>
    <s v="AMAGÁ"/>
    <s v="AMAGÁ"/>
    <n v="5030"/>
    <s v="2025-09-30"/>
    <n v="1"/>
    <s v="MEDELLIN"/>
    <x v="0"/>
    <n v="37313"/>
    <n v="37313"/>
  </r>
  <r>
    <n v="70327"/>
    <s v="BARRIO 20 DE JULIO CANDELARIA"/>
    <n v="66968785"/>
    <s v="3017073264"/>
    <s v="3017073264"/>
    <s v="3017073264"/>
    <s v="CR 3 CL 14 Nº 13-106 CORR. VILLAGORGONA,20 DE JULIO"/>
    <s v="3.4002868"/>
    <s v="-76.3927251"/>
    <s v="VALLE DEL CAUCA"/>
    <s v="CANDELARIA"/>
    <s v="CANDELARIA"/>
    <n v="76130"/>
    <s v="2025-09-30"/>
    <n v="1"/>
    <s v="CALI"/>
    <x v="3"/>
    <n v="37313"/>
    <n v="37313"/>
  </r>
  <r>
    <n v="62944"/>
    <s v="BARRIO CENTRO SANTA BARBARA 2"/>
    <n v="32353136"/>
    <s v="3014114592"/>
    <s v="3014119592"/>
    <s v="3004656277"/>
    <s v="CALLE LOPÉZ N0. 50-20"/>
    <s v="5.874656666"/>
    <s v="-75.56800805555"/>
    <s v="ANTIOQUIA"/>
    <s v="SANTA BÁRBARA"/>
    <s v="SANTA BÁRBARA"/>
    <n v="5679"/>
    <s v="2025-09-30"/>
    <n v="1"/>
    <s v="MEDELLIN"/>
    <x v="0"/>
    <n v="37313"/>
    <n v="37313"/>
  </r>
  <r>
    <n v="63256"/>
    <s v="BARRIO BELLARENA BARRANQUILLA 3"/>
    <n v="901520182"/>
    <s v="3228384012"/>
    <s v="3114085694"/>
    <s v="3114085698"/>
    <s v="CL 38 B 1 H 24"/>
    <s v="10.93373"/>
    <s v="-74.79393"/>
    <s v="ATLÁNTICO"/>
    <s v="BARRANQUILLA"/>
    <s v="BARRANQUILLA"/>
    <n v="8001"/>
    <s v="2025-09-30"/>
    <n v="1"/>
    <s v="BARRANQUILLA"/>
    <x v="5"/>
    <n v="37313"/>
    <n v="37313"/>
  </r>
  <r>
    <n v="64174"/>
    <s v="BARRIO URBANIZACION BELLAVISTA IBAGUE"/>
    <n v="65745331"/>
    <s v="0"/>
    <s v="3172273904"/>
    <s v="3172273904"/>
    <s v="MZ D CASA 4 CAMINOS DE JUAN PABLO 2,URBANIZACIÓN BELLAVISTA"/>
    <s v="4.457175"/>
    <s v="-75.2043385"/>
    <s v="TOLIMA"/>
    <s v="IBAGUÉ"/>
    <s v="IBAGUÉ"/>
    <n v="73001"/>
    <s v="2025-09-30"/>
    <n v="1"/>
    <s v="IBAGUE"/>
    <x v="1"/>
    <n v="49671.7"/>
    <n v="49671.7"/>
  </r>
  <r>
    <n v="64106"/>
    <s v="BARRIO CENTRO LA CUMBRE  3"/>
    <n v="1114488282"/>
    <s v="0"/>
    <s v="3122231093"/>
    <s v="3122231093"/>
    <s v="KR 8 3 19"/>
    <s v="3.6507131"/>
    <s v="-76.5702097"/>
    <s v="VALLE DEL CAUCA"/>
    <s v="LA CUMBRE"/>
    <s v="LA CUMBRE"/>
    <n v="76377"/>
    <s v="2025-09-30"/>
    <n v="1"/>
    <s v="CALI"/>
    <x v="3"/>
    <n v="37313"/>
    <n v="37313"/>
  </r>
  <r>
    <n v="71923"/>
    <s v="NARIÑO SADONA"/>
    <n v="27436336"/>
    <s v="3183061725"/>
    <s v="3183061725"/>
    <s v="3183061725"/>
    <s v="CARRERA 4 NO 02 - 13 APARTAMENTO 103 BRR SAN FRANCISCO,SAN FRANCISCO"/>
    <s v="1.2893082"/>
    <s v="-77.4692439"/>
    <s v="NARIÑO"/>
    <s v="SANDONÁ"/>
    <s v="SANDONÁ"/>
    <n v="52683"/>
    <s v="2025-09-30"/>
    <n v="1"/>
    <s v="PASTO"/>
    <x v="3"/>
    <n v="49671.7"/>
    <n v="49671.7"/>
  </r>
  <r>
    <n v="63289"/>
    <s v="BARRIO DOÑA LUZ VILLAVICENCIO"/>
    <n v="74814920"/>
    <s v="3204463358"/>
    <s v="3123749952"/>
    <s v="3125913478"/>
    <s v="CR 21 A N. 9 - 102 BRR DOÑA LUZ"/>
    <s v="4.115397"/>
    <s v="-73.608807"/>
    <s v="META"/>
    <s v="VILLAVICENCIO"/>
    <s v="VILLAVICENCIO"/>
    <n v="50001"/>
    <s v="2025-09-30"/>
    <n v="1"/>
    <s v="VILLAVICENCIO"/>
    <x v="1"/>
    <n v="49671.7"/>
    <n v="49671.7"/>
  </r>
  <r>
    <n v="63268"/>
    <s v="BARRIO SAN MARTIN VALLEDUPAR 5"/>
    <n v="1065613157"/>
    <s v="3043329878"/>
    <s v="3043329878"/>
    <s v="3045590060"/>
    <s v="CL 33 NRO 20 - 89,SAN MARTIN"/>
    <s v="10.45192224"/>
    <s v="-73.2505798"/>
    <s v="CESAR"/>
    <s v="VALLEDUPAR"/>
    <s v="VALLEDUPAR"/>
    <n v="20001"/>
    <s v="2025-09-30"/>
    <n v="1"/>
    <s v="VALLEDUPAR"/>
    <x v="5"/>
    <n v="49671.7"/>
    <n v="49671.7"/>
  </r>
  <r>
    <n v="67298"/>
    <s v="BARRIO CUIDADELA COLSUBSIDIO BOGOTA"/>
    <n v="79860937"/>
    <s v="6018012494"/>
    <s v="3108608187"/>
    <s v="3108608187"/>
    <s v="CL 86 C BIS # 110 C - 40,CIUDADELA COLSUBSIDIO"/>
    <s v="4.7236130"/>
    <s v="-74.1105641"/>
    <s v="CUNDINAMARCA"/>
    <s v="BOGOTÁ"/>
    <s v="BOGOTÁ"/>
    <n v="11001"/>
    <s v="2025-09-30"/>
    <n v="1"/>
    <s v="BOGOTA"/>
    <x v="2"/>
    <n v="37313"/>
    <n v="37313"/>
  </r>
  <r>
    <n v="67630"/>
    <s v="BARRIO TERRANOVA ETAPA 6 JAMUNDI"/>
    <n v="26512395"/>
    <s v="3114457939"/>
    <s v="3114457939"/>
    <s v="3154619058"/>
    <s v="CALLE 20 B # 40 B SUR - 06 BARRIO TERRANOVA ETAPA 6,TERRANOVA ETAPA 6"/>
    <s v="3.2423535"/>
    <s v="-76.5161387"/>
    <s v="VALLE DEL CAUCA"/>
    <s v="JAMUNDÍ"/>
    <s v="JAMUNDÍ"/>
    <n v="76364"/>
    <s v="2025-09-30"/>
    <n v="1"/>
    <s v="CALI"/>
    <x v="3"/>
    <n v="37313"/>
    <n v="37313"/>
  </r>
  <r>
    <n v="67638"/>
    <s v="BARRIO POTOSI BOGOTA 1"/>
    <n v="1024521584"/>
    <s v="3016788103"/>
    <s v="3197797663"/>
    <s v="3197797663"/>
    <s v="CL 79 40 05 SUR,POTOSI"/>
    <s v="4.5674991"/>
    <s v="-74.1695073"/>
    <s v="CUNDINAMARCA"/>
    <s v="BOGOTÁ"/>
    <s v="BOGOTÁ"/>
    <n v="11001"/>
    <s v="2025-09-30"/>
    <n v="1"/>
    <s v="BOGOTA"/>
    <x v="2"/>
    <n v="37313"/>
    <n v="37313"/>
  </r>
  <r>
    <n v="78196"/>
    <s v="BARRIO PUENTE FORTUL SALZAR"/>
    <n v="27807090"/>
    <s v="3124181724"/>
    <s v="3124181724"/>
    <s v="3124181724"/>
    <s v="CL 7 NRO 4-18,PUENTE FORTUL"/>
    <s v="7.7745017"/>
    <s v="-72.8135699"/>
    <s v="NORTE DE SANTANDER"/>
    <s v="SALAZAR"/>
    <s v="SALAZAR DE LAS PALMAS"/>
    <n v="54660"/>
    <s v="2025-09-30"/>
    <n v="1"/>
    <s v="CUCUTA"/>
    <x v="4"/>
    <n v="49671.7"/>
    <n v="49671.7"/>
  </r>
  <r>
    <n v="78237"/>
    <s v="BARRIO LLANO GRANDE (PATIO BONITO) BOGOTA"/>
    <n v="41571468"/>
    <s v="3102360962"/>
    <s v="3102360962"/>
    <s v="3132512428"/>
    <s v="CR 83 38 D 15 SUR,LLANO GRANDE (PATIO BONITO)"/>
    <s v="4.6327638"/>
    <s v="-74.1633851"/>
    <s v="CUNDINAMARCA"/>
    <s v="BOGOTÁ"/>
    <s v="BOGOTÁ"/>
    <n v="11001"/>
    <s v="2025-09-30"/>
    <n v="1"/>
    <s v="BOGOTA"/>
    <x v="2"/>
    <n v="37313"/>
    <n v="37313"/>
  </r>
  <r>
    <n v="62837"/>
    <s v="BARRIO CATATUMBO VILLAVICENCIO 1"/>
    <n v="1121923560"/>
    <s v="3125957073"/>
    <s v="3125957073"/>
    <s v="3208025336"/>
    <s v="CL 23 24 A 95,CATATUMBO"/>
    <s v="4.139838"/>
    <s v="-73.627656"/>
    <s v="META"/>
    <s v="VILLAVICENCIO"/>
    <s v="VILLAVICENCIO"/>
    <n v="50001"/>
    <s v="2025-09-30"/>
    <n v="1"/>
    <s v="VILLAVICENCIO"/>
    <x v="1"/>
    <n v="49671.7"/>
    <n v="49671.7"/>
  </r>
  <r>
    <n v="65268"/>
    <s v="BARRIO CENTRO DE PAVAS LA CUMBRE 2"/>
    <n v="1114481751"/>
    <s v="3176906575"/>
    <s v="3176906575"/>
    <s v="3176906575"/>
    <s v="CL 4 # 6 - 79 MUNICIPIO DE LA CUMBRE CORREGIMIENTO PAVAS,CENTRO DE PAVAS"/>
    <s v="3.6761933"/>
    <s v="-76.5831633"/>
    <s v="VALLE DEL CAUCA"/>
    <s v="LA CUMBRE"/>
    <s v="LA CUMBRE"/>
    <n v="76377"/>
    <s v="2025-09-30"/>
    <n v="1"/>
    <s v="CALI"/>
    <x v="3"/>
    <n v="37313"/>
    <n v="37313"/>
  </r>
  <r>
    <n v="78158"/>
    <s v="BARRIO PUENTE FORTUL SALAZAR 1"/>
    <n v="88178450"/>
    <s v="3208109576"/>
    <s v="3208109576"/>
    <s v="3208109576"/>
    <s v="CR 6 NRO 5-01,PUENTE FORTUL"/>
    <s v="7.7747430"/>
    <s v="-72.8127063"/>
    <s v="NORTE DE SANTANDER"/>
    <s v="SALAZAR"/>
    <s v="SALAZAR DE LAS PALMAS"/>
    <n v="54660"/>
    <s v="2025-09-30"/>
    <n v="1"/>
    <s v="CUCUTA"/>
    <x v="4"/>
    <n v="49671.7"/>
    <n v="49671.7"/>
  </r>
  <r>
    <n v="72460"/>
    <s v="LAS NIEVES TUNJA"/>
    <n v="1052406829"/>
    <s v="3118347199"/>
    <s v="3118347199"/>
    <s v="3105793659"/>
    <s v="CL 24 6 B 64 LOCAL 4,LAS NIEVES"/>
    <s v="5.5357363"/>
    <s v="-73.3570692"/>
    <s v="BOYACÁ"/>
    <s v="TUNJA"/>
    <s v="TUNJA"/>
    <n v="15001"/>
    <s v="2025-09-30"/>
    <n v="1"/>
    <s v="TUNJA"/>
    <x v="4"/>
    <n v="49671.7"/>
    <n v="49671.7"/>
  </r>
  <r>
    <n v="67472"/>
    <s v="BARRIO SIMON BOLIVAR COPACABANA 1"/>
    <n v="900413156"/>
    <s v="3206769714"/>
    <s v="0"/>
    <s v="3164627371"/>
    <s v="CR 52 50 49 P 2,SIMON BOLIVAR"/>
    <s v="6.3465491"/>
    <s v="-75.5093777"/>
    <s v="ANTIOQUIA"/>
    <s v="COPACABANA"/>
    <s v="COPACABANA"/>
    <n v="5212"/>
    <s v="2025-09-30"/>
    <n v="1"/>
    <s v="MEDELLIN"/>
    <x v="0"/>
    <n v="37313"/>
    <n v="37313"/>
  </r>
  <r>
    <n v="67657"/>
    <s v="BARRIO LA FUENTE TUNJA 1"/>
    <n v="40048927"/>
    <s v="3214036865"/>
    <s v="3214036865"/>
    <s v="3214036865"/>
    <s v="CL 34 17 A 27,LA FUENTE"/>
    <s v="5.54794689"/>
    <s v="-73.36702486"/>
    <s v="BOYACÁ"/>
    <s v="TUNJA"/>
    <s v="TUNJA"/>
    <n v="15001"/>
    <s v="2025-09-30"/>
    <n v="1"/>
    <s v="TUNJA"/>
    <x v="4"/>
    <n v="49671.7"/>
    <n v="49671.7"/>
  </r>
  <r>
    <n v="78013"/>
    <s v="BARRIO SAMARIA 2 PEREIRA 4"/>
    <n v="1013581374"/>
    <s v="3123729701"/>
    <s v="3123729701"/>
    <s v="3123729701"/>
    <s v="MZ 18 CA 20 - BRR SAMARIA 2"/>
    <s v="4.7954131"/>
    <s v="-75.7088608"/>
    <s v="RISARALDA"/>
    <s v="PEREIRA"/>
    <s v="PEREIRA"/>
    <n v="66001"/>
    <s v="2025-09-30"/>
    <n v="1"/>
    <s v="PEREIRA"/>
    <x v="6"/>
    <n v="37313"/>
    <n v="37313"/>
  </r>
  <r>
    <n v="67579"/>
    <s v="BARRIO CENTRAL TOTORO 1"/>
    <n v="25742090"/>
    <s v="0"/>
    <s v="3102487763"/>
    <s v="3102487763"/>
    <s v="CL PPAL BRR CENTRAL,CENTRAL"/>
    <s v="2.5123320"/>
    <s v="-76.4010604"/>
    <s v="CAUCA"/>
    <s v="TOTORÓ"/>
    <s v="TOTORÓ"/>
    <n v="19824"/>
    <s v="2025-09-30"/>
    <n v="1"/>
    <s v="CALI"/>
    <x v="3"/>
    <n v="37313"/>
    <n v="37313"/>
  </r>
  <r>
    <n v="76452"/>
    <s v="BARRIO SAN JUAN BOSCO DUITAMA  5"/>
    <n v="1056868350"/>
    <s v="3123529367"/>
    <s v="3209001417"/>
    <s v="3209001417"/>
    <s v="CR 25 NO 21-73 P1,SAN JUAN BOSCO"/>
    <s v="5.8240628"/>
    <s v="-73.0248927"/>
    <s v="BOYACÁ"/>
    <s v="DUITAMA"/>
    <s v="DUITAMA"/>
    <n v="15238"/>
    <s v="2025-09-30"/>
    <n v="1"/>
    <s v="TUNJA"/>
    <x v="4"/>
    <n v="49671.7"/>
    <n v="49671.7"/>
  </r>
  <r>
    <n v="80707"/>
    <s v="BARRIO OLAYA MEDELLIN"/>
    <n v="43970504"/>
    <s v="3173903161"/>
    <s v="3173903161"/>
    <m/>
    <s v="CL 58 103 F - 18,OLAYA"/>
    <s v="6.2731232"/>
    <s v="-75.6127194"/>
    <s v="ANTIOQUIA"/>
    <s v="MEDELLÍN"/>
    <s v="MEDELLÍN"/>
    <n v="5001"/>
    <s v="2025-09-30"/>
    <n v="1"/>
    <s v="MEDELLIN"/>
    <x v="0"/>
    <n v="37313"/>
    <n v="37313"/>
  </r>
  <r>
    <n v="67442"/>
    <s v="BARRIO CAMPO ALEGRE LEBRIJA 1"/>
    <n v="1095918608"/>
    <s v="3114809915"/>
    <s v="3114809915"/>
    <s v="3158780671"/>
    <s v="CL 7 D 12 06 APARTAMENTO 201 CAMPO ALEGRE 3,CAMPO ALEGRE"/>
    <s v="7.111523"/>
    <s v="-73.221493"/>
    <s v="SANTANDER"/>
    <s v="LEBRIJA"/>
    <s v="LEBRIJA"/>
    <n v="68406"/>
    <s v="2025-09-30"/>
    <n v="1"/>
    <s v="BUCARAMANGA"/>
    <x v="4"/>
    <n v="37313"/>
    <n v="37313"/>
  </r>
  <r>
    <n v="76345"/>
    <s v="BARRIO JAMUNDI JAMUNDI  1"/>
    <n v="1082916720"/>
    <s v="3183359820"/>
    <s v="3183359820"/>
    <s v="3183359820"/>
    <s v="CR 41B SUR 21A 03 SC 7 BRR TERRANOVA PAISAJE DE LAS FLORES,JAMUNDI"/>
    <s v="3.2424209"/>
    <s v="-76.5141514"/>
    <s v="VALLE DEL CAUCA"/>
    <s v="JAMUNDÍ"/>
    <s v="JAMUNDÍ"/>
    <n v="76364"/>
    <s v="2025-09-30"/>
    <n v="1"/>
    <s v="CALI"/>
    <x v="3"/>
    <n v="37313"/>
    <n v="37313"/>
  </r>
  <r>
    <n v="72913"/>
    <s v="BARRIO EL VOLANTE SALAZAR 2"/>
    <n v="1094164597"/>
    <s v="3102877570"/>
    <s v="3102877570"/>
    <s v="3134597906"/>
    <s v="CR 7 1-08 LC 101 CC CHELITA,EL VOLANTE"/>
    <s v="7.7733206"/>
    <s v="-72.8138734"/>
    <s v="NORTE DE SANTANDER"/>
    <s v="SALAZAR"/>
    <s v="SALAZAR DE LAS PALMAS"/>
    <n v="54660"/>
    <s v="2025-09-30"/>
    <n v="1"/>
    <s v="CUCUTA"/>
    <x v="4"/>
    <n v="49671.7"/>
    <n v="49671.7"/>
  </r>
  <r>
    <n v="73418"/>
    <s v="BARRIO VILLA NUEVA COPACABANA 1"/>
    <n v="43491842"/>
    <s v="3104711449"/>
    <s v="3104711449"/>
    <s v="3104711449"/>
    <s v="CARRERA 56 A 56 78,VILLA NUEVA"/>
    <s v="6.3495814"/>
    <s v="-75.5128303"/>
    <s v="ANTIOQUIA"/>
    <s v="COPACABANA"/>
    <s v="COPACABANA"/>
    <n v="5212"/>
    <s v="2025-09-30"/>
    <n v="1"/>
    <s v="MEDELLIN"/>
    <x v="0"/>
    <n v="37313"/>
    <n v="37313"/>
  </r>
  <r>
    <n v="73532"/>
    <s v="BARRIO SANTA CECILIA BOGOTA 4"/>
    <n v="1014240614"/>
    <s v="3133777185"/>
    <s v="3133777185"/>
    <s v="3133777185"/>
    <s v="CL 135 155 12,SANTA CECILIA"/>
    <s v="4.7427134"/>
    <s v="-74.1261900"/>
    <s v="CUNDINAMARCA"/>
    <s v="BOGOTÁ"/>
    <s v="BOGOTÁ"/>
    <n v="11001"/>
    <s v="2025-09-30"/>
    <n v="1"/>
    <s v="BOGOTA"/>
    <x v="2"/>
    <n v="37313"/>
    <n v="37313"/>
  </r>
  <r>
    <n v="72863"/>
    <s v="CUNDINAMARCA SOACHA 1"/>
    <n v="52965565"/>
    <s v="3204272500"/>
    <s v="3204272500"/>
    <s v="3204272500"/>
    <s v="CL 33 37 41,CIUDAD VERDE"/>
    <s v="4.6100991"/>
    <s v="-74.2196583"/>
    <s v="CUNDINAMARCA"/>
    <s v="SOACHA"/>
    <s v="SOACHA"/>
    <n v="25754"/>
    <s v="2025-09-30"/>
    <n v="1"/>
    <s v="BOGOTA"/>
    <x v="2"/>
    <n v="37313"/>
    <n v="37313"/>
  </r>
  <r>
    <n v="72979"/>
    <s v="BARRIO ESTADOS UNIDOS KENNEDY BOGOTA"/>
    <n v="79992129"/>
    <s v="3107537263"/>
    <s v="3107537263"/>
    <s v="3107537263"/>
    <s v="CALLE 40 B SUR NO 79G 03,ESTADOS UNIDOS KENNEDY"/>
    <s v="4.6246762"/>
    <s v="-74.1601960"/>
    <s v="CUNDINAMARCA"/>
    <s v="BOGOTÁ"/>
    <s v="BOGOTÁ"/>
    <n v="11001"/>
    <s v="2025-09-30"/>
    <n v="1"/>
    <s v="BOGOTA"/>
    <x v="2"/>
    <n v="37313"/>
    <n v="37313"/>
  </r>
  <r>
    <n v="76612"/>
    <s v="BARRIO ESPAÑA SINCELEJO"/>
    <n v="92547929"/>
    <s v="3217934122"/>
    <s v="3217934122"/>
    <s v="3217934122"/>
    <s v="CR 19 33 - 98 LC 102,ESPAÑA"/>
    <s v="9.2927756"/>
    <s v="-75.3906156"/>
    <s v="SUCRE"/>
    <s v="SINCELEJO"/>
    <s v="SINCELEJO"/>
    <n v="70001"/>
    <s v="2025-09-30"/>
    <n v="1"/>
    <s v="SINCELEJO"/>
    <x v="5"/>
    <n v="49671.7"/>
    <n v="49671.7"/>
  </r>
  <r>
    <n v="73545"/>
    <s v="BARRIO VILLAGORGONA CANDELARIA 1"/>
    <n v="66966659"/>
    <s v="3117881124"/>
    <s v="3117881124"/>
    <s v="3117881124"/>
    <s v="CL 6 ? 18 - 11 URB LA GERMANIA VILLAGORGONA,VILLAGORGONA"/>
    <s v="3.3905597"/>
    <s v="-76.3848170"/>
    <s v="VALLE DEL CAUCA"/>
    <s v="CANDELARIA"/>
    <s v="CANDELARIA"/>
    <n v="76130"/>
    <s v="2025-09-30"/>
    <n v="1"/>
    <s v="CALI"/>
    <x v="3"/>
    <n v="37313"/>
    <n v="37313"/>
  </r>
  <r>
    <n v="80239"/>
    <s v="BARRIO BACHUE BOGOTA 10"/>
    <n v="53140821"/>
    <s v="3128368584"/>
    <s v="3208892641"/>
    <s v="3208892641"/>
    <s v="AC 90 95 17 IN 101,BACHUE"/>
    <s v="4.7154988"/>
    <s v="-74.1005486"/>
    <s v="CUNDINAMARCA"/>
    <s v="BOGOTÁ"/>
    <s v="BOGOTÁ"/>
    <n v="11001"/>
    <s v="2025-09-30"/>
    <n v="1"/>
    <s v="BOGOTA"/>
    <x v="2"/>
    <n v="37313"/>
    <n v="37313"/>
  </r>
  <r>
    <n v="80681"/>
    <s v="BARRIO SIMON BOLIVAR PAMPLONA 2"/>
    <n v="88157106"/>
    <s v="3203915517"/>
    <s v="3203915517"/>
    <s v="3203915517"/>
    <s v="CR 16 4 10,SIMÓN BOLIVAR"/>
    <s v="7.3799430"/>
    <s v="-72.6369828"/>
    <s v="NORTE DE SANTANDER"/>
    <s v="PAMPLONA"/>
    <s v="PAMPLONA"/>
    <n v="54518"/>
    <s v="2025-09-30"/>
    <n v="1"/>
    <s v="CUCUTA"/>
    <x v="4"/>
    <n v="49671.7"/>
    <n v="49671.7"/>
  </r>
  <r>
    <n v="68467"/>
    <s v="BARRIO EDUARDO SANTOS BOGOTA 7"/>
    <n v="1024527707"/>
    <s v="0"/>
    <s v="3106092624"/>
    <s v="3106092624"/>
    <s v="DIAGONAL 4A # 17A-63,EDUARDO SANTOS"/>
    <s v="4.597203"/>
    <s v="-74.088715"/>
    <s v="CUNDINAMARCA"/>
    <s v="BOGOTÁ"/>
    <s v="BOGOTÁ"/>
    <n v="11001"/>
    <s v="2025-09-30"/>
    <n v="1"/>
    <s v="BOGOTA"/>
    <x v="2"/>
    <n v="37313"/>
    <n v="37313"/>
  </r>
  <r>
    <n v="63997"/>
    <s v="BARRIO BARZAL VILLAVICENCIO 15"/>
    <n v="86073204"/>
    <s v="3133338977"/>
    <s v="3188055528"/>
    <s v="3188055528"/>
    <s v="CL 33 B 38 51 BARZAL,BARZAL"/>
    <s v="4.1445"/>
    <s v="-73.6393"/>
    <s v="META"/>
    <s v="VILLAVICENCIO"/>
    <s v="VILLAVICENCIO"/>
    <n v="50001"/>
    <s v="2025-09-30"/>
    <n v="1"/>
    <s v="VILLAVICENCIO"/>
    <x v="1"/>
    <n v="49671.7"/>
    <n v="49671.7"/>
  </r>
  <r>
    <n v="64300"/>
    <s v="BARRIO CAMPO ALEGRE III LEBRIJA"/>
    <n v="1099368713"/>
    <s v="3208729174"/>
    <s v="3208729174"/>
    <s v="3183653618"/>
    <s v="CL 8 6 B 165"/>
    <s v="7.111104"/>
    <s v="-73.217330"/>
    <s v="SANTANDER"/>
    <s v="LEBRIJA"/>
    <s v="LEBRIJA"/>
    <n v="68406"/>
    <s v="2025-09-30"/>
    <n v="1"/>
    <s v="BUCARAMANGA"/>
    <x v="4"/>
    <n v="37313"/>
    <n v="37313"/>
  </r>
  <r>
    <n v="78529"/>
    <s v="BARRIO PAISAJE DE LAS FLORES JAMUNDI 2"/>
    <n v="1105367112"/>
    <s v="3122470617"/>
    <s v="3234151221"/>
    <s v="3122470617"/>
    <s v="CR 51 C SUR 20 - 03 BRR PAISAJE LAS FLORES"/>
    <s v="3.2364250"/>
    <s v="-76.5044159"/>
    <s v="VALLE DEL CAUCA"/>
    <s v="JAMUNDÍ"/>
    <s v="JAMUNDÍ"/>
    <n v="76364"/>
    <s v="2025-09-30"/>
    <n v="1"/>
    <s v="CALI"/>
    <x v="3"/>
    <n v="37313"/>
    <n v="37313"/>
  </r>
  <r>
    <n v="79053"/>
    <s v="BARRIO VILLA GORGONA LA VICTORIA CANDELARIA"/>
    <n v="1144170938"/>
    <s v="3136910923"/>
    <s v="3017145251"/>
    <s v="3136910923"/>
    <s v="CL 21 B 13 A 80 ,VILLA GORGONA - LA VICTORIA"/>
    <s v="3.4040007"/>
    <s v="-76.3824872"/>
    <s v="VALLE DEL CAUCA"/>
    <s v="CANDELARIA"/>
    <s v="CANDELARIA"/>
    <n v="76130"/>
    <s v="2025-09-30"/>
    <n v="1"/>
    <s v="CALI"/>
    <x v="3"/>
    <n v="37313"/>
    <n v="37313"/>
  </r>
  <r>
    <n v="74194"/>
    <s v="BARRIO CENTRO RIONEGRO 3"/>
    <n v="42842596"/>
    <s v="3145053511"/>
    <s v="3145053511"/>
    <s v="3145053511"/>
    <s v="CL 41 A 78 A 05,CENTRO"/>
    <s v="6.1500410"/>
    <s v="-75.3943350"/>
    <s v="ANTIOQUIA"/>
    <s v="RIONEGRO"/>
    <s v="RIONEGRO"/>
    <n v="5615"/>
    <s v="2025-09-30"/>
    <n v="1"/>
    <s v="MEDELLIN"/>
    <x v="0"/>
    <n v="37313"/>
    <n v="37313"/>
  </r>
  <r>
    <n v="74371"/>
    <s v="BARRIO CIUDAD VERDE SOACHA 10"/>
    <n v="1010178541"/>
    <s v="3105823630"/>
    <s v="3105823630"/>
    <s v="3057130757"/>
    <s v="CL 13 36 C - 61 CON R AMAPOLA LOCAL 201,CIUDAD VERDE"/>
    <s v="4.606507"/>
    <s v="-74.224014"/>
    <s v="CUNDINAMARCA"/>
    <s v="SOACHA"/>
    <s v="SOACHA"/>
    <n v="25754"/>
    <s v="2025-09-30"/>
    <n v="1"/>
    <s v="BOGOTA"/>
    <x v="2"/>
    <n v="37313"/>
    <n v="37313"/>
  </r>
  <r>
    <n v="74468"/>
    <s v="BARRIO VILLA DIANA FUNZA 2"/>
    <n v="1039692865"/>
    <s v="320 9645424"/>
    <s v="3196299574"/>
    <s v="3209645424"/>
    <s v="CL 9 C 20 13 MZ 4 CA 10,VILLA DIANA"/>
    <s v="4.7200557"/>
    <s v="-74.2176314"/>
    <s v="CUNDINAMARCA"/>
    <s v="FUNZA"/>
    <s v="FUNZA"/>
    <n v="25286"/>
    <s v="2025-09-30"/>
    <n v="1"/>
    <s v="BOGOTA"/>
    <x v="2"/>
    <n v="37313"/>
    <n v="37313"/>
  </r>
  <r>
    <n v="77152"/>
    <s v="BARRIO 13 DE DE MAYO VILLAVICENCIO"/>
    <n v="1121866524"/>
    <s v="3118703971"/>
    <s v="3112817813"/>
    <s v="3112817813"/>
    <s v="MZ K CS 18 ET 2 AP 102 BR 13 DE MAYO,13 DE MAYO"/>
    <s v="4.121440"/>
    <s v="-73.535583"/>
    <s v="META"/>
    <s v="VILLAVICENCIO"/>
    <s v="VILLAVICENCIO"/>
    <n v="50001"/>
    <s v="2025-09-30"/>
    <n v="1"/>
    <s v="VILLAVICENCIO"/>
    <x v="1"/>
    <n v="49671.7"/>
    <n v="49671.7"/>
  </r>
  <r>
    <n v="78610"/>
    <s v="BARRIO SAN NICOLAS PEREIRA  2"/>
    <n v="32672708"/>
    <s v="3004147057"/>
    <s v="3226171375"/>
    <s v="3004147057"/>
    <s v="CL 27 15 02 - SAN NICOLAS,SAN NICOLAS"/>
    <s v="4.8081590"/>
    <s v="-75.7018435"/>
    <s v="RISARALDA"/>
    <s v="PEREIRA"/>
    <s v="PEREIRA"/>
    <n v="66001"/>
    <s v="2025-09-30"/>
    <n v="1"/>
    <s v="PEREIRA"/>
    <x v="6"/>
    <n v="37313"/>
    <n v="37313"/>
  </r>
  <r>
    <n v="77317"/>
    <s v="BARRIO EL REMANSO MOSQUERA  1"/>
    <n v="51684264"/>
    <s v="3142390142"/>
    <s v="3142390142"/>
    <s v="3142390142"/>
    <s v="CL 20 18A 03,EL REMANSO"/>
    <s v="4.7240920"/>
    <s v="-74.2270788"/>
    <s v="CUNDINAMARCA"/>
    <s v="MOSQUERA"/>
    <s v="MOSQUERA"/>
    <n v="25473"/>
    <s v="2025-09-30"/>
    <n v="1"/>
    <s v="BOGOTA"/>
    <x v="2"/>
    <n v="37313"/>
    <n v="37313"/>
  </r>
  <r>
    <n v="79219"/>
    <s v="BARRIO PUENTE FORTUL SALAZAR  2"/>
    <n v="27806075"/>
    <s v="3152846063"/>
    <s v="3152846063"/>
    <s v="3187880717"/>
    <s v="CL 4 NRO 7-22,PUENTE FORTUL"/>
    <s v="7.7744547"/>
    <s v="-72.8137834"/>
    <s v="NORTE DE SANTANDER"/>
    <s v="SALAZAR"/>
    <s v="SALAZAR DE LAS PALMAS"/>
    <n v="54660"/>
    <s v="2025-09-30"/>
    <n v="1"/>
    <s v="CUCUTA"/>
    <x v="4"/>
    <n v="49671.7"/>
    <n v="49671.7"/>
  </r>
  <r>
    <n v="75613"/>
    <s v="BARRIO SHANGAY COPACABANA"/>
    <n v="1036518520"/>
    <s v="0"/>
    <s v="3108403028"/>
    <s v="3127990761"/>
    <s v="CL 50 62 07,SHANGAY"/>
    <s v="6.3442190"/>
    <s v="-75.5150968"/>
    <s v="ANTIOQUIA"/>
    <s v="COPACABANA"/>
    <s v="COPACABANA"/>
    <n v="5212"/>
    <s v="2025-09-30"/>
    <n v="1"/>
    <s v="MEDELLIN"/>
    <x v="0"/>
    <n v="37313"/>
    <n v="37313"/>
  </r>
  <r>
    <n v="75878"/>
    <s v="BARRIO SAN CARLOS SANDONÁ"/>
    <n v="37086715"/>
    <s v="3187947670"/>
    <s v="3164485152"/>
    <s v="3187947670"/>
    <s v="CL 5 3 42 BRR SAN CARLOS,SAN CARLOS"/>
    <s v="1.2864068"/>
    <s v="-77.4698583"/>
    <s v="NARIÑO"/>
    <s v="SANDONÁ"/>
    <s v="SANDONÁ"/>
    <n v="52683"/>
    <s v="2025-09-30"/>
    <n v="1"/>
    <s v="PASTO"/>
    <x v="3"/>
    <n v="49671.7"/>
    <n v="49671.7"/>
  </r>
  <r>
    <n v="78466"/>
    <s v="BARRIO CENTRO TOTORO 2"/>
    <n v="1062776333"/>
    <s v="3204125459"/>
    <s v="3204125459"/>
    <s v="3204125459"/>
    <s v="CL 3 6 50 BRR CENTRO,CENTRO"/>
    <s v="2.5114880"/>
    <s v="-76.4026176"/>
    <s v="CAUCA"/>
    <s v="TOTORÓ"/>
    <s v="TOTORÓ"/>
    <n v="19824"/>
    <s v="2025-09-30"/>
    <n v="1"/>
    <s v="CALI"/>
    <x v="3"/>
    <n v="37313"/>
    <n v="37313"/>
  </r>
  <r>
    <n v="78867"/>
    <s v="BARR SAN FERNANDO CARTAGENA DE INDIAS"/>
    <n v="1047492346"/>
    <s v="3006961107"/>
    <s v="3003224841"/>
    <s v="3003224841"/>
    <s v="CR 81 # 22C-39 P1 AP2,BRR SAN FERNANDO"/>
    <s v="10.3832085"/>
    <s v="-75.4728820"/>
    <s v="BOLÍVAR"/>
    <s v="CARTAGENA DE INDIAS"/>
    <s v="CARTAGENA DE INDIAS"/>
    <n v="13001"/>
    <s v="2025-09-30"/>
    <n v="1"/>
    <s v="CARTAGENA"/>
    <x v="5"/>
    <n v="49671.7"/>
    <n v="49671.7"/>
  </r>
  <r>
    <n v="74145"/>
    <s v="BARRIO CHINO SECTOR BAZURDO CARTAGENA DE INDIAS"/>
    <n v="74344794"/>
    <s v="3182817112"/>
    <s v="3042556674"/>
    <s v="3182817112"/>
    <s v="CL 29C 25 -3P,CHINO SECTOR BAZURTO"/>
    <s v="10.4134633"/>
    <s v="-75.5260631"/>
    <s v="BOLÍVAR"/>
    <s v="CARTAGENA DE INDIAS"/>
    <s v="CARTAGENA DE INDIAS"/>
    <n v="13001"/>
    <s v="2025-09-30"/>
    <n v="1"/>
    <s v="CARTAGENA"/>
    <x v="5"/>
    <n v="49671.7"/>
    <n v="49671.7"/>
  </r>
  <r>
    <n v="74298"/>
    <s v="BARRIO ESTANZUELA BOGOTA"/>
    <n v="52209770"/>
    <s v="3222157250"/>
    <s v="3222157250"/>
    <s v="3222157250"/>
    <s v="CR 15 7-28,ESTANZUELA"/>
    <s v="4.5990835"/>
    <s v="-74.0842714"/>
    <s v="CUNDINAMARCA"/>
    <s v="BOGOTÁ"/>
    <s v="BOGOTÁ"/>
    <n v="11001"/>
    <s v="2025-09-30"/>
    <n v="1"/>
    <s v="BOGOTA"/>
    <x v="2"/>
    <n v="37313"/>
    <n v="37313"/>
  </r>
  <r>
    <n v="79369"/>
    <s v="BARRIO PIEDRAS BLANCAS COPACABANA  1"/>
    <n v="1035437295"/>
    <s v="3148976179"/>
    <s v="3148976179"/>
    <s v="3148976179"/>
    <s v="CR 54 47 26,PIEDRAS BLANCAS"/>
    <s v="6.3432824"/>
    <s v="-75.5102241"/>
    <s v="ANTIOQUIA"/>
    <s v="COPACABANA"/>
    <s v="COPACABANA"/>
    <n v="5212"/>
    <s v="2025-09-30"/>
    <n v="1"/>
    <s v="MEDELLIN"/>
    <x v="0"/>
    <n v="37313"/>
    <n v="37313"/>
  </r>
  <r>
    <n v="74398"/>
    <s v="BARRIO LA ESTANCIA BOGOTA 2"/>
    <n v="80812005"/>
    <s v="3134785042"/>
    <s v="3114558826"/>
    <s v="3112638344"/>
    <s v="CR 74 58 A SUR - 09.LA ESTANCIA"/>
    <s v="4.5937251"/>
    <s v="-74.1730386"/>
    <s v="CUNDINAMARCA"/>
    <s v="BOGOTÁ"/>
    <s v="BOGOTÁ"/>
    <n v="11001"/>
    <s v="2025-09-30"/>
    <n v="1"/>
    <s v="BOGOTA"/>
    <x v="2"/>
    <n v="37313"/>
    <n v="37313"/>
  </r>
  <r>
    <n v="74565"/>
    <s v="BARRIO CONCORD MALAMBO  MALAMBO"/>
    <n v="1042442232"/>
    <s v="3015886095"/>
    <s v="3015886095"/>
    <s v="3015886095"/>
    <s v="CR 25 CL 25 C 04 ,CONCORD ----MALAMBO"/>
    <s v="10.8705207"/>
    <s v="-74.7821259"/>
    <s v="ATLÁNTICO"/>
    <s v="MALAMBO"/>
    <s v="MALAMBO"/>
    <n v="8433"/>
    <s v="2025-09-30"/>
    <n v="1"/>
    <s v="BARRANQUILLA"/>
    <x v="5"/>
    <n v="37313"/>
    <n v="37313"/>
  </r>
  <r>
    <n v="75460"/>
    <s v="BARRIO VILLA LEONOR VALLEDUPAR 3"/>
    <n v="28268048"/>
    <s v="318 389 0059"/>
    <s v="3041155371"/>
    <s v="3103890059"/>
    <s v="CR 24 CL 38 3 AP 01 - VILLA LEONOR,VILLA LEONOR"/>
    <s v="10.44737083"/>
    <s v="-73.25212979"/>
    <s v="CESAR"/>
    <s v="VALLEDUPAR"/>
    <s v="VALLEDUPAR"/>
    <n v="20001"/>
    <s v="2025-09-30"/>
    <n v="1"/>
    <s v="VALLEDUPAR"/>
    <x v="5"/>
    <n v="49671.7"/>
    <n v="49671.7"/>
  </r>
  <r>
    <n v="79979"/>
    <s v="BARRIO CANDELARIA LA NUEVA BOGOTA 9"/>
    <n v="52240599"/>
    <s v="3133922694"/>
    <s v="3106875731"/>
    <s v="3106875731"/>
    <s v="CL 68 A 49 54 SUR LC 1,CANDELARIA LA NUEVA"/>
    <s v="4.5783403"/>
    <s v="-74.1568603"/>
    <s v="CUNDINAMARCA"/>
    <s v="BOGOTÁ"/>
    <s v="BOGOTÁ"/>
    <n v="11001"/>
    <s v="2025-09-30"/>
    <n v="1"/>
    <s v="BOGOTA"/>
    <x v="2"/>
    <n v="37313"/>
    <n v="37313"/>
  </r>
  <r>
    <n v="76863"/>
    <s v="BARRIO OLIMPICO VILLACENCIO"/>
    <n v="94329478"/>
    <s v="3128649652"/>
    <s v="3225884393"/>
    <s v="3225884393"/>
    <s v="CR 12 N 21 58 - OLÍMPICO,OLIMPICO"/>
    <s v="4.1388561"/>
    <s v="-73.612678"/>
    <s v="META"/>
    <s v="VILLAVICENCIO"/>
    <s v="VILLAVICENCIO"/>
    <n v="50001"/>
    <s v="2025-09-30"/>
    <n v="1"/>
    <s v="VILLAVICENCIO"/>
    <x v="1"/>
    <n v="49671.7"/>
    <n v="49671.7"/>
  </r>
  <r>
    <n v="77555"/>
    <s v="BARRIO SAN AGUSTIN PAMPLONA 4"/>
    <n v="37272982"/>
    <s v="3222940161"/>
    <s v="3222940161"/>
    <s v="3222940161"/>
    <s v="CR 6 NRO 0-21,SAN AGUSTIN"/>
    <s v="7.38138959153804"/>
    <s v="-72.64511961915568"/>
    <s v="NORTE DE SANTANDER"/>
    <s v="PAMPLONA"/>
    <s v="PAMPLONA"/>
    <n v="54518"/>
    <s v="2025-09-30"/>
    <n v="1"/>
    <s v="CUCUTA"/>
    <x v="4"/>
    <n v="49671.7"/>
    <n v="49671.7"/>
  </r>
  <r>
    <m/>
    <m/>
    <m/>
    <m/>
    <m/>
    <m/>
    <m/>
    <m/>
    <m/>
    <m/>
    <m/>
    <m/>
    <m/>
    <m/>
    <m/>
    <m/>
    <x v="7"/>
    <m/>
    <n v="141213678.10000208"/>
  </r>
  <r>
    <m/>
    <m/>
    <m/>
    <m/>
    <m/>
    <m/>
    <m/>
    <m/>
    <m/>
    <m/>
    <m/>
    <m/>
    <m/>
    <m/>
    <m/>
    <m/>
    <x v="7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42B1FB-479B-4BAB-919F-C1A671AD1F9A}" name="TablaDinámica1" cacheId="8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1:B9" firstHeaderRow="1" firstDataRow="1" firstDataCol="1"/>
  <pivotFields count="19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9">
        <item x="2"/>
        <item x="5"/>
        <item x="6"/>
        <item x="0"/>
        <item x="1"/>
        <item x="4"/>
        <item x="3"/>
        <item h="1" x="7"/>
        <item t="default"/>
      </items>
    </pivotField>
    <pivotField compact="0" outline="0" showAll="0"/>
    <pivotField dataField="1" compact="0" outline="0" showAll="0"/>
  </pivotFields>
  <rowFields count="1">
    <field x="1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a de valor total" fld="18" baseField="0" baseItem="0" numFmtId="165"/>
  </dataFields>
  <formats count="1">
    <format dxfId="2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8AABA-EE1B-4158-8F84-4AC91F29D35C}">
  <dimension ref="A1:C8"/>
  <sheetViews>
    <sheetView tabSelected="1" workbookViewId="0">
      <selection activeCell="C6" sqref="C6"/>
    </sheetView>
  </sheetViews>
  <sheetFormatPr baseColWidth="10" defaultColWidth="11.44140625" defaultRowHeight="14.4" x14ac:dyDescent="0.3"/>
  <cols>
    <col min="1" max="1" width="40.44140625" customWidth="1"/>
    <col min="2" max="2" width="13" customWidth="1"/>
    <col min="3" max="3" width="15.6640625" customWidth="1"/>
  </cols>
  <sheetData>
    <row r="1" spans="1:3" ht="15" thickBot="1" x14ac:dyDescent="0.35">
      <c r="A1" s="28" t="s">
        <v>0</v>
      </c>
      <c r="B1" s="29"/>
      <c r="C1" s="30"/>
    </row>
    <row r="2" spans="1:3" ht="15" thickBot="1" x14ac:dyDescent="0.35">
      <c r="A2" s="28" t="s">
        <v>108</v>
      </c>
      <c r="B2" s="29"/>
      <c r="C2" s="30"/>
    </row>
    <row r="3" spans="1:3" ht="15" thickBot="1" x14ac:dyDescent="0.35">
      <c r="A3" s="28" t="s">
        <v>1</v>
      </c>
      <c r="B3" s="29"/>
      <c r="C3" s="30"/>
    </row>
    <row r="4" spans="1:3" ht="15" thickBot="1" x14ac:dyDescent="0.35">
      <c r="A4" s="5" t="s">
        <v>2</v>
      </c>
      <c r="B4" s="6" t="s">
        <v>3</v>
      </c>
      <c r="C4" s="13" t="s">
        <v>4</v>
      </c>
    </row>
    <row r="5" spans="1:3" ht="15" thickBot="1" x14ac:dyDescent="0.35">
      <c r="A5" s="7" t="s">
        <v>5</v>
      </c>
      <c r="B5" s="8">
        <f>COUNTA('MIGRACIONES LINEACOM'!A:A)-1</f>
        <v>361</v>
      </c>
      <c r="C5" s="9">
        <f>'MIGRACIONES LINEACOM'!R363</f>
        <v>31319586.75</v>
      </c>
    </row>
    <row r="6" spans="1:3" ht="15" thickBot="1" x14ac:dyDescent="0.35">
      <c r="A6" s="31" t="s">
        <v>6</v>
      </c>
      <c r="B6" s="32"/>
      <c r="C6" s="10">
        <f>SUM(C5:C5)</f>
        <v>31319586.75</v>
      </c>
    </row>
    <row r="7" spans="1:3" ht="15" thickBot="1" x14ac:dyDescent="0.35">
      <c r="A7" s="33" t="s">
        <v>7</v>
      </c>
      <c r="B7" s="34"/>
      <c r="C7" s="11">
        <f>C6*0.19</f>
        <v>5950721.4824999999</v>
      </c>
    </row>
    <row r="8" spans="1:3" ht="15" thickBot="1" x14ac:dyDescent="0.35">
      <c r="A8" s="31" t="s">
        <v>4</v>
      </c>
      <c r="B8" s="35"/>
      <c r="C8" s="12">
        <f>SUM(C6:C7)</f>
        <v>37270308.232500002</v>
      </c>
    </row>
  </sheetData>
  <mergeCells count="6">
    <mergeCell ref="A1:C1"/>
    <mergeCell ref="A2:C2"/>
    <mergeCell ref="A6:B6"/>
    <mergeCell ref="A7:B7"/>
    <mergeCell ref="A8:B8"/>
    <mergeCell ref="A3:C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C8A15-1F14-4656-9D6D-82062418605D}">
  <dimension ref="A1:F23"/>
  <sheetViews>
    <sheetView workbookViewId="0">
      <selection activeCell="F1" sqref="F1"/>
    </sheetView>
  </sheetViews>
  <sheetFormatPr baseColWidth="10" defaultColWidth="11.44140625" defaultRowHeight="14.4" x14ac:dyDescent="0.3"/>
  <cols>
    <col min="1" max="1" width="19.33203125" style="1" customWidth="1"/>
    <col min="2" max="3" width="24.88671875" style="1" customWidth="1"/>
    <col min="4" max="4" width="23.109375" customWidth="1"/>
    <col min="5" max="5" width="17.88671875" customWidth="1"/>
    <col min="6" max="6" width="25.5546875" customWidth="1"/>
  </cols>
  <sheetData>
    <row r="1" spans="1:6" x14ac:dyDescent="0.3">
      <c r="A1" s="20" t="s">
        <v>8</v>
      </c>
      <c r="B1" s="20" t="s">
        <v>9</v>
      </c>
      <c r="C1" s="20" t="s">
        <v>10</v>
      </c>
      <c r="E1" s="4" t="s">
        <v>11</v>
      </c>
      <c r="F1" s="4" t="s">
        <v>12</v>
      </c>
    </row>
    <row r="2" spans="1:6" ht="15" customHeight="1" x14ac:dyDescent="0.3">
      <c r="A2" s="20" t="s">
        <v>13</v>
      </c>
      <c r="B2" s="19">
        <v>39706</v>
      </c>
      <c r="C2" s="19">
        <v>46451</v>
      </c>
      <c r="E2" s="3" t="s">
        <v>14</v>
      </c>
      <c r="F2" s="3" t="s">
        <v>15</v>
      </c>
    </row>
    <row r="3" spans="1:6" ht="15" customHeight="1" x14ac:dyDescent="0.3">
      <c r="A3" s="20" t="s">
        <v>16</v>
      </c>
      <c r="B3" s="19">
        <v>49474</v>
      </c>
      <c r="C3" s="19">
        <v>182458</v>
      </c>
      <c r="E3" s="2" t="s">
        <v>17</v>
      </c>
      <c r="F3" s="2" t="s">
        <v>18</v>
      </c>
    </row>
    <row r="4" spans="1:6" ht="15" customHeight="1" x14ac:dyDescent="0.3">
      <c r="A4" s="20" t="s">
        <v>19</v>
      </c>
      <c r="B4" s="19">
        <v>51412</v>
      </c>
      <c r="C4" s="19">
        <v>462012</v>
      </c>
      <c r="E4" s="2" t="s">
        <v>20</v>
      </c>
      <c r="F4" s="2" t="s">
        <v>21</v>
      </c>
    </row>
    <row r="5" spans="1:6" ht="15" customHeight="1" x14ac:dyDescent="0.3">
      <c r="E5" s="2" t="s">
        <v>22</v>
      </c>
      <c r="F5" s="2" t="s">
        <v>23</v>
      </c>
    </row>
    <row r="6" spans="1:6" ht="15" customHeight="1" x14ac:dyDescent="0.3">
      <c r="E6" s="2" t="s">
        <v>24</v>
      </c>
      <c r="F6" s="2" t="s">
        <v>25</v>
      </c>
    </row>
    <row r="7" spans="1:6" ht="15" customHeight="1" x14ac:dyDescent="0.3">
      <c r="E7" s="2" t="s">
        <v>26</v>
      </c>
      <c r="F7" s="2" t="s">
        <v>27</v>
      </c>
    </row>
    <row r="8" spans="1:6" ht="15" customHeight="1" x14ac:dyDescent="0.3">
      <c r="E8" s="2" t="s">
        <v>28</v>
      </c>
      <c r="F8" s="2" t="s">
        <v>25</v>
      </c>
    </row>
    <row r="9" spans="1:6" ht="15" customHeight="1" x14ac:dyDescent="0.3">
      <c r="E9" s="3" t="s">
        <v>29</v>
      </c>
      <c r="F9" s="2" t="s">
        <v>27</v>
      </c>
    </row>
    <row r="10" spans="1:6" ht="15" customHeight="1" x14ac:dyDescent="0.3">
      <c r="E10" s="2" t="s">
        <v>30</v>
      </c>
      <c r="F10" s="2" t="s">
        <v>31</v>
      </c>
    </row>
    <row r="11" spans="1:6" ht="15" customHeight="1" x14ac:dyDescent="0.3">
      <c r="E11" s="2" t="s">
        <v>32</v>
      </c>
      <c r="F11" s="2" t="s">
        <v>25</v>
      </c>
    </row>
    <row r="12" spans="1:6" ht="15" customHeight="1" x14ac:dyDescent="0.3">
      <c r="E12" s="2" t="s">
        <v>33</v>
      </c>
      <c r="F12" s="2" t="s">
        <v>27</v>
      </c>
    </row>
    <row r="13" spans="1:6" ht="15" customHeight="1" x14ac:dyDescent="0.3">
      <c r="E13" s="2" t="s">
        <v>34</v>
      </c>
      <c r="F13" s="2" t="s">
        <v>31</v>
      </c>
    </row>
    <row r="14" spans="1:6" ht="15" customHeight="1" x14ac:dyDescent="0.3">
      <c r="E14" s="2" t="s">
        <v>35</v>
      </c>
      <c r="F14" s="3" t="s">
        <v>15</v>
      </c>
    </row>
    <row r="15" spans="1:6" ht="15" customHeight="1" x14ac:dyDescent="0.3">
      <c r="E15" s="2" t="s">
        <v>36</v>
      </c>
      <c r="F15" s="2" t="s">
        <v>25</v>
      </c>
    </row>
    <row r="16" spans="1:6" ht="15" customHeight="1" x14ac:dyDescent="0.3">
      <c r="E16" s="2" t="s">
        <v>37</v>
      </c>
      <c r="F16" s="2" t="s">
        <v>31</v>
      </c>
    </row>
    <row r="17" spans="5:6" ht="15" customHeight="1" x14ac:dyDescent="0.3">
      <c r="E17" s="2" t="s">
        <v>38</v>
      </c>
      <c r="F17" s="2" t="s">
        <v>31</v>
      </c>
    </row>
    <row r="18" spans="5:6" ht="15" customHeight="1" x14ac:dyDescent="0.3">
      <c r="E18" s="2" t="s">
        <v>39</v>
      </c>
      <c r="F18" s="2" t="s">
        <v>23</v>
      </c>
    </row>
    <row r="19" spans="5:6" ht="15" customHeight="1" x14ac:dyDescent="0.3">
      <c r="E19" s="2" t="s">
        <v>40</v>
      </c>
      <c r="F19" s="2" t="s">
        <v>21</v>
      </c>
    </row>
    <row r="20" spans="5:6" ht="15" customHeight="1" x14ac:dyDescent="0.3">
      <c r="E20" s="2" t="s">
        <v>41</v>
      </c>
      <c r="F20" s="2" t="s">
        <v>21</v>
      </c>
    </row>
    <row r="21" spans="5:6" ht="15" customHeight="1" x14ac:dyDescent="0.3">
      <c r="E21" s="2" t="s">
        <v>42</v>
      </c>
      <c r="F21" s="2" t="s">
        <v>25</v>
      </c>
    </row>
    <row r="22" spans="5:6" ht="15" customHeight="1" x14ac:dyDescent="0.3">
      <c r="E22" s="2" t="s">
        <v>43</v>
      </c>
      <c r="F22" s="2" t="s">
        <v>25</v>
      </c>
    </row>
    <row r="23" spans="5:6" ht="15" customHeight="1" x14ac:dyDescent="0.3">
      <c r="E23" s="2" t="s">
        <v>44</v>
      </c>
      <c r="F23" s="2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8D991-50BB-498F-AF85-38F1C1C6DBE3}">
  <dimension ref="A1:R363"/>
  <sheetViews>
    <sheetView zoomScale="90" zoomScaleNormal="90" workbookViewId="0">
      <pane xSplit="1" ySplit="1" topLeftCell="D334" activePane="bottomRight" state="frozen"/>
      <selection pane="topRight" activeCell="B1" sqref="B1"/>
      <selection pane="bottomLeft" activeCell="A2" sqref="A2"/>
      <selection pane="bottomRight" activeCell="R363" sqref="R363"/>
    </sheetView>
  </sheetViews>
  <sheetFormatPr baseColWidth="10" defaultColWidth="8.88671875" defaultRowHeight="15" customHeight="1" x14ac:dyDescent="0.3"/>
  <cols>
    <col min="1" max="1" width="19.6640625" style="1" customWidth="1"/>
    <col min="2" max="6" width="16.5546875" style="1" customWidth="1"/>
    <col min="7" max="7" width="9.44140625" style="1" customWidth="1"/>
    <col min="8" max="8" width="16.5546875" style="1" customWidth="1"/>
    <col min="9" max="9" width="36.5546875" style="1" customWidth="1"/>
    <col min="10" max="10" width="22.6640625" style="1" customWidth="1"/>
    <col min="11" max="11" width="16.5546875" style="37" customWidth="1"/>
    <col min="12" max="12" width="16.5546875" style="18" customWidth="1"/>
    <col min="13" max="15" width="16.5546875" style="1" customWidth="1"/>
    <col min="16" max="16" width="12.33203125" style="1" customWidth="1"/>
    <col min="17" max="17" width="16.5546875" style="21" customWidth="1"/>
    <col min="18" max="18" width="15.6640625" style="16" customWidth="1"/>
    <col min="19" max="19" width="15" customWidth="1"/>
  </cols>
  <sheetData>
    <row r="1" spans="1:18" s="17" customFormat="1" ht="43.2" x14ac:dyDescent="0.3">
      <c r="A1" s="22" t="s">
        <v>45</v>
      </c>
      <c r="B1" s="22" t="s">
        <v>46</v>
      </c>
      <c r="C1" s="22" t="s">
        <v>47</v>
      </c>
      <c r="D1" s="22" t="s">
        <v>48</v>
      </c>
      <c r="E1" s="22" t="s">
        <v>49</v>
      </c>
      <c r="F1" s="22" t="s">
        <v>50</v>
      </c>
      <c r="G1" s="22" t="s">
        <v>51</v>
      </c>
      <c r="H1" s="22" t="s">
        <v>52</v>
      </c>
      <c r="I1" s="22" t="s">
        <v>53</v>
      </c>
      <c r="J1" s="22" t="s">
        <v>54</v>
      </c>
      <c r="K1" s="36" t="s">
        <v>55</v>
      </c>
      <c r="L1" s="23" t="s">
        <v>56</v>
      </c>
      <c r="M1" s="22" t="s">
        <v>57</v>
      </c>
      <c r="N1" s="22" t="s">
        <v>58</v>
      </c>
      <c r="O1" s="22" t="s">
        <v>12</v>
      </c>
      <c r="P1" s="24" t="s">
        <v>60</v>
      </c>
      <c r="Q1" s="27" t="s">
        <v>61</v>
      </c>
      <c r="R1" s="24" t="s">
        <v>62</v>
      </c>
    </row>
    <row r="2" spans="1:18" ht="15" customHeight="1" x14ac:dyDescent="0.3">
      <c r="A2" s="25">
        <v>46103</v>
      </c>
      <c r="B2" s="25" t="s">
        <v>470</v>
      </c>
      <c r="C2" s="25" t="s">
        <v>63</v>
      </c>
      <c r="D2" s="25" t="s">
        <v>64</v>
      </c>
      <c r="E2" s="25">
        <v>11001</v>
      </c>
      <c r="F2" s="25" t="s">
        <v>471</v>
      </c>
      <c r="G2" s="25">
        <v>1</v>
      </c>
      <c r="H2" s="25" t="s">
        <v>109</v>
      </c>
      <c r="I2" s="25" t="s">
        <v>65</v>
      </c>
      <c r="J2" s="25" t="s">
        <v>66</v>
      </c>
      <c r="K2" s="38">
        <v>45968.431944444441</v>
      </c>
      <c r="L2" s="25" t="s">
        <v>67</v>
      </c>
      <c r="M2" s="25" t="str">
        <f>VLOOKUP(E2,[1]TIPOLOGIAS!$A:$G,5,0)</f>
        <v>PRINCIPAL</v>
      </c>
      <c r="N2" s="25" t="str">
        <f>VLOOKUP(E2,[1]TIPOLOGIAS!$A:$G,4,0)</f>
        <v>BOGOTA</v>
      </c>
      <c r="O2" s="25" t="str">
        <f>VLOOKUP(N2,'BASE TARIFA 2025'!E:F,2,0)</f>
        <v>WOMPI CENTRO</v>
      </c>
      <c r="P2" s="40">
        <f>VLOOKUP(M2,'BASE TARIFA 2025'!A:C,3,0)</f>
        <v>46451</v>
      </c>
      <c r="Q2" s="26" t="str">
        <f>IF(L2="EJECUTADO","100%", "75%")</f>
        <v>100%</v>
      </c>
      <c r="R2" s="41">
        <f>G2*P2*Q2</f>
        <v>46451</v>
      </c>
    </row>
    <row r="3" spans="1:18" ht="15" customHeight="1" x14ac:dyDescent="0.3">
      <c r="A3" s="25">
        <v>34829</v>
      </c>
      <c r="B3" s="25" t="s">
        <v>470</v>
      </c>
      <c r="C3" s="25" t="s">
        <v>63</v>
      </c>
      <c r="D3" s="25" t="s">
        <v>64</v>
      </c>
      <c r="E3" s="25">
        <v>11001</v>
      </c>
      <c r="F3" s="25" t="s">
        <v>472</v>
      </c>
      <c r="G3" s="25">
        <v>1</v>
      </c>
      <c r="H3" s="25" t="s">
        <v>110</v>
      </c>
      <c r="I3" s="25" t="s">
        <v>65</v>
      </c>
      <c r="J3" s="25" t="s">
        <v>66</v>
      </c>
      <c r="K3" s="38">
        <v>45968.539583333331</v>
      </c>
      <c r="L3" s="25" t="s">
        <v>67</v>
      </c>
      <c r="M3" s="25" t="str">
        <f>VLOOKUP(E3,[1]TIPOLOGIAS!$A:$G,5,0)</f>
        <v>PRINCIPAL</v>
      </c>
      <c r="N3" s="25" t="str">
        <f>VLOOKUP(E3,[1]TIPOLOGIAS!$A:$G,4,0)</f>
        <v>BOGOTA</v>
      </c>
      <c r="O3" s="25" t="str">
        <f>VLOOKUP(N3,'BASE TARIFA 2025'!E:F,2,0)</f>
        <v>WOMPI CENTRO</v>
      </c>
      <c r="P3" s="40">
        <f>VLOOKUP(M3,'BASE TARIFA 2025'!A:C,3,0)</f>
        <v>46451</v>
      </c>
      <c r="Q3" s="26" t="str">
        <f t="shared" ref="Q3:Q66" si="0">IF(L3="EJECUTADO","100%", "75%")</f>
        <v>100%</v>
      </c>
      <c r="R3" s="41">
        <f t="shared" ref="R3:R66" si="1">G3*P3*Q3</f>
        <v>46451</v>
      </c>
    </row>
    <row r="4" spans="1:18" ht="15" customHeight="1" x14ac:dyDescent="0.3">
      <c r="A4" s="25">
        <v>79604</v>
      </c>
      <c r="B4" s="25" t="s">
        <v>470</v>
      </c>
      <c r="C4" s="25" t="s">
        <v>63</v>
      </c>
      <c r="D4" s="25" t="s">
        <v>64</v>
      </c>
      <c r="E4" s="25">
        <v>11001</v>
      </c>
      <c r="F4" s="25" t="s">
        <v>473</v>
      </c>
      <c r="G4" s="25">
        <v>1</v>
      </c>
      <c r="H4" s="25" t="s">
        <v>111</v>
      </c>
      <c r="I4" s="25" t="s">
        <v>65</v>
      </c>
      <c r="J4" s="25" t="s">
        <v>66</v>
      </c>
      <c r="K4" s="38">
        <v>45965.521527777775</v>
      </c>
      <c r="L4" s="25" t="s">
        <v>67</v>
      </c>
      <c r="M4" s="25" t="str">
        <f>VLOOKUP(E4,[1]TIPOLOGIAS!$A:$G,5,0)</f>
        <v>PRINCIPAL</v>
      </c>
      <c r="N4" s="25" t="str">
        <f>VLOOKUP(E4,[1]TIPOLOGIAS!$A:$G,4,0)</f>
        <v>BOGOTA</v>
      </c>
      <c r="O4" s="25" t="str">
        <f>VLOOKUP(N4,'BASE TARIFA 2025'!E:F,2,0)</f>
        <v>WOMPI CENTRO</v>
      </c>
      <c r="P4" s="40">
        <f>VLOOKUP(M4,'BASE TARIFA 2025'!A:C,3,0)</f>
        <v>46451</v>
      </c>
      <c r="Q4" s="26" t="str">
        <f t="shared" si="0"/>
        <v>100%</v>
      </c>
      <c r="R4" s="41">
        <f t="shared" si="1"/>
        <v>46451</v>
      </c>
    </row>
    <row r="5" spans="1:18" ht="15" customHeight="1" x14ac:dyDescent="0.3">
      <c r="A5" s="25">
        <v>66839</v>
      </c>
      <c r="B5" s="25" t="s">
        <v>470</v>
      </c>
      <c r="C5" s="25" t="s">
        <v>63</v>
      </c>
      <c r="D5" s="25" t="s">
        <v>64</v>
      </c>
      <c r="E5" s="25">
        <v>11001</v>
      </c>
      <c r="F5" s="25" t="s">
        <v>474</v>
      </c>
      <c r="G5" s="25">
        <v>1</v>
      </c>
      <c r="H5" s="25" t="s">
        <v>112</v>
      </c>
      <c r="I5" s="25" t="s">
        <v>65</v>
      </c>
      <c r="J5" s="25" t="s">
        <v>66</v>
      </c>
      <c r="K5" s="38">
        <v>45965.423611111109</v>
      </c>
      <c r="L5" s="25" t="s">
        <v>67</v>
      </c>
      <c r="M5" s="25" t="str">
        <f>VLOOKUP(E5,[1]TIPOLOGIAS!$A:$G,5,0)</f>
        <v>PRINCIPAL</v>
      </c>
      <c r="N5" s="25" t="str">
        <f>VLOOKUP(E5,[1]TIPOLOGIAS!$A:$G,4,0)</f>
        <v>BOGOTA</v>
      </c>
      <c r="O5" s="25" t="str">
        <f>VLOOKUP(N5,'BASE TARIFA 2025'!E:F,2,0)</f>
        <v>WOMPI CENTRO</v>
      </c>
      <c r="P5" s="40">
        <f>VLOOKUP(M5,'BASE TARIFA 2025'!A:C,3,0)</f>
        <v>46451</v>
      </c>
      <c r="Q5" s="26" t="str">
        <f t="shared" si="0"/>
        <v>100%</v>
      </c>
      <c r="R5" s="41">
        <f t="shared" si="1"/>
        <v>46451</v>
      </c>
    </row>
    <row r="6" spans="1:18" ht="15" customHeight="1" x14ac:dyDescent="0.3">
      <c r="A6" s="25">
        <v>80346</v>
      </c>
      <c r="B6" s="25" t="s">
        <v>470</v>
      </c>
      <c r="C6" s="25" t="s">
        <v>63</v>
      </c>
      <c r="D6" s="25" t="s">
        <v>64</v>
      </c>
      <c r="E6" s="25">
        <v>11001</v>
      </c>
      <c r="F6" s="25" t="s">
        <v>475</v>
      </c>
      <c r="G6" s="25">
        <v>1</v>
      </c>
      <c r="H6" s="25" t="s">
        <v>113</v>
      </c>
      <c r="I6" s="25" t="s">
        <v>65</v>
      </c>
      <c r="J6" s="25" t="s">
        <v>66</v>
      </c>
      <c r="K6" s="38">
        <v>45965.626388888886</v>
      </c>
      <c r="L6" s="25" t="s">
        <v>67</v>
      </c>
      <c r="M6" s="25" t="str">
        <f>VLOOKUP(E6,[1]TIPOLOGIAS!$A:$G,5,0)</f>
        <v>PRINCIPAL</v>
      </c>
      <c r="N6" s="25" t="str">
        <f>VLOOKUP(E6,[1]TIPOLOGIAS!$A:$G,4,0)</f>
        <v>BOGOTA</v>
      </c>
      <c r="O6" s="25" t="str">
        <f>VLOOKUP(N6,'BASE TARIFA 2025'!E:F,2,0)</f>
        <v>WOMPI CENTRO</v>
      </c>
      <c r="P6" s="40">
        <f>VLOOKUP(M6,'BASE TARIFA 2025'!A:C,3,0)</f>
        <v>46451</v>
      </c>
      <c r="Q6" s="26" t="str">
        <f t="shared" si="0"/>
        <v>100%</v>
      </c>
      <c r="R6" s="41">
        <f t="shared" si="1"/>
        <v>46451</v>
      </c>
    </row>
    <row r="7" spans="1:18" ht="15" customHeight="1" x14ac:dyDescent="0.3">
      <c r="A7" s="25">
        <v>80003</v>
      </c>
      <c r="B7" s="25" t="s">
        <v>476</v>
      </c>
      <c r="C7" s="25" t="s">
        <v>70</v>
      </c>
      <c r="D7" s="25" t="s">
        <v>71</v>
      </c>
      <c r="E7" s="25">
        <v>54001</v>
      </c>
      <c r="F7" s="25" t="s">
        <v>477</v>
      </c>
      <c r="G7" s="25">
        <v>1</v>
      </c>
      <c r="H7" s="25" t="s">
        <v>114</v>
      </c>
      <c r="I7" s="25" t="s">
        <v>65</v>
      </c>
      <c r="J7" s="25" t="s">
        <v>66</v>
      </c>
      <c r="K7" s="38">
        <v>45965.568055555559</v>
      </c>
      <c r="L7" s="25" t="s">
        <v>67</v>
      </c>
      <c r="M7" s="25" t="str">
        <f>VLOOKUP(E7,[1]TIPOLOGIAS!$A:$G,5,0)</f>
        <v>PRINCIPAL</v>
      </c>
      <c r="N7" s="25" t="str">
        <f>VLOOKUP(E7,[1]TIPOLOGIAS!$A:$G,4,0)</f>
        <v>CUCUTA</v>
      </c>
      <c r="O7" s="25" t="str">
        <f>VLOOKUP(N7,'BASE TARIFA 2025'!E:F,2,0)</f>
        <v>WOMPI SANTANDERES</v>
      </c>
      <c r="P7" s="40">
        <f>VLOOKUP(M7,'BASE TARIFA 2025'!A:C,3,0)</f>
        <v>46451</v>
      </c>
      <c r="Q7" s="26" t="str">
        <f t="shared" si="0"/>
        <v>100%</v>
      </c>
      <c r="R7" s="41">
        <f t="shared" si="1"/>
        <v>46451</v>
      </c>
    </row>
    <row r="8" spans="1:18" ht="15" customHeight="1" x14ac:dyDescent="0.3">
      <c r="A8" s="25">
        <v>80264</v>
      </c>
      <c r="B8" s="25" t="s">
        <v>476</v>
      </c>
      <c r="C8" s="25" t="s">
        <v>70</v>
      </c>
      <c r="D8" s="25" t="s">
        <v>71</v>
      </c>
      <c r="E8" s="25">
        <v>54001</v>
      </c>
      <c r="F8" s="25" t="s">
        <v>478</v>
      </c>
      <c r="G8" s="25">
        <v>1</v>
      </c>
      <c r="H8" s="25" t="s">
        <v>115</v>
      </c>
      <c r="I8" s="25" t="s">
        <v>65</v>
      </c>
      <c r="J8" s="25" t="s">
        <v>66</v>
      </c>
      <c r="K8" s="38">
        <v>45965.595833333333</v>
      </c>
      <c r="L8" s="25" t="s">
        <v>67</v>
      </c>
      <c r="M8" s="25" t="str">
        <f>VLOOKUP(E8,[1]TIPOLOGIAS!$A:$G,5,0)</f>
        <v>PRINCIPAL</v>
      </c>
      <c r="N8" s="25" t="str">
        <f>VLOOKUP(E8,[1]TIPOLOGIAS!$A:$G,4,0)</f>
        <v>CUCUTA</v>
      </c>
      <c r="O8" s="25" t="str">
        <f>VLOOKUP(N8,'BASE TARIFA 2025'!E:F,2,0)</f>
        <v>WOMPI SANTANDERES</v>
      </c>
      <c r="P8" s="40">
        <f>VLOOKUP(M8,'BASE TARIFA 2025'!A:C,3,0)</f>
        <v>46451</v>
      </c>
      <c r="Q8" s="26" t="str">
        <f t="shared" si="0"/>
        <v>100%</v>
      </c>
      <c r="R8" s="41">
        <f t="shared" si="1"/>
        <v>46451</v>
      </c>
    </row>
    <row r="9" spans="1:18" ht="15" customHeight="1" x14ac:dyDescent="0.3">
      <c r="A9" s="25">
        <v>79516</v>
      </c>
      <c r="B9" s="25" t="s">
        <v>476</v>
      </c>
      <c r="C9" s="25" t="s">
        <v>70</v>
      </c>
      <c r="D9" s="25" t="s">
        <v>97</v>
      </c>
      <c r="E9" s="25">
        <v>54405</v>
      </c>
      <c r="F9" s="25" t="s">
        <v>479</v>
      </c>
      <c r="G9" s="25">
        <v>1</v>
      </c>
      <c r="H9" s="25" t="s">
        <v>116</v>
      </c>
      <c r="I9" s="25" t="s">
        <v>65</v>
      </c>
      <c r="J9" s="25" t="s">
        <v>66</v>
      </c>
      <c r="K9" s="38">
        <v>45966.413194444445</v>
      </c>
      <c r="L9" s="25" t="s">
        <v>67</v>
      </c>
      <c r="M9" s="25" t="str">
        <f>VLOOKUP(E9,[1]TIPOLOGIAS!$A:$G,5,0)</f>
        <v>PRINCIPAL</v>
      </c>
      <c r="N9" s="25" t="str">
        <f>VLOOKUP(E9,[1]TIPOLOGIAS!$A:$G,4,0)</f>
        <v>CUCUTA</v>
      </c>
      <c r="O9" s="25" t="str">
        <f>VLOOKUP(N9,'BASE TARIFA 2025'!E:F,2,0)</f>
        <v>WOMPI SANTANDERES</v>
      </c>
      <c r="P9" s="40">
        <f>VLOOKUP(M9,'BASE TARIFA 2025'!A:C,3,0)</f>
        <v>46451</v>
      </c>
      <c r="Q9" s="26" t="str">
        <f t="shared" si="0"/>
        <v>100%</v>
      </c>
      <c r="R9" s="41">
        <f t="shared" si="1"/>
        <v>46451</v>
      </c>
    </row>
    <row r="10" spans="1:18" ht="15" customHeight="1" x14ac:dyDescent="0.3">
      <c r="A10" s="25">
        <v>79102</v>
      </c>
      <c r="B10" s="25" t="s">
        <v>476</v>
      </c>
      <c r="C10" s="25" t="s">
        <v>70</v>
      </c>
      <c r="D10" s="25" t="s">
        <v>97</v>
      </c>
      <c r="E10" s="25">
        <v>54405</v>
      </c>
      <c r="F10" s="25" t="s">
        <v>480</v>
      </c>
      <c r="G10" s="25">
        <v>1</v>
      </c>
      <c r="H10" s="25" t="s">
        <v>117</v>
      </c>
      <c r="I10" s="25" t="s">
        <v>65</v>
      </c>
      <c r="J10" s="25" t="s">
        <v>66</v>
      </c>
      <c r="K10" s="38">
        <v>45966.584722222222</v>
      </c>
      <c r="L10" s="25" t="s">
        <v>67</v>
      </c>
      <c r="M10" s="25" t="str">
        <f>VLOOKUP(E10,[1]TIPOLOGIAS!$A:$G,5,0)</f>
        <v>PRINCIPAL</v>
      </c>
      <c r="N10" s="25" t="str">
        <f>VLOOKUP(E10,[1]TIPOLOGIAS!$A:$G,4,0)</f>
        <v>CUCUTA</v>
      </c>
      <c r="O10" s="25" t="str">
        <f>VLOOKUP(N10,'BASE TARIFA 2025'!E:F,2,0)</f>
        <v>WOMPI SANTANDERES</v>
      </c>
      <c r="P10" s="40">
        <f>VLOOKUP(M10,'BASE TARIFA 2025'!A:C,3,0)</f>
        <v>46451</v>
      </c>
      <c r="Q10" s="26" t="str">
        <f t="shared" si="0"/>
        <v>100%</v>
      </c>
      <c r="R10" s="41">
        <f t="shared" si="1"/>
        <v>46451</v>
      </c>
    </row>
    <row r="11" spans="1:18" ht="15" customHeight="1" x14ac:dyDescent="0.3">
      <c r="A11" s="25">
        <v>80162</v>
      </c>
      <c r="B11" s="25" t="s">
        <v>481</v>
      </c>
      <c r="C11" s="25" t="s">
        <v>88</v>
      </c>
      <c r="D11" s="25" t="s">
        <v>39</v>
      </c>
      <c r="E11" s="25">
        <v>17001</v>
      </c>
      <c r="F11" s="25" t="s">
        <v>482</v>
      </c>
      <c r="G11" s="25">
        <v>1</v>
      </c>
      <c r="H11" s="25" t="s">
        <v>118</v>
      </c>
      <c r="I11" s="25" t="s">
        <v>65</v>
      </c>
      <c r="J11" s="25" t="s">
        <v>66</v>
      </c>
      <c r="K11" s="38">
        <v>45960.404166666667</v>
      </c>
      <c r="L11" s="25" t="s">
        <v>67</v>
      </c>
      <c r="M11" s="25" t="str">
        <f>VLOOKUP(E11,[1]TIPOLOGIAS!$A:$G,5,0)</f>
        <v>PRINCIPAL</v>
      </c>
      <c r="N11" s="25" t="str">
        <f>VLOOKUP(E11,[1]TIPOLOGIAS!$A:$G,4,0)</f>
        <v>MANIZALES</v>
      </c>
      <c r="O11" s="25" t="str">
        <f>VLOOKUP(N11,'BASE TARIFA 2025'!E:F,2,0)</f>
        <v>WOMPI EJE CAFETERO</v>
      </c>
      <c r="P11" s="40">
        <f>VLOOKUP(M11,'BASE TARIFA 2025'!A:C,3,0)</f>
        <v>46451</v>
      </c>
      <c r="Q11" s="26" t="str">
        <f t="shared" si="0"/>
        <v>100%</v>
      </c>
      <c r="R11" s="41">
        <f t="shared" si="1"/>
        <v>46451</v>
      </c>
    </row>
    <row r="12" spans="1:18" ht="15" customHeight="1" x14ac:dyDescent="0.3">
      <c r="A12" s="25">
        <v>76590</v>
      </c>
      <c r="B12" s="25" t="s">
        <v>481</v>
      </c>
      <c r="C12" s="25" t="s">
        <v>85</v>
      </c>
      <c r="D12" s="25" t="s">
        <v>87</v>
      </c>
      <c r="E12" s="25">
        <v>66170</v>
      </c>
      <c r="F12" s="25" t="s">
        <v>483</v>
      </c>
      <c r="G12" s="25">
        <v>1</v>
      </c>
      <c r="H12" s="25" t="s">
        <v>119</v>
      </c>
      <c r="I12" s="25" t="s">
        <v>65</v>
      </c>
      <c r="J12" s="25" t="s">
        <v>66</v>
      </c>
      <c r="K12" s="38">
        <v>45965.623611111114</v>
      </c>
      <c r="L12" s="25" t="s">
        <v>67</v>
      </c>
      <c r="M12" s="25" t="str">
        <f>VLOOKUP(E12,[1]TIPOLOGIAS!$A:$G,5,0)</f>
        <v>PRINCIPAL</v>
      </c>
      <c r="N12" s="25" t="str">
        <f>VLOOKUP(E12,[1]TIPOLOGIAS!$A:$G,4,0)</f>
        <v>PEREIRA</v>
      </c>
      <c r="O12" s="25" t="str">
        <f>VLOOKUP(N12,'BASE TARIFA 2025'!E:F,2,0)</f>
        <v>WOMPI EJE CAFETERO</v>
      </c>
      <c r="P12" s="40">
        <f>VLOOKUP(M12,'BASE TARIFA 2025'!A:C,3,0)</f>
        <v>46451</v>
      </c>
      <c r="Q12" s="26" t="str">
        <f t="shared" si="0"/>
        <v>100%</v>
      </c>
      <c r="R12" s="41">
        <f t="shared" si="1"/>
        <v>46451</v>
      </c>
    </row>
    <row r="13" spans="1:18" ht="15" customHeight="1" x14ac:dyDescent="0.3">
      <c r="A13" s="25">
        <v>78608</v>
      </c>
      <c r="B13" s="25" t="s">
        <v>481</v>
      </c>
      <c r="C13" s="25" t="s">
        <v>85</v>
      </c>
      <c r="D13" s="25" t="s">
        <v>87</v>
      </c>
      <c r="E13" s="25">
        <v>66170</v>
      </c>
      <c r="F13" s="25" t="s">
        <v>484</v>
      </c>
      <c r="G13" s="25">
        <v>1</v>
      </c>
      <c r="H13" s="25" t="s">
        <v>120</v>
      </c>
      <c r="I13" s="25" t="s">
        <v>65</v>
      </c>
      <c r="J13" s="25" t="s">
        <v>66</v>
      </c>
      <c r="K13" s="38">
        <v>45965.531944444447</v>
      </c>
      <c r="L13" s="25" t="s">
        <v>67</v>
      </c>
      <c r="M13" s="25" t="str">
        <f>VLOOKUP(E13,[1]TIPOLOGIAS!$A:$G,5,0)</f>
        <v>PRINCIPAL</v>
      </c>
      <c r="N13" s="25" t="str">
        <f>VLOOKUP(E13,[1]TIPOLOGIAS!$A:$G,4,0)</f>
        <v>PEREIRA</v>
      </c>
      <c r="O13" s="25" t="str">
        <f>VLOOKUP(N13,'BASE TARIFA 2025'!E:F,2,0)</f>
        <v>WOMPI EJE CAFETERO</v>
      </c>
      <c r="P13" s="40">
        <f>VLOOKUP(M13,'BASE TARIFA 2025'!A:C,3,0)</f>
        <v>46451</v>
      </c>
      <c r="Q13" s="26" t="str">
        <f t="shared" si="0"/>
        <v>100%</v>
      </c>
      <c r="R13" s="41">
        <f t="shared" si="1"/>
        <v>46451</v>
      </c>
    </row>
    <row r="14" spans="1:18" ht="15" customHeight="1" x14ac:dyDescent="0.3">
      <c r="A14" s="25">
        <v>55886</v>
      </c>
      <c r="B14" s="25" t="s">
        <v>481</v>
      </c>
      <c r="C14" s="25" t="s">
        <v>85</v>
      </c>
      <c r="D14" s="25" t="s">
        <v>87</v>
      </c>
      <c r="E14" s="25">
        <v>66170</v>
      </c>
      <c r="F14" s="25" t="s">
        <v>485</v>
      </c>
      <c r="G14" s="25">
        <v>1</v>
      </c>
      <c r="H14" s="25" t="s">
        <v>121</v>
      </c>
      <c r="I14" s="25" t="s">
        <v>65</v>
      </c>
      <c r="J14" s="25" t="s">
        <v>66</v>
      </c>
      <c r="K14" s="38">
        <v>45981.402777777781</v>
      </c>
      <c r="L14" s="25" t="s">
        <v>67</v>
      </c>
      <c r="M14" s="25" t="str">
        <f>VLOOKUP(E14,[1]TIPOLOGIAS!$A:$G,5,0)</f>
        <v>PRINCIPAL</v>
      </c>
      <c r="N14" s="25" t="str">
        <f>VLOOKUP(E14,[1]TIPOLOGIAS!$A:$G,4,0)</f>
        <v>PEREIRA</v>
      </c>
      <c r="O14" s="25" t="str">
        <f>VLOOKUP(N14,'BASE TARIFA 2025'!E:F,2,0)</f>
        <v>WOMPI EJE CAFETERO</v>
      </c>
      <c r="P14" s="40">
        <f>VLOOKUP(M14,'BASE TARIFA 2025'!A:C,3,0)</f>
        <v>46451</v>
      </c>
      <c r="Q14" s="26" t="str">
        <f t="shared" si="0"/>
        <v>100%</v>
      </c>
      <c r="R14" s="41">
        <f t="shared" si="1"/>
        <v>46451</v>
      </c>
    </row>
    <row r="15" spans="1:18" ht="15" customHeight="1" x14ac:dyDescent="0.3">
      <c r="A15" s="25">
        <v>80936</v>
      </c>
      <c r="B15" s="25" t="s">
        <v>481</v>
      </c>
      <c r="C15" s="25" t="s">
        <v>82</v>
      </c>
      <c r="D15" s="25" t="s">
        <v>20</v>
      </c>
      <c r="E15" s="25">
        <v>76001</v>
      </c>
      <c r="F15" s="25" t="s">
        <v>486</v>
      </c>
      <c r="G15" s="25">
        <v>1</v>
      </c>
      <c r="H15" s="25" t="s">
        <v>122</v>
      </c>
      <c r="I15" s="25" t="s">
        <v>65</v>
      </c>
      <c r="J15" s="25" t="s">
        <v>66</v>
      </c>
      <c r="K15" s="38">
        <v>45969.428472222222</v>
      </c>
      <c r="L15" s="25" t="s">
        <v>67</v>
      </c>
      <c r="M15" s="25" t="str">
        <f>VLOOKUP(E15,[1]TIPOLOGIAS!$A:$G,5,0)</f>
        <v>PRINCIPAL</v>
      </c>
      <c r="N15" s="25" t="str">
        <f>VLOOKUP(E15,[1]TIPOLOGIAS!$A:$G,4,0)</f>
        <v>CALI</v>
      </c>
      <c r="O15" s="25" t="str">
        <f>VLOOKUP(N15,'BASE TARIFA 2025'!E:F,2,0)</f>
        <v>WOMPI SUROCCIDENTE</v>
      </c>
      <c r="P15" s="40">
        <f>VLOOKUP(M15,'BASE TARIFA 2025'!A:C,3,0)</f>
        <v>46451</v>
      </c>
      <c r="Q15" s="26" t="str">
        <f t="shared" si="0"/>
        <v>100%</v>
      </c>
      <c r="R15" s="41">
        <f t="shared" si="1"/>
        <v>46451</v>
      </c>
    </row>
    <row r="16" spans="1:18" ht="15" customHeight="1" x14ac:dyDescent="0.3">
      <c r="A16" s="25">
        <v>80789</v>
      </c>
      <c r="B16" s="25" t="s">
        <v>481</v>
      </c>
      <c r="C16" s="25" t="s">
        <v>88</v>
      </c>
      <c r="D16" s="25" t="s">
        <v>39</v>
      </c>
      <c r="E16" s="25">
        <v>17001</v>
      </c>
      <c r="F16" s="25" t="s">
        <v>487</v>
      </c>
      <c r="G16" s="25">
        <v>1</v>
      </c>
      <c r="H16" s="25" t="s">
        <v>123</v>
      </c>
      <c r="I16" s="25" t="s">
        <v>65</v>
      </c>
      <c r="J16" s="25" t="s">
        <v>66</v>
      </c>
      <c r="K16" s="38">
        <v>45959.515972222223</v>
      </c>
      <c r="L16" s="25" t="s">
        <v>67</v>
      </c>
      <c r="M16" s="25" t="str">
        <f>VLOOKUP(E16,[1]TIPOLOGIAS!$A:$G,5,0)</f>
        <v>PRINCIPAL</v>
      </c>
      <c r="N16" s="25" t="str">
        <f>VLOOKUP(E16,[1]TIPOLOGIAS!$A:$G,4,0)</f>
        <v>MANIZALES</v>
      </c>
      <c r="O16" s="25" t="str">
        <f>VLOOKUP(N16,'BASE TARIFA 2025'!E:F,2,0)</f>
        <v>WOMPI EJE CAFETERO</v>
      </c>
      <c r="P16" s="40">
        <f>VLOOKUP(M16,'BASE TARIFA 2025'!A:C,3,0)</f>
        <v>46451</v>
      </c>
      <c r="Q16" s="26" t="str">
        <f t="shared" si="0"/>
        <v>100%</v>
      </c>
      <c r="R16" s="41">
        <f t="shared" si="1"/>
        <v>46451</v>
      </c>
    </row>
    <row r="17" spans="1:18" ht="15" customHeight="1" x14ac:dyDescent="0.3">
      <c r="A17" s="25">
        <v>80957</v>
      </c>
      <c r="B17" s="25" t="s">
        <v>481</v>
      </c>
      <c r="C17" s="25" t="s">
        <v>95</v>
      </c>
      <c r="D17" s="25" t="s">
        <v>40</v>
      </c>
      <c r="E17" s="25">
        <v>52001</v>
      </c>
      <c r="F17" s="25" t="s">
        <v>488</v>
      </c>
      <c r="G17" s="25">
        <v>1</v>
      </c>
      <c r="H17" s="25" t="s">
        <v>124</v>
      </c>
      <c r="I17" s="25" t="s">
        <v>65</v>
      </c>
      <c r="J17" s="25" t="s">
        <v>66</v>
      </c>
      <c r="K17" s="38">
        <v>45969.481249999997</v>
      </c>
      <c r="L17" s="25" t="s">
        <v>67</v>
      </c>
      <c r="M17" s="25" t="str">
        <f>VLOOKUP(E17,[1]TIPOLOGIAS!$A:$G,5,0)</f>
        <v>PRINCIPAL</v>
      </c>
      <c r="N17" s="25" t="str">
        <f>VLOOKUP(E17,[1]TIPOLOGIAS!$A:$G,4,0)</f>
        <v>PASTO</v>
      </c>
      <c r="O17" s="25" t="str">
        <f>VLOOKUP(N17,'BASE TARIFA 2025'!E:F,2,0)</f>
        <v>WOMPI SUROCCIDENTE</v>
      </c>
      <c r="P17" s="40">
        <f>VLOOKUP(M17,'BASE TARIFA 2025'!A:C,3,0)</f>
        <v>46451</v>
      </c>
      <c r="Q17" s="26" t="str">
        <f t="shared" si="0"/>
        <v>100%</v>
      </c>
      <c r="R17" s="41">
        <f t="shared" si="1"/>
        <v>46451</v>
      </c>
    </row>
    <row r="18" spans="1:18" ht="15" customHeight="1" x14ac:dyDescent="0.3">
      <c r="A18" s="25">
        <v>67222</v>
      </c>
      <c r="B18" s="25" t="s">
        <v>481</v>
      </c>
      <c r="C18" s="25" t="s">
        <v>85</v>
      </c>
      <c r="D18" s="25" t="s">
        <v>86</v>
      </c>
      <c r="E18" s="25">
        <v>66682</v>
      </c>
      <c r="F18" s="25" t="s">
        <v>489</v>
      </c>
      <c r="G18" s="25">
        <v>1</v>
      </c>
      <c r="H18" s="25" t="s">
        <v>125</v>
      </c>
      <c r="I18" s="25" t="s">
        <v>65</v>
      </c>
      <c r="J18" s="25" t="s">
        <v>66</v>
      </c>
      <c r="K18" s="38">
        <v>45966.371527777781</v>
      </c>
      <c r="L18" s="25" t="s">
        <v>67</v>
      </c>
      <c r="M18" s="25" t="str">
        <f>VLOOKUP(E18,[1]TIPOLOGIAS!$A:$G,5,0)</f>
        <v>PRINCIPAL</v>
      </c>
      <c r="N18" s="25" t="str">
        <f>VLOOKUP(E18,[1]TIPOLOGIAS!$A:$G,4,0)</f>
        <v>PEREIRA</v>
      </c>
      <c r="O18" s="25" t="str">
        <f>VLOOKUP(N18,'BASE TARIFA 2025'!E:F,2,0)</f>
        <v>WOMPI EJE CAFETERO</v>
      </c>
      <c r="P18" s="40">
        <f>VLOOKUP(M18,'BASE TARIFA 2025'!A:C,3,0)</f>
        <v>46451</v>
      </c>
      <c r="Q18" s="26" t="str">
        <f t="shared" si="0"/>
        <v>100%</v>
      </c>
      <c r="R18" s="41">
        <f t="shared" si="1"/>
        <v>46451</v>
      </c>
    </row>
    <row r="19" spans="1:18" ht="15" customHeight="1" x14ac:dyDescent="0.3">
      <c r="A19" s="25">
        <v>73011</v>
      </c>
      <c r="B19" s="25" t="s">
        <v>481</v>
      </c>
      <c r="C19" s="25" t="s">
        <v>85</v>
      </c>
      <c r="D19" s="25" t="s">
        <v>86</v>
      </c>
      <c r="E19" s="25">
        <v>66682</v>
      </c>
      <c r="F19" s="25" t="s">
        <v>490</v>
      </c>
      <c r="G19" s="25">
        <v>1</v>
      </c>
      <c r="H19" s="25" t="s">
        <v>126</v>
      </c>
      <c r="I19" s="25" t="s">
        <v>65</v>
      </c>
      <c r="J19" s="25" t="s">
        <v>66</v>
      </c>
      <c r="K19" s="38">
        <v>45966.433333333334</v>
      </c>
      <c r="L19" s="25" t="s">
        <v>67</v>
      </c>
      <c r="M19" s="25" t="str">
        <f>VLOOKUP(E19,[1]TIPOLOGIAS!$A:$G,5,0)</f>
        <v>PRINCIPAL</v>
      </c>
      <c r="N19" s="25" t="str">
        <f>VLOOKUP(E19,[1]TIPOLOGIAS!$A:$G,4,0)</f>
        <v>PEREIRA</v>
      </c>
      <c r="O19" s="25" t="str">
        <f>VLOOKUP(N19,'BASE TARIFA 2025'!E:F,2,0)</f>
        <v>WOMPI EJE CAFETERO</v>
      </c>
      <c r="P19" s="40">
        <f>VLOOKUP(M19,'BASE TARIFA 2025'!A:C,3,0)</f>
        <v>46451</v>
      </c>
      <c r="Q19" s="26" t="str">
        <f t="shared" si="0"/>
        <v>100%</v>
      </c>
      <c r="R19" s="41">
        <f t="shared" si="1"/>
        <v>46451</v>
      </c>
    </row>
    <row r="20" spans="1:18" ht="15" customHeight="1" x14ac:dyDescent="0.3">
      <c r="A20" s="25">
        <v>17438</v>
      </c>
      <c r="B20" s="25" t="s">
        <v>491</v>
      </c>
      <c r="C20" s="25" t="s">
        <v>74</v>
      </c>
      <c r="D20" s="25" t="s">
        <v>98</v>
      </c>
      <c r="E20" s="25">
        <v>8758</v>
      </c>
      <c r="F20" s="25" t="s">
        <v>492</v>
      </c>
      <c r="G20" s="25">
        <v>1</v>
      </c>
      <c r="H20" s="25" t="s">
        <v>127</v>
      </c>
      <c r="I20" s="25" t="s">
        <v>65</v>
      </c>
      <c r="J20" s="25" t="s">
        <v>66</v>
      </c>
      <c r="K20" s="38">
        <v>45967.486805555556</v>
      </c>
      <c r="L20" s="25" t="s">
        <v>67</v>
      </c>
      <c r="M20" s="25" t="str">
        <f>VLOOKUP(E20,[1]TIPOLOGIAS!$A:$G,5,0)</f>
        <v>PRINCIPAL</v>
      </c>
      <c r="N20" s="25" t="str">
        <f>VLOOKUP(E20,[1]TIPOLOGIAS!$A:$G,4,0)</f>
        <v>BARRANQUILLA</v>
      </c>
      <c r="O20" s="25" t="str">
        <f>VLOOKUP(N20,'BASE TARIFA 2025'!E:F,2,0)</f>
        <v>WOMPI COSTA</v>
      </c>
      <c r="P20" s="40">
        <f>VLOOKUP(M20,'BASE TARIFA 2025'!A:C,3,0)</f>
        <v>46451</v>
      </c>
      <c r="Q20" s="26" t="str">
        <f t="shared" si="0"/>
        <v>100%</v>
      </c>
      <c r="R20" s="41">
        <f t="shared" si="1"/>
        <v>46451</v>
      </c>
    </row>
    <row r="21" spans="1:18" ht="15" customHeight="1" x14ac:dyDescent="0.3">
      <c r="A21" s="25">
        <v>24871</v>
      </c>
      <c r="B21" s="25" t="s">
        <v>481</v>
      </c>
      <c r="C21" s="25" t="s">
        <v>82</v>
      </c>
      <c r="D21" s="25" t="s">
        <v>20</v>
      </c>
      <c r="E21" s="25">
        <v>76001</v>
      </c>
      <c r="F21" s="25" t="s">
        <v>493</v>
      </c>
      <c r="G21" s="25">
        <v>1</v>
      </c>
      <c r="H21" s="25" t="s">
        <v>128</v>
      </c>
      <c r="I21" s="25" t="s">
        <v>65</v>
      </c>
      <c r="J21" s="25" t="s">
        <v>66</v>
      </c>
      <c r="K21" s="38">
        <v>45971.621527777781</v>
      </c>
      <c r="L21" s="25" t="s">
        <v>67</v>
      </c>
      <c r="M21" s="25" t="str">
        <f>VLOOKUP(E21,[1]TIPOLOGIAS!$A:$G,5,0)</f>
        <v>PRINCIPAL</v>
      </c>
      <c r="N21" s="25" t="str">
        <f>VLOOKUP(E21,[1]TIPOLOGIAS!$A:$G,4,0)</f>
        <v>CALI</v>
      </c>
      <c r="O21" s="25" t="str">
        <f>VLOOKUP(N21,'BASE TARIFA 2025'!E:F,2,0)</f>
        <v>WOMPI SUROCCIDENTE</v>
      </c>
      <c r="P21" s="40">
        <f>VLOOKUP(M21,'BASE TARIFA 2025'!A:C,3,0)</f>
        <v>46451</v>
      </c>
      <c r="Q21" s="26" t="str">
        <f t="shared" si="0"/>
        <v>100%</v>
      </c>
      <c r="R21" s="41">
        <f t="shared" si="1"/>
        <v>46451</v>
      </c>
    </row>
    <row r="22" spans="1:18" ht="15" customHeight="1" x14ac:dyDescent="0.3">
      <c r="A22" s="25">
        <v>46940</v>
      </c>
      <c r="B22" s="25" t="s">
        <v>470</v>
      </c>
      <c r="C22" s="25" t="s">
        <v>63</v>
      </c>
      <c r="D22" s="25" t="s">
        <v>64</v>
      </c>
      <c r="E22" s="25">
        <v>11001</v>
      </c>
      <c r="F22" s="25" t="s">
        <v>494</v>
      </c>
      <c r="G22" s="25">
        <v>1</v>
      </c>
      <c r="H22" s="25" t="s">
        <v>129</v>
      </c>
      <c r="I22" s="25" t="s">
        <v>65</v>
      </c>
      <c r="J22" s="25" t="s">
        <v>66</v>
      </c>
      <c r="K22" s="38">
        <v>45968.411111111112</v>
      </c>
      <c r="L22" s="25" t="s">
        <v>67</v>
      </c>
      <c r="M22" s="25" t="str">
        <f>VLOOKUP(E22,[1]TIPOLOGIAS!$A:$G,5,0)</f>
        <v>PRINCIPAL</v>
      </c>
      <c r="N22" s="25" t="str">
        <f>VLOOKUP(E22,[1]TIPOLOGIAS!$A:$G,4,0)</f>
        <v>BOGOTA</v>
      </c>
      <c r="O22" s="25" t="str">
        <f>VLOOKUP(N22,'BASE TARIFA 2025'!E:F,2,0)</f>
        <v>WOMPI CENTRO</v>
      </c>
      <c r="P22" s="40">
        <f>VLOOKUP(M22,'BASE TARIFA 2025'!A:C,3,0)</f>
        <v>46451</v>
      </c>
      <c r="Q22" s="26" t="str">
        <f t="shared" si="0"/>
        <v>100%</v>
      </c>
      <c r="R22" s="41">
        <f t="shared" si="1"/>
        <v>46451</v>
      </c>
    </row>
    <row r="23" spans="1:18" ht="15" customHeight="1" x14ac:dyDescent="0.3">
      <c r="A23" s="25">
        <v>79988</v>
      </c>
      <c r="B23" s="25" t="s">
        <v>481</v>
      </c>
      <c r="C23" s="25" t="s">
        <v>82</v>
      </c>
      <c r="D23" s="25" t="s">
        <v>20</v>
      </c>
      <c r="E23" s="25">
        <v>76001</v>
      </c>
      <c r="F23" s="25" t="s">
        <v>495</v>
      </c>
      <c r="G23" s="25">
        <v>1</v>
      </c>
      <c r="H23" s="25" t="s">
        <v>130</v>
      </c>
      <c r="I23" s="25" t="s">
        <v>65</v>
      </c>
      <c r="J23" s="25" t="s">
        <v>66</v>
      </c>
      <c r="K23" s="38">
        <v>45971.699305555558</v>
      </c>
      <c r="L23" s="25" t="s">
        <v>67</v>
      </c>
      <c r="M23" s="25" t="str">
        <f>VLOOKUP(E23,[1]TIPOLOGIAS!$A:$G,5,0)</f>
        <v>PRINCIPAL</v>
      </c>
      <c r="N23" s="25" t="str">
        <f>VLOOKUP(E23,[1]TIPOLOGIAS!$A:$G,4,0)</f>
        <v>CALI</v>
      </c>
      <c r="O23" s="25" t="str">
        <f>VLOOKUP(N23,'BASE TARIFA 2025'!E:F,2,0)</f>
        <v>WOMPI SUROCCIDENTE</v>
      </c>
      <c r="P23" s="40">
        <f>VLOOKUP(M23,'BASE TARIFA 2025'!A:C,3,0)</f>
        <v>46451</v>
      </c>
      <c r="Q23" s="26" t="str">
        <f t="shared" si="0"/>
        <v>100%</v>
      </c>
      <c r="R23" s="41">
        <f t="shared" si="1"/>
        <v>46451</v>
      </c>
    </row>
    <row r="24" spans="1:18" ht="15" customHeight="1" x14ac:dyDescent="0.3">
      <c r="A24" s="25">
        <v>56148</v>
      </c>
      <c r="B24" s="25" t="s">
        <v>481</v>
      </c>
      <c r="C24" s="25" t="s">
        <v>82</v>
      </c>
      <c r="D24" s="25" t="s">
        <v>20</v>
      </c>
      <c r="E24" s="25">
        <v>76001</v>
      </c>
      <c r="F24" s="25" t="s">
        <v>496</v>
      </c>
      <c r="G24" s="25">
        <v>1</v>
      </c>
      <c r="H24" s="25" t="s">
        <v>131</v>
      </c>
      <c r="I24" s="25" t="s">
        <v>65</v>
      </c>
      <c r="J24" s="25" t="s">
        <v>66</v>
      </c>
      <c r="K24" s="38">
        <v>45968.441666666666</v>
      </c>
      <c r="L24" s="25" t="s">
        <v>67</v>
      </c>
      <c r="M24" s="25" t="str">
        <f>VLOOKUP(E24,[1]TIPOLOGIAS!$A:$G,5,0)</f>
        <v>PRINCIPAL</v>
      </c>
      <c r="N24" s="25" t="str">
        <f>VLOOKUP(E24,[1]TIPOLOGIAS!$A:$G,4,0)</f>
        <v>CALI</v>
      </c>
      <c r="O24" s="25" t="str">
        <f>VLOOKUP(N24,'BASE TARIFA 2025'!E:F,2,0)</f>
        <v>WOMPI SUROCCIDENTE</v>
      </c>
      <c r="P24" s="40">
        <f>VLOOKUP(M24,'BASE TARIFA 2025'!A:C,3,0)</f>
        <v>46451</v>
      </c>
      <c r="Q24" s="26" t="str">
        <f t="shared" si="0"/>
        <v>100%</v>
      </c>
      <c r="R24" s="41">
        <f t="shared" si="1"/>
        <v>46451</v>
      </c>
    </row>
    <row r="25" spans="1:18" ht="15" customHeight="1" x14ac:dyDescent="0.3">
      <c r="A25" s="25">
        <v>51214</v>
      </c>
      <c r="B25" s="25" t="s">
        <v>470</v>
      </c>
      <c r="C25" s="25" t="s">
        <v>63</v>
      </c>
      <c r="D25" s="25" t="s">
        <v>64</v>
      </c>
      <c r="E25" s="25">
        <v>11001</v>
      </c>
      <c r="F25" s="25" t="s">
        <v>497</v>
      </c>
      <c r="G25" s="25">
        <v>1</v>
      </c>
      <c r="H25" s="25" t="s">
        <v>132</v>
      </c>
      <c r="I25" s="25" t="s">
        <v>65</v>
      </c>
      <c r="J25" s="25" t="s">
        <v>66</v>
      </c>
      <c r="K25" s="38">
        <v>45974.498611111114</v>
      </c>
      <c r="L25" s="25" t="s">
        <v>67</v>
      </c>
      <c r="M25" s="25" t="str">
        <f>VLOOKUP(E25,[1]TIPOLOGIAS!$A:$G,5,0)</f>
        <v>PRINCIPAL</v>
      </c>
      <c r="N25" s="25" t="str">
        <f>VLOOKUP(E25,[1]TIPOLOGIAS!$A:$G,4,0)</f>
        <v>BOGOTA</v>
      </c>
      <c r="O25" s="25" t="str">
        <f>VLOOKUP(N25,'BASE TARIFA 2025'!E:F,2,0)</f>
        <v>WOMPI CENTRO</v>
      </c>
      <c r="P25" s="40">
        <f>VLOOKUP(M25,'BASE TARIFA 2025'!A:C,3,0)</f>
        <v>46451</v>
      </c>
      <c r="Q25" s="26" t="str">
        <f t="shared" si="0"/>
        <v>100%</v>
      </c>
      <c r="R25" s="41">
        <f t="shared" si="1"/>
        <v>46451</v>
      </c>
    </row>
    <row r="26" spans="1:18" ht="15" customHeight="1" x14ac:dyDescent="0.3">
      <c r="A26" s="25">
        <v>51013</v>
      </c>
      <c r="B26" s="25" t="s">
        <v>470</v>
      </c>
      <c r="C26" s="25" t="s">
        <v>63</v>
      </c>
      <c r="D26" s="25" t="s">
        <v>64</v>
      </c>
      <c r="E26" s="25">
        <v>11001</v>
      </c>
      <c r="F26" s="25" t="s">
        <v>498</v>
      </c>
      <c r="G26" s="25">
        <v>2</v>
      </c>
      <c r="H26" s="25" t="s">
        <v>133</v>
      </c>
      <c r="I26" s="25" t="s">
        <v>65</v>
      </c>
      <c r="J26" s="25" t="s">
        <v>66</v>
      </c>
      <c r="K26" s="38">
        <v>45974.475694444445</v>
      </c>
      <c r="L26" s="25" t="s">
        <v>67</v>
      </c>
      <c r="M26" s="25" t="str">
        <f>VLOOKUP(E26,[1]TIPOLOGIAS!$A:$G,5,0)</f>
        <v>PRINCIPAL</v>
      </c>
      <c r="N26" s="25" t="str">
        <f>VLOOKUP(E26,[1]TIPOLOGIAS!$A:$G,4,0)</f>
        <v>BOGOTA</v>
      </c>
      <c r="O26" s="25" t="str">
        <f>VLOOKUP(N26,'BASE TARIFA 2025'!E:F,2,0)</f>
        <v>WOMPI CENTRO</v>
      </c>
      <c r="P26" s="40">
        <f>VLOOKUP(M26,'BASE TARIFA 2025'!A:C,3,0)</f>
        <v>46451</v>
      </c>
      <c r="Q26" s="26" t="str">
        <f t="shared" si="0"/>
        <v>100%</v>
      </c>
      <c r="R26" s="41">
        <f t="shared" si="1"/>
        <v>92902</v>
      </c>
    </row>
    <row r="27" spans="1:18" ht="15" customHeight="1" x14ac:dyDescent="0.3">
      <c r="A27" s="25">
        <v>17109</v>
      </c>
      <c r="B27" s="25" t="s">
        <v>481</v>
      </c>
      <c r="C27" s="25" t="s">
        <v>85</v>
      </c>
      <c r="D27" s="25" t="s">
        <v>22</v>
      </c>
      <c r="E27" s="25">
        <v>66001</v>
      </c>
      <c r="F27" s="25" t="s">
        <v>499</v>
      </c>
      <c r="G27" s="25">
        <v>1</v>
      </c>
      <c r="H27" s="25" t="s">
        <v>134</v>
      </c>
      <c r="I27" s="25" t="s">
        <v>65</v>
      </c>
      <c r="J27" s="25" t="s">
        <v>66</v>
      </c>
      <c r="K27" s="38">
        <v>45976.347916666666</v>
      </c>
      <c r="L27" s="25" t="s">
        <v>67</v>
      </c>
      <c r="M27" s="25" t="str">
        <f>VLOOKUP(E27,[1]TIPOLOGIAS!$A:$G,5,0)</f>
        <v>PRINCIPAL</v>
      </c>
      <c r="N27" s="25" t="str">
        <f>VLOOKUP(E27,[1]TIPOLOGIAS!$A:$G,4,0)</f>
        <v>PEREIRA</v>
      </c>
      <c r="O27" s="25" t="str">
        <f>VLOOKUP(N27,'BASE TARIFA 2025'!E:F,2,0)</f>
        <v>WOMPI EJE CAFETERO</v>
      </c>
      <c r="P27" s="40">
        <f>VLOOKUP(M27,'BASE TARIFA 2025'!A:C,3,0)</f>
        <v>46451</v>
      </c>
      <c r="Q27" s="26" t="str">
        <f t="shared" si="0"/>
        <v>100%</v>
      </c>
      <c r="R27" s="41">
        <f t="shared" si="1"/>
        <v>46451</v>
      </c>
    </row>
    <row r="28" spans="1:18" ht="15" customHeight="1" x14ac:dyDescent="0.3">
      <c r="A28" s="25">
        <v>18562</v>
      </c>
      <c r="B28" s="25" t="s">
        <v>481</v>
      </c>
      <c r="C28" s="25" t="s">
        <v>88</v>
      </c>
      <c r="D28" s="25" t="s">
        <v>39</v>
      </c>
      <c r="E28" s="25">
        <v>17001</v>
      </c>
      <c r="F28" s="25" t="s">
        <v>500</v>
      </c>
      <c r="G28" s="25">
        <v>2</v>
      </c>
      <c r="H28" s="25" t="s">
        <v>135</v>
      </c>
      <c r="I28" s="25" t="s">
        <v>65</v>
      </c>
      <c r="J28" s="25" t="s">
        <v>66</v>
      </c>
      <c r="K28" s="38">
        <v>45979.69027777778</v>
      </c>
      <c r="L28" s="25" t="s">
        <v>67</v>
      </c>
      <c r="M28" s="25" t="str">
        <f>VLOOKUP(E28,[1]TIPOLOGIAS!$A:$G,5,0)</f>
        <v>PRINCIPAL</v>
      </c>
      <c r="N28" s="25" t="str">
        <f>VLOOKUP(E28,[1]TIPOLOGIAS!$A:$G,4,0)</f>
        <v>MANIZALES</v>
      </c>
      <c r="O28" s="25" t="str">
        <f>VLOOKUP(N28,'BASE TARIFA 2025'!E:F,2,0)</f>
        <v>WOMPI EJE CAFETERO</v>
      </c>
      <c r="P28" s="40">
        <f>VLOOKUP(M28,'BASE TARIFA 2025'!A:C,3,0)</f>
        <v>46451</v>
      </c>
      <c r="Q28" s="26" t="str">
        <f t="shared" si="0"/>
        <v>100%</v>
      </c>
      <c r="R28" s="41">
        <f t="shared" si="1"/>
        <v>92902</v>
      </c>
    </row>
    <row r="29" spans="1:18" ht="15" customHeight="1" x14ac:dyDescent="0.3">
      <c r="A29" s="25">
        <v>18632</v>
      </c>
      <c r="B29" s="25" t="s">
        <v>470</v>
      </c>
      <c r="C29" s="25" t="s">
        <v>63</v>
      </c>
      <c r="D29" s="25" t="s">
        <v>64</v>
      </c>
      <c r="E29" s="25">
        <v>11001</v>
      </c>
      <c r="F29" s="25" t="s">
        <v>501</v>
      </c>
      <c r="G29" s="25">
        <v>1</v>
      </c>
      <c r="H29" s="25" t="s">
        <v>136</v>
      </c>
      <c r="I29" s="25" t="s">
        <v>65</v>
      </c>
      <c r="J29" s="25" t="s">
        <v>66</v>
      </c>
      <c r="K29" s="38">
        <v>45974.462500000001</v>
      </c>
      <c r="L29" s="25" t="s">
        <v>67</v>
      </c>
      <c r="M29" s="25" t="str">
        <f>VLOOKUP(E29,[1]TIPOLOGIAS!$A:$G,5,0)</f>
        <v>PRINCIPAL</v>
      </c>
      <c r="N29" s="25" t="str">
        <f>VLOOKUP(E29,[1]TIPOLOGIAS!$A:$G,4,0)</f>
        <v>BOGOTA</v>
      </c>
      <c r="O29" s="25" t="str">
        <f>VLOOKUP(N29,'BASE TARIFA 2025'!E:F,2,0)</f>
        <v>WOMPI CENTRO</v>
      </c>
      <c r="P29" s="40">
        <f>VLOOKUP(M29,'BASE TARIFA 2025'!A:C,3,0)</f>
        <v>46451</v>
      </c>
      <c r="Q29" s="26" t="str">
        <f t="shared" si="0"/>
        <v>100%</v>
      </c>
      <c r="R29" s="41">
        <f t="shared" si="1"/>
        <v>46451</v>
      </c>
    </row>
    <row r="30" spans="1:18" ht="15" customHeight="1" x14ac:dyDescent="0.3">
      <c r="A30" s="25">
        <v>22302</v>
      </c>
      <c r="B30" s="25" t="s">
        <v>481</v>
      </c>
      <c r="C30" s="25" t="s">
        <v>88</v>
      </c>
      <c r="D30" s="25" t="s">
        <v>39</v>
      </c>
      <c r="E30" s="25">
        <v>17001</v>
      </c>
      <c r="F30" s="25" t="s">
        <v>502</v>
      </c>
      <c r="G30" s="25">
        <v>1</v>
      </c>
      <c r="H30" s="25" t="s">
        <v>137</v>
      </c>
      <c r="I30" s="25" t="s">
        <v>65</v>
      </c>
      <c r="J30" s="25" t="s">
        <v>66</v>
      </c>
      <c r="K30" s="38">
        <v>45980.357638888891</v>
      </c>
      <c r="L30" s="25" t="s">
        <v>67</v>
      </c>
      <c r="M30" s="25" t="str">
        <f>VLOOKUP(E30,[1]TIPOLOGIAS!$A:$G,5,0)</f>
        <v>PRINCIPAL</v>
      </c>
      <c r="N30" s="25" t="str">
        <f>VLOOKUP(E30,[1]TIPOLOGIAS!$A:$G,4,0)</f>
        <v>MANIZALES</v>
      </c>
      <c r="O30" s="25" t="str">
        <f>VLOOKUP(N30,'BASE TARIFA 2025'!E:F,2,0)</f>
        <v>WOMPI EJE CAFETERO</v>
      </c>
      <c r="P30" s="40">
        <f>VLOOKUP(M30,'BASE TARIFA 2025'!A:C,3,0)</f>
        <v>46451</v>
      </c>
      <c r="Q30" s="26" t="str">
        <f t="shared" si="0"/>
        <v>100%</v>
      </c>
      <c r="R30" s="41">
        <f t="shared" si="1"/>
        <v>46451</v>
      </c>
    </row>
    <row r="31" spans="1:18" ht="15" customHeight="1" x14ac:dyDescent="0.3">
      <c r="A31" s="25">
        <v>23459</v>
      </c>
      <c r="B31" s="25" t="s">
        <v>481</v>
      </c>
      <c r="C31" s="25" t="s">
        <v>85</v>
      </c>
      <c r="D31" s="25" t="s">
        <v>87</v>
      </c>
      <c r="E31" s="25">
        <v>66170</v>
      </c>
      <c r="F31" s="25" t="s">
        <v>503</v>
      </c>
      <c r="G31" s="25">
        <v>1</v>
      </c>
      <c r="H31" s="25" t="s">
        <v>138</v>
      </c>
      <c r="I31" s="25" t="s">
        <v>65</v>
      </c>
      <c r="J31" s="25" t="s">
        <v>66</v>
      </c>
      <c r="K31" s="38">
        <v>45975.552083333336</v>
      </c>
      <c r="L31" s="25" t="s">
        <v>67</v>
      </c>
      <c r="M31" s="25" t="str">
        <f>VLOOKUP(E31,[1]TIPOLOGIAS!$A:$G,5,0)</f>
        <v>PRINCIPAL</v>
      </c>
      <c r="N31" s="25" t="str">
        <f>VLOOKUP(E31,[1]TIPOLOGIAS!$A:$G,4,0)</f>
        <v>PEREIRA</v>
      </c>
      <c r="O31" s="25" t="str">
        <f>VLOOKUP(N31,'BASE TARIFA 2025'!E:F,2,0)</f>
        <v>WOMPI EJE CAFETERO</v>
      </c>
      <c r="P31" s="40">
        <f>VLOOKUP(M31,'BASE TARIFA 2025'!A:C,3,0)</f>
        <v>46451</v>
      </c>
      <c r="Q31" s="26" t="str">
        <f t="shared" si="0"/>
        <v>100%</v>
      </c>
      <c r="R31" s="41">
        <f t="shared" si="1"/>
        <v>46451</v>
      </c>
    </row>
    <row r="32" spans="1:18" ht="15" customHeight="1" x14ac:dyDescent="0.3">
      <c r="A32" s="25">
        <v>29339</v>
      </c>
      <c r="B32" s="25" t="s">
        <v>476</v>
      </c>
      <c r="C32" s="25" t="s">
        <v>84</v>
      </c>
      <c r="D32" s="25" t="s">
        <v>34</v>
      </c>
      <c r="E32" s="25">
        <v>50001</v>
      </c>
      <c r="F32" s="25" t="s">
        <v>504</v>
      </c>
      <c r="G32" s="25">
        <v>1</v>
      </c>
      <c r="H32" s="25" t="s">
        <v>139</v>
      </c>
      <c r="I32" s="25" t="s">
        <v>65</v>
      </c>
      <c r="J32" s="25" t="s">
        <v>66</v>
      </c>
      <c r="K32" s="38">
        <v>45974.459722222222</v>
      </c>
      <c r="L32" s="25" t="s">
        <v>67</v>
      </c>
      <c r="M32" s="25" t="str">
        <f>VLOOKUP(E32,[1]TIPOLOGIAS!$A:$G,5,0)</f>
        <v>PRINCIPAL</v>
      </c>
      <c r="N32" s="25" t="str">
        <f>VLOOKUP(E32,[1]TIPOLOGIAS!$A:$G,4,0)</f>
        <v>VILLAVICENCIO</v>
      </c>
      <c r="O32" s="25" t="str">
        <f>VLOOKUP(N32,'BASE TARIFA 2025'!E:F,2,0)</f>
        <v>WOMPI ORIENTE</v>
      </c>
      <c r="P32" s="40">
        <f>VLOOKUP(M32,'BASE TARIFA 2025'!A:C,3,0)</f>
        <v>46451</v>
      </c>
      <c r="Q32" s="26" t="str">
        <f t="shared" si="0"/>
        <v>100%</v>
      </c>
      <c r="R32" s="41">
        <f t="shared" si="1"/>
        <v>46451</v>
      </c>
    </row>
    <row r="33" spans="1:18" ht="15" customHeight="1" x14ac:dyDescent="0.3">
      <c r="A33" s="25">
        <v>31359</v>
      </c>
      <c r="B33" s="25" t="s">
        <v>481</v>
      </c>
      <c r="C33" s="25" t="s">
        <v>88</v>
      </c>
      <c r="D33" s="25" t="s">
        <v>39</v>
      </c>
      <c r="E33" s="25">
        <v>17001</v>
      </c>
      <c r="F33" s="25" t="s">
        <v>505</v>
      </c>
      <c r="G33" s="25">
        <v>1</v>
      </c>
      <c r="H33" s="25" t="s">
        <v>140</v>
      </c>
      <c r="I33" s="25" t="s">
        <v>65</v>
      </c>
      <c r="J33" s="25" t="s">
        <v>66</v>
      </c>
      <c r="K33" s="38">
        <v>45980.380555555559</v>
      </c>
      <c r="L33" s="25" t="s">
        <v>67</v>
      </c>
      <c r="M33" s="25" t="str">
        <f>VLOOKUP(E33,[1]TIPOLOGIAS!$A:$G,5,0)</f>
        <v>PRINCIPAL</v>
      </c>
      <c r="N33" s="25" t="str">
        <f>VLOOKUP(E33,[1]TIPOLOGIAS!$A:$G,4,0)</f>
        <v>MANIZALES</v>
      </c>
      <c r="O33" s="25" t="str">
        <f>VLOOKUP(N33,'BASE TARIFA 2025'!E:F,2,0)</f>
        <v>WOMPI EJE CAFETERO</v>
      </c>
      <c r="P33" s="40">
        <f>VLOOKUP(M33,'BASE TARIFA 2025'!A:C,3,0)</f>
        <v>46451</v>
      </c>
      <c r="Q33" s="26" t="str">
        <f t="shared" si="0"/>
        <v>100%</v>
      </c>
      <c r="R33" s="41">
        <f t="shared" si="1"/>
        <v>46451</v>
      </c>
    </row>
    <row r="34" spans="1:18" ht="15" customHeight="1" x14ac:dyDescent="0.3">
      <c r="A34" s="25">
        <v>36024</v>
      </c>
      <c r="B34" s="25" t="s">
        <v>470</v>
      </c>
      <c r="C34" s="25" t="s">
        <v>63</v>
      </c>
      <c r="D34" s="25" t="s">
        <v>64</v>
      </c>
      <c r="E34" s="25">
        <v>11001</v>
      </c>
      <c r="F34" s="25" t="s">
        <v>506</v>
      </c>
      <c r="G34" s="25">
        <v>2</v>
      </c>
      <c r="H34" s="25" t="s">
        <v>141</v>
      </c>
      <c r="I34" s="25" t="s">
        <v>65</v>
      </c>
      <c r="J34" s="25" t="s">
        <v>66</v>
      </c>
      <c r="K34" s="38">
        <v>45974.548611111109</v>
      </c>
      <c r="L34" s="25" t="s">
        <v>67</v>
      </c>
      <c r="M34" s="25" t="str">
        <f>VLOOKUP(E34,[1]TIPOLOGIAS!$A:$G,5,0)</f>
        <v>PRINCIPAL</v>
      </c>
      <c r="N34" s="25" t="str">
        <f>VLOOKUP(E34,[1]TIPOLOGIAS!$A:$G,4,0)</f>
        <v>BOGOTA</v>
      </c>
      <c r="O34" s="25" t="str">
        <f>VLOOKUP(N34,'BASE TARIFA 2025'!E:F,2,0)</f>
        <v>WOMPI CENTRO</v>
      </c>
      <c r="P34" s="40">
        <f>VLOOKUP(M34,'BASE TARIFA 2025'!A:C,3,0)</f>
        <v>46451</v>
      </c>
      <c r="Q34" s="26" t="str">
        <f t="shared" si="0"/>
        <v>100%</v>
      </c>
      <c r="R34" s="41">
        <f t="shared" si="1"/>
        <v>92902</v>
      </c>
    </row>
    <row r="35" spans="1:18" ht="15" customHeight="1" x14ac:dyDescent="0.3">
      <c r="A35" s="25">
        <v>45370</v>
      </c>
      <c r="B35" s="25" t="s">
        <v>90</v>
      </c>
      <c r="C35" s="25" t="s">
        <v>90</v>
      </c>
      <c r="D35" s="25" t="s">
        <v>99</v>
      </c>
      <c r="E35" s="25">
        <v>5045</v>
      </c>
      <c r="F35" s="25" t="s">
        <v>507</v>
      </c>
      <c r="G35" s="25">
        <v>3</v>
      </c>
      <c r="H35" s="25" t="s">
        <v>142</v>
      </c>
      <c r="I35" s="25" t="s">
        <v>65</v>
      </c>
      <c r="J35" s="25" t="s">
        <v>66</v>
      </c>
      <c r="K35" s="38">
        <v>45974.684027777781</v>
      </c>
      <c r="L35" s="25" t="s">
        <v>67</v>
      </c>
      <c r="M35" s="25" t="str">
        <f>VLOOKUP(E35,[1]TIPOLOGIAS!$A:$G,5,0)</f>
        <v>PRINCIPAL</v>
      </c>
      <c r="N35" s="25" t="str">
        <f>VLOOKUP(E35,[1]TIPOLOGIAS!$A:$G,4,0)</f>
        <v>APARTADO</v>
      </c>
      <c r="O35" s="25" t="str">
        <f>VLOOKUP(N35,'BASE TARIFA 2025'!E:F,2,0)</f>
        <v>WOMPI NOROCCIDENTE</v>
      </c>
      <c r="P35" s="40">
        <f>VLOOKUP(M35,'BASE TARIFA 2025'!A:C,3,0)</f>
        <v>46451</v>
      </c>
      <c r="Q35" s="26" t="str">
        <f t="shared" si="0"/>
        <v>100%</v>
      </c>
      <c r="R35" s="41">
        <f t="shared" si="1"/>
        <v>139353</v>
      </c>
    </row>
    <row r="36" spans="1:18" ht="15" customHeight="1" x14ac:dyDescent="0.3">
      <c r="A36" s="25">
        <v>45373</v>
      </c>
      <c r="B36" s="25" t="s">
        <v>470</v>
      </c>
      <c r="C36" s="25" t="s">
        <v>63</v>
      </c>
      <c r="D36" s="25" t="s">
        <v>64</v>
      </c>
      <c r="E36" s="25">
        <v>11001</v>
      </c>
      <c r="F36" s="25" t="s">
        <v>508</v>
      </c>
      <c r="G36" s="25">
        <v>1</v>
      </c>
      <c r="H36" s="25" t="s">
        <v>143</v>
      </c>
      <c r="I36" s="25" t="s">
        <v>65</v>
      </c>
      <c r="J36" s="25" t="s">
        <v>66</v>
      </c>
      <c r="K36" s="38">
        <v>45974.615277777775</v>
      </c>
      <c r="L36" s="25" t="s">
        <v>67</v>
      </c>
      <c r="M36" s="25" t="str">
        <f>VLOOKUP(E36,[1]TIPOLOGIAS!$A:$G,5,0)</f>
        <v>PRINCIPAL</v>
      </c>
      <c r="N36" s="25" t="str">
        <f>VLOOKUP(E36,[1]TIPOLOGIAS!$A:$G,4,0)</f>
        <v>BOGOTA</v>
      </c>
      <c r="O36" s="25" t="str">
        <f>VLOOKUP(N36,'BASE TARIFA 2025'!E:F,2,0)</f>
        <v>WOMPI CENTRO</v>
      </c>
      <c r="P36" s="40">
        <f>VLOOKUP(M36,'BASE TARIFA 2025'!A:C,3,0)</f>
        <v>46451</v>
      </c>
      <c r="Q36" s="26" t="str">
        <f t="shared" si="0"/>
        <v>100%</v>
      </c>
      <c r="R36" s="41">
        <f t="shared" si="1"/>
        <v>46451</v>
      </c>
    </row>
    <row r="37" spans="1:18" ht="15" customHeight="1" x14ac:dyDescent="0.3">
      <c r="A37" s="25">
        <v>50016</v>
      </c>
      <c r="B37" s="25" t="s">
        <v>481</v>
      </c>
      <c r="C37" s="25" t="s">
        <v>88</v>
      </c>
      <c r="D37" s="25" t="s">
        <v>39</v>
      </c>
      <c r="E37" s="25">
        <v>17001</v>
      </c>
      <c r="F37" s="25" t="s">
        <v>509</v>
      </c>
      <c r="G37" s="25">
        <v>1</v>
      </c>
      <c r="H37" s="25" t="s">
        <v>144</v>
      </c>
      <c r="I37" s="25" t="s">
        <v>65</v>
      </c>
      <c r="J37" s="25" t="s">
        <v>66</v>
      </c>
      <c r="K37" s="38">
        <v>45979.706944444442</v>
      </c>
      <c r="L37" s="25" t="s">
        <v>67</v>
      </c>
      <c r="M37" s="25" t="str">
        <f>VLOOKUP(E37,[1]TIPOLOGIAS!$A:$G,5,0)</f>
        <v>PRINCIPAL</v>
      </c>
      <c r="N37" s="25" t="str">
        <f>VLOOKUP(E37,[1]TIPOLOGIAS!$A:$G,4,0)</f>
        <v>MANIZALES</v>
      </c>
      <c r="O37" s="25" t="str">
        <f>VLOOKUP(N37,'BASE TARIFA 2025'!E:F,2,0)</f>
        <v>WOMPI EJE CAFETERO</v>
      </c>
      <c r="P37" s="40">
        <f>VLOOKUP(M37,'BASE TARIFA 2025'!A:C,3,0)</f>
        <v>46451</v>
      </c>
      <c r="Q37" s="26" t="str">
        <f t="shared" si="0"/>
        <v>100%</v>
      </c>
      <c r="R37" s="41">
        <f t="shared" si="1"/>
        <v>46451</v>
      </c>
    </row>
    <row r="38" spans="1:18" ht="15" customHeight="1" x14ac:dyDescent="0.3">
      <c r="A38" s="25">
        <v>50502</v>
      </c>
      <c r="B38" s="25" t="s">
        <v>476</v>
      </c>
      <c r="C38" s="25" t="s">
        <v>84</v>
      </c>
      <c r="D38" s="25" t="s">
        <v>34</v>
      </c>
      <c r="E38" s="25">
        <v>50001</v>
      </c>
      <c r="F38" s="25" t="s">
        <v>510</v>
      </c>
      <c r="G38" s="25">
        <v>1</v>
      </c>
      <c r="H38" s="25" t="s">
        <v>145</v>
      </c>
      <c r="I38" s="25" t="s">
        <v>65</v>
      </c>
      <c r="J38" s="25" t="s">
        <v>66</v>
      </c>
      <c r="K38" s="38">
        <v>45974.451388888891</v>
      </c>
      <c r="L38" s="25" t="s">
        <v>67</v>
      </c>
      <c r="M38" s="25" t="str">
        <f>VLOOKUP(E38,[1]TIPOLOGIAS!$A:$G,5,0)</f>
        <v>PRINCIPAL</v>
      </c>
      <c r="N38" s="25" t="str">
        <f>VLOOKUP(E38,[1]TIPOLOGIAS!$A:$G,4,0)</f>
        <v>VILLAVICENCIO</v>
      </c>
      <c r="O38" s="25" t="str">
        <f>VLOOKUP(N38,'BASE TARIFA 2025'!E:F,2,0)</f>
        <v>WOMPI ORIENTE</v>
      </c>
      <c r="P38" s="40">
        <f>VLOOKUP(M38,'BASE TARIFA 2025'!A:C,3,0)</f>
        <v>46451</v>
      </c>
      <c r="Q38" s="26" t="str">
        <f t="shared" si="0"/>
        <v>100%</v>
      </c>
      <c r="R38" s="41">
        <f t="shared" si="1"/>
        <v>46451</v>
      </c>
    </row>
    <row r="39" spans="1:18" ht="15" customHeight="1" x14ac:dyDescent="0.3">
      <c r="A39" s="25">
        <v>51945</v>
      </c>
      <c r="B39" s="25" t="s">
        <v>476</v>
      </c>
      <c r="C39" s="25" t="s">
        <v>78</v>
      </c>
      <c r="D39" s="25" t="s">
        <v>511</v>
      </c>
      <c r="E39" s="25">
        <v>41524</v>
      </c>
      <c r="F39" s="25" t="s">
        <v>512</v>
      </c>
      <c r="G39" s="25">
        <v>1</v>
      </c>
      <c r="H39" s="25" t="s">
        <v>146</v>
      </c>
      <c r="I39" s="25" t="s">
        <v>65</v>
      </c>
      <c r="J39" s="25" t="s">
        <v>66</v>
      </c>
      <c r="K39" s="38">
        <v>45975.656944444447</v>
      </c>
      <c r="L39" s="25" t="s">
        <v>67</v>
      </c>
      <c r="M39" s="25" t="str">
        <f>VLOOKUP(E39,[1]TIPOLOGIAS!$A:$G,5,0)</f>
        <v>PRINCIPAL</v>
      </c>
      <c r="N39" s="25" t="str">
        <f>VLOOKUP(E39,[1]TIPOLOGIAS!$A:$G,4,0)</f>
        <v>NEIVA</v>
      </c>
      <c r="O39" s="25" t="str">
        <f>VLOOKUP(N39,'BASE TARIFA 2025'!E:F,2,0)</f>
        <v>WOMPI ORIENTE</v>
      </c>
      <c r="P39" s="40">
        <f>VLOOKUP(M39,'BASE TARIFA 2025'!A:C,3,0)</f>
        <v>46451</v>
      </c>
      <c r="Q39" s="26" t="str">
        <f t="shared" si="0"/>
        <v>100%</v>
      </c>
      <c r="R39" s="41">
        <f t="shared" si="1"/>
        <v>46451</v>
      </c>
    </row>
    <row r="40" spans="1:18" ht="15" customHeight="1" x14ac:dyDescent="0.3">
      <c r="A40" s="25">
        <v>57213</v>
      </c>
      <c r="B40" s="25" t="s">
        <v>476</v>
      </c>
      <c r="C40" s="25" t="s">
        <v>79</v>
      </c>
      <c r="D40" s="25" t="s">
        <v>33</v>
      </c>
      <c r="E40" s="25">
        <v>15001</v>
      </c>
      <c r="F40" s="25" t="s">
        <v>513</v>
      </c>
      <c r="G40" s="25">
        <v>1</v>
      </c>
      <c r="H40" s="25" t="s">
        <v>147</v>
      </c>
      <c r="I40" s="25" t="s">
        <v>65</v>
      </c>
      <c r="J40" s="25" t="s">
        <v>66</v>
      </c>
      <c r="K40" s="38">
        <v>45974.442361111112</v>
      </c>
      <c r="L40" s="25" t="s">
        <v>67</v>
      </c>
      <c r="M40" s="25" t="str">
        <f>VLOOKUP(E40,[1]TIPOLOGIAS!$A:$G,5,0)</f>
        <v>PRINCIPAL</v>
      </c>
      <c r="N40" s="25" t="str">
        <f>VLOOKUP(E40,[1]TIPOLOGIAS!$A:$G,4,0)</f>
        <v>TUNJA</v>
      </c>
      <c r="O40" s="25" t="str">
        <f>VLOOKUP(N40,'BASE TARIFA 2025'!E:F,2,0)</f>
        <v>WOMPI SANTANDERES</v>
      </c>
      <c r="P40" s="40">
        <f>VLOOKUP(M40,'BASE TARIFA 2025'!A:C,3,0)</f>
        <v>46451</v>
      </c>
      <c r="Q40" s="26" t="str">
        <f t="shared" si="0"/>
        <v>100%</v>
      </c>
      <c r="R40" s="41">
        <f t="shared" si="1"/>
        <v>46451</v>
      </c>
    </row>
    <row r="41" spans="1:18" ht="15" customHeight="1" x14ac:dyDescent="0.3">
      <c r="A41" s="25">
        <v>60054</v>
      </c>
      <c r="B41" s="25" t="s">
        <v>491</v>
      </c>
      <c r="C41" s="25" t="s">
        <v>74</v>
      </c>
      <c r="D41" s="25" t="s">
        <v>98</v>
      </c>
      <c r="E41" s="25">
        <v>8758</v>
      </c>
      <c r="F41" s="25" t="s">
        <v>514</v>
      </c>
      <c r="G41" s="25">
        <v>1</v>
      </c>
      <c r="H41" s="25" t="s">
        <v>148</v>
      </c>
      <c r="I41" s="25" t="s">
        <v>65</v>
      </c>
      <c r="J41" s="25" t="s">
        <v>66</v>
      </c>
      <c r="K41" s="38">
        <v>45974.636111111111</v>
      </c>
      <c r="L41" s="25" t="s">
        <v>67</v>
      </c>
      <c r="M41" s="25" t="str">
        <f>VLOOKUP(E41,[1]TIPOLOGIAS!$A:$G,5,0)</f>
        <v>PRINCIPAL</v>
      </c>
      <c r="N41" s="25" t="str">
        <f>VLOOKUP(E41,[1]TIPOLOGIAS!$A:$G,4,0)</f>
        <v>BARRANQUILLA</v>
      </c>
      <c r="O41" s="25" t="str">
        <f>VLOOKUP(N41,'BASE TARIFA 2025'!E:F,2,0)</f>
        <v>WOMPI COSTA</v>
      </c>
      <c r="P41" s="40">
        <f>VLOOKUP(M41,'BASE TARIFA 2025'!A:C,3,0)</f>
        <v>46451</v>
      </c>
      <c r="Q41" s="26" t="str">
        <f t="shared" si="0"/>
        <v>100%</v>
      </c>
      <c r="R41" s="41">
        <f t="shared" si="1"/>
        <v>46451</v>
      </c>
    </row>
    <row r="42" spans="1:18" ht="15" customHeight="1" x14ac:dyDescent="0.3">
      <c r="A42" s="25">
        <v>62349</v>
      </c>
      <c r="B42" s="25" t="s">
        <v>470</v>
      </c>
      <c r="C42" s="25" t="s">
        <v>63</v>
      </c>
      <c r="D42" s="25" t="s">
        <v>64</v>
      </c>
      <c r="E42" s="25">
        <v>11001</v>
      </c>
      <c r="F42" s="25" t="s">
        <v>515</v>
      </c>
      <c r="G42" s="25">
        <v>1</v>
      </c>
      <c r="H42" s="25" t="s">
        <v>149</v>
      </c>
      <c r="I42" s="25" t="s">
        <v>65</v>
      </c>
      <c r="J42" s="25" t="s">
        <v>66</v>
      </c>
      <c r="K42" s="38">
        <v>45974.577777777777</v>
      </c>
      <c r="L42" s="25" t="s">
        <v>67</v>
      </c>
      <c r="M42" s="25" t="str">
        <f>VLOOKUP(E42,[1]TIPOLOGIAS!$A:$G,5,0)</f>
        <v>PRINCIPAL</v>
      </c>
      <c r="N42" s="25" t="str">
        <f>VLOOKUP(E42,[1]TIPOLOGIAS!$A:$G,4,0)</f>
        <v>BOGOTA</v>
      </c>
      <c r="O42" s="25" t="str">
        <f>VLOOKUP(N42,'BASE TARIFA 2025'!E:F,2,0)</f>
        <v>WOMPI CENTRO</v>
      </c>
      <c r="P42" s="40">
        <f>VLOOKUP(M42,'BASE TARIFA 2025'!A:C,3,0)</f>
        <v>46451</v>
      </c>
      <c r="Q42" s="26" t="str">
        <f t="shared" si="0"/>
        <v>100%</v>
      </c>
      <c r="R42" s="41">
        <f t="shared" si="1"/>
        <v>46451</v>
      </c>
    </row>
    <row r="43" spans="1:18" ht="15" customHeight="1" x14ac:dyDescent="0.3">
      <c r="A43" s="25">
        <v>62819</v>
      </c>
      <c r="B43" s="25" t="s">
        <v>90</v>
      </c>
      <c r="C43" s="25" t="s">
        <v>90</v>
      </c>
      <c r="D43" s="25" t="s">
        <v>91</v>
      </c>
      <c r="E43" s="25">
        <v>5001</v>
      </c>
      <c r="F43" s="25" t="s">
        <v>516</v>
      </c>
      <c r="G43" s="25">
        <v>1</v>
      </c>
      <c r="H43" s="25" t="s">
        <v>150</v>
      </c>
      <c r="I43" s="25" t="s">
        <v>65</v>
      </c>
      <c r="J43" s="25" t="s">
        <v>66</v>
      </c>
      <c r="K43" s="38">
        <v>45974.554166666669</v>
      </c>
      <c r="L43" s="25" t="s">
        <v>67</v>
      </c>
      <c r="M43" s="25" t="str">
        <f>VLOOKUP(E43,[1]TIPOLOGIAS!$A:$G,5,0)</f>
        <v>PRINCIPAL</v>
      </c>
      <c r="N43" s="25" t="str">
        <f>VLOOKUP(E43,[1]TIPOLOGIAS!$A:$G,4,0)</f>
        <v>MEDELLIN</v>
      </c>
      <c r="O43" s="25" t="str">
        <f>VLOOKUP(N43,'BASE TARIFA 2025'!E:F,2,0)</f>
        <v>WOMPI NOROCCIDENTE</v>
      </c>
      <c r="P43" s="40">
        <f>VLOOKUP(M43,'BASE TARIFA 2025'!A:C,3,0)</f>
        <v>46451</v>
      </c>
      <c r="Q43" s="26" t="str">
        <f t="shared" si="0"/>
        <v>100%</v>
      </c>
      <c r="R43" s="41">
        <f t="shared" si="1"/>
        <v>46451</v>
      </c>
    </row>
    <row r="44" spans="1:18" ht="15" customHeight="1" x14ac:dyDescent="0.3">
      <c r="A44" s="25">
        <v>63251</v>
      </c>
      <c r="B44" s="25" t="s">
        <v>90</v>
      </c>
      <c r="C44" s="25" t="s">
        <v>90</v>
      </c>
      <c r="D44" s="25" t="s">
        <v>92</v>
      </c>
      <c r="E44" s="25">
        <v>5088</v>
      </c>
      <c r="F44" s="25" t="s">
        <v>517</v>
      </c>
      <c r="G44" s="25">
        <v>1</v>
      </c>
      <c r="H44" s="25" t="s">
        <v>151</v>
      </c>
      <c r="I44" s="25" t="s">
        <v>65</v>
      </c>
      <c r="J44" s="25" t="s">
        <v>66</v>
      </c>
      <c r="K44" s="38">
        <v>45975.489583333336</v>
      </c>
      <c r="L44" s="25" t="s">
        <v>67</v>
      </c>
      <c r="M44" s="25" t="str">
        <f>VLOOKUP(E44,[1]TIPOLOGIAS!$A:$G,5,0)</f>
        <v>PRINCIPAL</v>
      </c>
      <c r="N44" s="25" t="str">
        <f>VLOOKUP(E44,[1]TIPOLOGIAS!$A:$G,4,0)</f>
        <v>MEDELLIN</v>
      </c>
      <c r="O44" s="25" t="str">
        <f>VLOOKUP(N44,'BASE TARIFA 2025'!E:F,2,0)</f>
        <v>WOMPI NOROCCIDENTE</v>
      </c>
      <c r="P44" s="40">
        <f>VLOOKUP(M44,'BASE TARIFA 2025'!A:C,3,0)</f>
        <v>46451</v>
      </c>
      <c r="Q44" s="26" t="str">
        <f t="shared" si="0"/>
        <v>100%</v>
      </c>
      <c r="R44" s="41">
        <f t="shared" si="1"/>
        <v>46451</v>
      </c>
    </row>
    <row r="45" spans="1:18" ht="15" customHeight="1" x14ac:dyDescent="0.3">
      <c r="A45" s="25">
        <v>65642</v>
      </c>
      <c r="B45" s="25" t="s">
        <v>476</v>
      </c>
      <c r="C45" s="25" t="s">
        <v>75</v>
      </c>
      <c r="D45" s="25" t="s">
        <v>76</v>
      </c>
      <c r="E45" s="25">
        <v>73001</v>
      </c>
      <c r="F45" s="25" t="s">
        <v>518</v>
      </c>
      <c r="G45" s="25">
        <v>1</v>
      </c>
      <c r="H45" s="25" t="s">
        <v>152</v>
      </c>
      <c r="I45" s="25" t="s">
        <v>65</v>
      </c>
      <c r="J45" s="25" t="s">
        <v>66</v>
      </c>
      <c r="K45" s="38">
        <v>45974.402777777781</v>
      </c>
      <c r="L45" s="25" t="s">
        <v>67</v>
      </c>
      <c r="M45" s="25" t="str">
        <f>VLOOKUP(E45,[1]TIPOLOGIAS!$A:$G,5,0)</f>
        <v>PRINCIPAL</v>
      </c>
      <c r="N45" s="25" t="str">
        <f>VLOOKUP(E45,[1]TIPOLOGIAS!$A:$G,4,0)</f>
        <v>IBAGUE</v>
      </c>
      <c r="O45" s="25" t="str">
        <f>VLOOKUP(N45,'BASE TARIFA 2025'!E:F,2,0)</f>
        <v>WOMPI ORIENTE</v>
      </c>
      <c r="P45" s="40">
        <f>VLOOKUP(M45,'BASE TARIFA 2025'!A:C,3,0)</f>
        <v>46451</v>
      </c>
      <c r="Q45" s="26" t="str">
        <f t="shared" si="0"/>
        <v>100%</v>
      </c>
      <c r="R45" s="41">
        <f t="shared" si="1"/>
        <v>46451</v>
      </c>
    </row>
    <row r="46" spans="1:18" ht="15" customHeight="1" x14ac:dyDescent="0.3">
      <c r="A46" s="25">
        <v>66456</v>
      </c>
      <c r="B46" s="25" t="s">
        <v>481</v>
      </c>
      <c r="C46" s="25" t="s">
        <v>82</v>
      </c>
      <c r="D46" s="25" t="s">
        <v>519</v>
      </c>
      <c r="E46" s="25">
        <v>76892</v>
      </c>
      <c r="F46" s="25" t="s">
        <v>520</v>
      </c>
      <c r="G46" s="25">
        <v>1</v>
      </c>
      <c r="H46" s="25" t="s">
        <v>153</v>
      </c>
      <c r="I46" s="25" t="s">
        <v>65</v>
      </c>
      <c r="J46" s="25" t="s">
        <v>66</v>
      </c>
      <c r="K46" s="38">
        <v>45974.413888888892</v>
      </c>
      <c r="L46" s="25" t="s">
        <v>67</v>
      </c>
      <c r="M46" s="25" t="str">
        <f>VLOOKUP(E46,[1]TIPOLOGIAS!$A:$G,5,0)</f>
        <v>PRINCIPAL</v>
      </c>
      <c r="N46" s="25" t="str">
        <f>VLOOKUP(E46,[1]TIPOLOGIAS!$A:$G,4,0)</f>
        <v>CALI</v>
      </c>
      <c r="O46" s="25" t="str">
        <f>VLOOKUP(N46,'BASE TARIFA 2025'!E:F,2,0)</f>
        <v>WOMPI SUROCCIDENTE</v>
      </c>
      <c r="P46" s="40">
        <f>VLOOKUP(M46,'BASE TARIFA 2025'!A:C,3,0)</f>
        <v>46451</v>
      </c>
      <c r="Q46" s="26" t="str">
        <f t="shared" si="0"/>
        <v>100%</v>
      </c>
      <c r="R46" s="41">
        <f t="shared" si="1"/>
        <v>46451</v>
      </c>
    </row>
    <row r="47" spans="1:18" ht="15" customHeight="1" x14ac:dyDescent="0.3">
      <c r="A47" s="25">
        <v>67378</v>
      </c>
      <c r="B47" s="25" t="s">
        <v>491</v>
      </c>
      <c r="C47" s="25" t="s">
        <v>93</v>
      </c>
      <c r="D47" s="25" t="s">
        <v>42</v>
      </c>
      <c r="E47" s="25">
        <v>70001</v>
      </c>
      <c r="F47" s="25" t="s">
        <v>521</v>
      </c>
      <c r="G47" s="25">
        <v>1</v>
      </c>
      <c r="H47" s="25" t="s">
        <v>154</v>
      </c>
      <c r="I47" s="25" t="s">
        <v>65</v>
      </c>
      <c r="J47" s="25" t="s">
        <v>66</v>
      </c>
      <c r="K47" s="38">
        <v>45974.654166666667</v>
      </c>
      <c r="L47" s="25" t="s">
        <v>67</v>
      </c>
      <c r="M47" s="25" t="str">
        <f>VLOOKUP(E47,[1]TIPOLOGIAS!$A:$G,5,0)</f>
        <v>PRINCIPAL</v>
      </c>
      <c r="N47" s="25" t="str">
        <f>VLOOKUP(E47,[1]TIPOLOGIAS!$A:$G,4,0)</f>
        <v>SINCELEJO</v>
      </c>
      <c r="O47" s="25" t="str">
        <f>VLOOKUP(N47,'BASE TARIFA 2025'!E:F,2,0)</f>
        <v>WOMPI COSTA</v>
      </c>
      <c r="P47" s="40">
        <f>VLOOKUP(M47,'BASE TARIFA 2025'!A:C,3,0)</f>
        <v>46451</v>
      </c>
      <c r="Q47" s="26" t="str">
        <f t="shared" si="0"/>
        <v>100%</v>
      </c>
      <c r="R47" s="41">
        <f t="shared" si="1"/>
        <v>46451</v>
      </c>
    </row>
    <row r="48" spans="1:18" ht="15" customHeight="1" x14ac:dyDescent="0.3">
      <c r="A48" s="25">
        <v>70065</v>
      </c>
      <c r="B48" s="25" t="s">
        <v>476</v>
      </c>
      <c r="C48" s="25" t="s">
        <v>84</v>
      </c>
      <c r="D48" s="25" t="s">
        <v>34</v>
      </c>
      <c r="E48" s="25">
        <v>50001</v>
      </c>
      <c r="F48" s="25" t="s">
        <v>522</v>
      </c>
      <c r="G48" s="25">
        <v>1</v>
      </c>
      <c r="H48" s="25" t="s">
        <v>155</v>
      </c>
      <c r="I48" s="25" t="s">
        <v>65</v>
      </c>
      <c r="J48" s="25" t="s">
        <v>66</v>
      </c>
      <c r="K48" s="38">
        <v>45974.395833333336</v>
      </c>
      <c r="L48" s="25" t="s">
        <v>67</v>
      </c>
      <c r="M48" s="25" t="str">
        <f>VLOOKUP(E48,[1]TIPOLOGIAS!$A:$G,5,0)</f>
        <v>PRINCIPAL</v>
      </c>
      <c r="N48" s="25" t="str">
        <f>VLOOKUP(E48,[1]TIPOLOGIAS!$A:$G,4,0)</f>
        <v>VILLAVICENCIO</v>
      </c>
      <c r="O48" s="25" t="str">
        <f>VLOOKUP(N48,'BASE TARIFA 2025'!E:F,2,0)</f>
        <v>WOMPI ORIENTE</v>
      </c>
      <c r="P48" s="40">
        <f>VLOOKUP(M48,'BASE TARIFA 2025'!A:C,3,0)</f>
        <v>46451</v>
      </c>
      <c r="Q48" s="26" t="str">
        <f t="shared" si="0"/>
        <v>100%</v>
      </c>
      <c r="R48" s="41">
        <f t="shared" si="1"/>
        <v>46451</v>
      </c>
    </row>
    <row r="49" spans="1:18" ht="15" customHeight="1" x14ac:dyDescent="0.3">
      <c r="A49" s="25">
        <v>74065</v>
      </c>
      <c r="B49" s="25" t="s">
        <v>481</v>
      </c>
      <c r="C49" s="25" t="s">
        <v>82</v>
      </c>
      <c r="D49" s="25" t="s">
        <v>519</v>
      </c>
      <c r="E49" s="25">
        <v>76892</v>
      </c>
      <c r="F49" s="25" t="s">
        <v>523</v>
      </c>
      <c r="G49" s="25">
        <v>1</v>
      </c>
      <c r="H49" s="25" t="s">
        <v>156</v>
      </c>
      <c r="I49" s="25" t="s">
        <v>65</v>
      </c>
      <c r="J49" s="25" t="s">
        <v>66</v>
      </c>
      <c r="K49" s="38">
        <v>45974.474305555559</v>
      </c>
      <c r="L49" s="25" t="s">
        <v>67</v>
      </c>
      <c r="M49" s="25" t="str">
        <f>VLOOKUP(E49,[1]TIPOLOGIAS!$A:$G,5,0)</f>
        <v>PRINCIPAL</v>
      </c>
      <c r="N49" s="25" t="str">
        <f>VLOOKUP(E49,[1]TIPOLOGIAS!$A:$G,4,0)</f>
        <v>CALI</v>
      </c>
      <c r="O49" s="25" t="str">
        <f>VLOOKUP(N49,'BASE TARIFA 2025'!E:F,2,0)</f>
        <v>WOMPI SUROCCIDENTE</v>
      </c>
      <c r="P49" s="40">
        <f>VLOOKUP(M49,'BASE TARIFA 2025'!A:C,3,0)</f>
        <v>46451</v>
      </c>
      <c r="Q49" s="26" t="str">
        <f t="shared" si="0"/>
        <v>100%</v>
      </c>
      <c r="R49" s="41">
        <f t="shared" si="1"/>
        <v>46451</v>
      </c>
    </row>
    <row r="50" spans="1:18" ht="15" customHeight="1" x14ac:dyDescent="0.3">
      <c r="A50" s="25">
        <v>76918</v>
      </c>
      <c r="B50" s="25" t="s">
        <v>481</v>
      </c>
      <c r="C50" s="25" t="s">
        <v>85</v>
      </c>
      <c r="D50" s="25" t="s">
        <v>86</v>
      </c>
      <c r="E50" s="25">
        <v>66682</v>
      </c>
      <c r="F50" s="25" t="s">
        <v>524</v>
      </c>
      <c r="G50" s="25">
        <v>1</v>
      </c>
      <c r="H50" s="25" t="s">
        <v>157</v>
      </c>
      <c r="I50" s="25" t="s">
        <v>65</v>
      </c>
      <c r="J50" s="25" t="s">
        <v>66</v>
      </c>
      <c r="K50" s="38">
        <v>45975.420138888891</v>
      </c>
      <c r="L50" s="25" t="s">
        <v>67</v>
      </c>
      <c r="M50" s="25" t="str">
        <f>VLOOKUP(E50,[1]TIPOLOGIAS!$A:$G,5,0)</f>
        <v>PRINCIPAL</v>
      </c>
      <c r="N50" s="25" t="str">
        <f>VLOOKUP(E50,[1]TIPOLOGIAS!$A:$G,4,0)</f>
        <v>PEREIRA</v>
      </c>
      <c r="O50" s="25" t="str">
        <f>VLOOKUP(N50,'BASE TARIFA 2025'!E:F,2,0)</f>
        <v>WOMPI EJE CAFETERO</v>
      </c>
      <c r="P50" s="40">
        <f>VLOOKUP(M50,'BASE TARIFA 2025'!A:C,3,0)</f>
        <v>46451</v>
      </c>
      <c r="Q50" s="26" t="str">
        <f t="shared" si="0"/>
        <v>100%</v>
      </c>
      <c r="R50" s="41">
        <f t="shared" si="1"/>
        <v>46451</v>
      </c>
    </row>
    <row r="51" spans="1:18" ht="15" customHeight="1" x14ac:dyDescent="0.3">
      <c r="A51" s="25">
        <v>64102</v>
      </c>
      <c r="B51" s="25" t="s">
        <v>481</v>
      </c>
      <c r="C51" s="25" t="s">
        <v>82</v>
      </c>
      <c r="D51" s="25" t="s">
        <v>104</v>
      </c>
      <c r="E51" s="25">
        <v>76147</v>
      </c>
      <c r="F51" s="25" t="s">
        <v>525</v>
      </c>
      <c r="G51" s="25">
        <v>1</v>
      </c>
      <c r="H51" s="25" t="s">
        <v>158</v>
      </c>
      <c r="I51" s="25" t="s">
        <v>65</v>
      </c>
      <c r="J51" s="25" t="s">
        <v>66</v>
      </c>
      <c r="K51" s="38">
        <v>45980.604166666664</v>
      </c>
      <c r="L51" s="25" t="s">
        <v>67</v>
      </c>
      <c r="M51" s="25" t="str">
        <f>VLOOKUP(E51,[1]TIPOLOGIAS!$A:$G,5,0)</f>
        <v>PRINCIPAL</v>
      </c>
      <c r="N51" s="25" t="str">
        <f>VLOOKUP(E51,[1]TIPOLOGIAS!$A:$G,4,0)</f>
        <v>PEREIRA</v>
      </c>
      <c r="O51" s="25" t="str">
        <f>VLOOKUP(N51,'BASE TARIFA 2025'!E:F,2,0)</f>
        <v>WOMPI EJE CAFETERO</v>
      </c>
      <c r="P51" s="40">
        <f>VLOOKUP(M51,'BASE TARIFA 2025'!A:C,3,0)</f>
        <v>46451</v>
      </c>
      <c r="Q51" s="26" t="str">
        <f t="shared" si="0"/>
        <v>100%</v>
      </c>
      <c r="R51" s="41">
        <f t="shared" si="1"/>
        <v>46451</v>
      </c>
    </row>
    <row r="52" spans="1:18" ht="15" customHeight="1" x14ac:dyDescent="0.3">
      <c r="A52" s="25">
        <v>41500</v>
      </c>
      <c r="B52" s="25" t="s">
        <v>491</v>
      </c>
      <c r="C52" s="25" t="s">
        <v>81</v>
      </c>
      <c r="D52" s="25" t="s">
        <v>43</v>
      </c>
      <c r="E52" s="25">
        <v>20001</v>
      </c>
      <c r="F52" s="25" t="s">
        <v>526</v>
      </c>
      <c r="G52" s="25">
        <v>1</v>
      </c>
      <c r="H52" s="25" t="s">
        <v>159</v>
      </c>
      <c r="I52" s="25" t="s">
        <v>65</v>
      </c>
      <c r="J52" s="25" t="s">
        <v>66</v>
      </c>
      <c r="K52" s="38">
        <v>45975.387499999997</v>
      </c>
      <c r="L52" s="25" t="s">
        <v>67</v>
      </c>
      <c r="M52" s="25" t="str">
        <f>VLOOKUP(E52,[1]TIPOLOGIAS!$A:$G,5,0)</f>
        <v>PRINCIPAL</v>
      </c>
      <c r="N52" s="25" t="str">
        <f>VLOOKUP(E52,[1]TIPOLOGIAS!$A:$G,4,0)</f>
        <v>VALLEDUPAR</v>
      </c>
      <c r="O52" s="25" t="str">
        <f>VLOOKUP(N52,'BASE TARIFA 2025'!E:F,2,0)</f>
        <v>WOMPI COSTA</v>
      </c>
      <c r="P52" s="40">
        <f>VLOOKUP(M52,'BASE TARIFA 2025'!A:C,3,0)</f>
        <v>46451</v>
      </c>
      <c r="Q52" s="26" t="str">
        <f t="shared" si="0"/>
        <v>100%</v>
      </c>
      <c r="R52" s="41">
        <f t="shared" si="1"/>
        <v>46451</v>
      </c>
    </row>
    <row r="53" spans="1:18" ht="15" customHeight="1" x14ac:dyDescent="0.3">
      <c r="A53" s="25">
        <v>66344</v>
      </c>
      <c r="B53" s="25" t="s">
        <v>470</v>
      </c>
      <c r="C53" s="25" t="s">
        <v>63</v>
      </c>
      <c r="D53" s="25" t="s">
        <v>64</v>
      </c>
      <c r="E53" s="25">
        <v>11001</v>
      </c>
      <c r="F53" s="25" t="s">
        <v>527</v>
      </c>
      <c r="G53" s="25">
        <v>1</v>
      </c>
      <c r="H53" s="25" t="s">
        <v>160</v>
      </c>
      <c r="I53" s="25" t="s">
        <v>65</v>
      </c>
      <c r="J53" s="25" t="s">
        <v>66</v>
      </c>
      <c r="K53" s="38">
        <v>45975.63958333333</v>
      </c>
      <c r="L53" s="25" t="s">
        <v>67</v>
      </c>
      <c r="M53" s="25" t="str">
        <f>VLOOKUP(E53,[1]TIPOLOGIAS!$A:$G,5,0)</f>
        <v>PRINCIPAL</v>
      </c>
      <c r="N53" s="25" t="str">
        <f>VLOOKUP(E53,[1]TIPOLOGIAS!$A:$G,4,0)</f>
        <v>BOGOTA</v>
      </c>
      <c r="O53" s="25" t="str">
        <f>VLOOKUP(N53,'BASE TARIFA 2025'!E:F,2,0)</f>
        <v>WOMPI CENTRO</v>
      </c>
      <c r="P53" s="40">
        <f>VLOOKUP(M53,'BASE TARIFA 2025'!A:C,3,0)</f>
        <v>46451</v>
      </c>
      <c r="Q53" s="26" t="str">
        <f t="shared" si="0"/>
        <v>100%</v>
      </c>
      <c r="R53" s="41">
        <f t="shared" si="1"/>
        <v>46451</v>
      </c>
    </row>
    <row r="54" spans="1:18" ht="15" customHeight="1" x14ac:dyDescent="0.3">
      <c r="A54" s="25">
        <v>59186</v>
      </c>
      <c r="B54" s="25" t="s">
        <v>470</v>
      </c>
      <c r="C54" s="25" t="s">
        <v>63</v>
      </c>
      <c r="D54" s="25" t="s">
        <v>64</v>
      </c>
      <c r="E54" s="25">
        <v>11001</v>
      </c>
      <c r="F54" s="25" t="s">
        <v>528</v>
      </c>
      <c r="G54" s="25">
        <v>1</v>
      </c>
      <c r="H54" s="25" t="s">
        <v>161</v>
      </c>
      <c r="I54" s="25" t="s">
        <v>65</v>
      </c>
      <c r="J54" s="25" t="s">
        <v>66</v>
      </c>
      <c r="K54" s="38">
        <v>45979.470138888886</v>
      </c>
      <c r="L54" s="25" t="s">
        <v>67</v>
      </c>
      <c r="M54" s="25" t="str">
        <f>VLOOKUP(E54,[1]TIPOLOGIAS!$A:$G,5,0)</f>
        <v>PRINCIPAL</v>
      </c>
      <c r="N54" s="25" t="str">
        <f>VLOOKUP(E54,[1]TIPOLOGIAS!$A:$G,4,0)</f>
        <v>BOGOTA</v>
      </c>
      <c r="O54" s="25" t="str">
        <f>VLOOKUP(N54,'BASE TARIFA 2025'!E:F,2,0)</f>
        <v>WOMPI CENTRO</v>
      </c>
      <c r="P54" s="40">
        <f>VLOOKUP(M54,'BASE TARIFA 2025'!A:C,3,0)</f>
        <v>46451</v>
      </c>
      <c r="Q54" s="26" t="str">
        <f t="shared" si="0"/>
        <v>100%</v>
      </c>
      <c r="R54" s="41">
        <f t="shared" si="1"/>
        <v>46451</v>
      </c>
    </row>
    <row r="55" spans="1:18" ht="15" customHeight="1" x14ac:dyDescent="0.3">
      <c r="A55" s="25">
        <v>10215</v>
      </c>
      <c r="B55" s="25" t="s">
        <v>90</v>
      </c>
      <c r="C55" s="25" t="s">
        <v>90</v>
      </c>
      <c r="D55" s="25" t="s">
        <v>91</v>
      </c>
      <c r="E55" s="25">
        <v>5001</v>
      </c>
      <c r="F55" s="25" t="s">
        <v>529</v>
      </c>
      <c r="G55" s="25">
        <v>2</v>
      </c>
      <c r="H55" s="25" t="s">
        <v>162</v>
      </c>
      <c r="I55" s="25" t="s">
        <v>65</v>
      </c>
      <c r="J55" s="25" t="s">
        <v>66</v>
      </c>
      <c r="K55" s="38">
        <v>45985.583333333336</v>
      </c>
      <c r="L55" s="25" t="s">
        <v>67</v>
      </c>
      <c r="M55" s="25" t="str">
        <f>VLOOKUP(E55,[1]TIPOLOGIAS!$A:$G,5,0)</f>
        <v>PRINCIPAL</v>
      </c>
      <c r="N55" s="25" t="str">
        <f>VLOOKUP(E55,[1]TIPOLOGIAS!$A:$G,4,0)</f>
        <v>MEDELLIN</v>
      </c>
      <c r="O55" s="25" t="str">
        <f>VLOOKUP(N55,'BASE TARIFA 2025'!E:F,2,0)</f>
        <v>WOMPI NOROCCIDENTE</v>
      </c>
      <c r="P55" s="40">
        <f>VLOOKUP(M55,'BASE TARIFA 2025'!A:C,3,0)</f>
        <v>46451</v>
      </c>
      <c r="Q55" s="26" t="str">
        <f t="shared" si="0"/>
        <v>100%</v>
      </c>
      <c r="R55" s="41">
        <f t="shared" si="1"/>
        <v>92902</v>
      </c>
    </row>
    <row r="56" spans="1:18" ht="15" customHeight="1" x14ac:dyDescent="0.3">
      <c r="A56" s="25">
        <v>10228</v>
      </c>
      <c r="B56" s="25" t="s">
        <v>90</v>
      </c>
      <c r="C56" s="25" t="s">
        <v>90</v>
      </c>
      <c r="D56" s="25" t="s">
        <v>91</v>
      </c>
      <c r="E56" s="25">
        <v>5001</v>
      </c>
      <c r="F56" s="25" t="s">
        <v>530</v>
      </c>
      <c r="G56" s="25">
        <v>2</v>
      </c>
      <c r="H56" s="25" t="s">
        <v>163</v>
      </c>
      <c r="I56" s="25" t="s">
        <v>65</v>
      </c>
      <c r="J56" s="25" t="s">
        <v>66</v>
      </c>
      <c r="K56" s="38">
        <v>45985.443749999999</v>
      </c>
      <c r="L56" s="25" t="s">
        <v>67</v>
      </c>
      <c r="M56" s="25" t="str">
        <f>VLOOKUP(E56,[1]TIPOLOGIAS!$A:$G,5,0)</f>
        <v>PRINCIPAL</v>
      </c>
      <c r="N56" s="25" t="str">
        <f>VLOOKUP(E56,[1]TIPOLOGIAS!$A:$G,4,0)</f>
        <v>MEDELLIN</v>
      </c>
      <c r="O56" s="25" t="str">
        <f>VLOOKUP(N56,'BASE TARIFA 2025'!E:F,2,0)</f>
        <v>WOMPI NOROCCIDENTE</v>
      </c>
      <c r="P56" s="40">
        <f>VLOOKUP(M56,'BASE TARIFA 2025'!A:C,3,0)</f>
        <v>46451</v>
      </c>
      <c r="Q56" s="26" t="str">
        <f t="shared" si="0"/>
        <v>100%</v>
      </c>
      <c r="R56" s="41">
        <f t="shared" si="1"/>
        <v>92902</v>
      </c>
    </row>
    <row r="57" spans="1:18" ht="15" customHeight="1" x14ac:dyDescent="0.3">
      <c r="A57" s="25">
        <v>10248</v>
      </c>
      <c r="B57" s="25" t="s">
        <v>90</v>
      </c>
      <c r="C57" s="25" t="s">
        <v>90</v>
      </c>
      <c r="D57" s="25" t="s">
        <v>91</v>
      </c>
      <c r="E57" s="25">
        <v>5001</v>
      </c>
      <c r="F57" s="25" t="s">
        <v>531</v>
      </c>
      <c r="G57" s="25">
        <v>2</v>
      </c>
      <c r="H57" s="25" t="s">
        <v>164</v>
      </c>
      <c r="I57" s="25" t="s">
        <v>65</v>
      </c>
      <c r="J57" s="25" t="s">
        <v>66</v>
      </c>
      <c r="K57" s="38">
        <v>45985.540972222225</v>
      </c>
      <c r="L57" s="25" t="s">
        <v>67</v>
      </c>
      <c r="M57" s="25" t="str">
        <f>VLOOKUP(E57,[1]TIPOLOGIAS!$A:$G,5,0)</f>
        <v>PRINCIPAL</v>
      </c>
      <c r="N57" s="25" t="str">
        <f>VLOOKUP(E57,[1]TIPOLOGIAS!$A:$G,4,0)</f>
        <v>MEDELLIN</v>
      </c>
      <c r="O57" s="25" t="str">
        <f>VLOOKUP(N57,'BASE TARIFA 2025'!E:F,2,0)</f>
        <v>WOMPI NOROCCIDENTE</v>
      </c>
      <c r="P57" s="40">
        <f>VLOOKUP(M57,'BASE TARIFA 2025'!A:C,3,0)</f>
        <v>46451</v>
      </c>
      <c r="Q57" s="26" t="str">
        <f t="shared" si="0"/>
        <v>100%</v>
      </c>
      <c r="R57" s="41">
        <f t="shared" si="1"/>
        <v>92902</v>
      </c>
    </row>
    <row r="58" spans="1:18" ht="15" customHeight="1" x14ac:dyDescent="0.3">
      <c r="A58" s="25">
        <v>10347</v>
      </c>
      <c r="B58" s="25" t="s">
        <v>90</v>
      </c>
      <c r="C58" s="25" t="s">
        <v>90</v>
      </c>
      <c r="D58" s="25" t="s">
        <v>91</v>
      </c>
      <c r="E58" s="25">
        <v>5001</v>
      </c>
      <c r="F58" s="25" t="s">
        <v>532</v>
      </c>
      <c r="G58" s="25">
        <v>3</v>
      </c>
      <c r="H58" s="25" t="s">
        <v>165</v>
      </c>
      <c r="I58" s="25" t="s">
        <v>65</v>
      </c>
      <c r="J58" s="25" t="s">
        <v>66</v>
      </c>
      <c r="K58" s="38">
        <v>45981.600694444445</v>
      </c>
      <c r="L58" s="25" t="s">
        <v>67</v>
      </c>
      <c r="M58" s="25" t="str">
        <f>VLOOKUP(E58,[1]TIPOLOGIAS!$A:$G,5,0)</f>
        <v>PRINCIPAL</v>
      </c>
      <c r="N58" s="25" t="str">
        <f>VLOOKUP(E58,[1]TIPOLOGIAS!$A:$G,4,0)</f>
        <v>MEDELLIN</v>
      </c>
      <c r="O58" s="25" t="str">
        <f>VLOOKUP(N58,'BASE TARIFA 2025'!E:F,2,0)</f>
        <v>WOMPI NOROCCIDENTE</v>
      </c>
      <c r="P58" s="40">
        <f>VLOOKUP(M58,'BASE TARIFA 2025'!A:C,3,0)</f>
        <v>46451</v>
      </c>
      <c r="Q58" s="26" t="str">
        <f t="shared" si="0"/>
        <v>100%</v>
      </c>
      <c r="R58" s="41">
        <f t="shared" si="1"/>
        <v>139353</v>
      </c>
    </row>
    <row r="59" spans="1:18" ht="15" customHeight="1" x14ac:dyDescent="0.3">
      <c r="A59" s="25">
        <v>10364</v>
      </c>
      <c r="B59" s="25" t="s">
        <v>90</v>
      </c>
      <c r="C59" s="25" t="s">
        <v>90</v>
      </c>
      <c r="D59" s="25" t="s">
        <v>101</v>
      </c>
      <c r="E59" s="25">
        <v>5360</v>
      </c>
      <c r="F59" s="25" t="s">
        <v>533</v>
      </c>
      <c r="G59" s="25">
        <v>4</v>
      </c>
      <c r="H59" s="25" t="s">
        <v>166</v>
      </c>
      <c r="I59" s="25" t="s">
        <v>65</v>
      </c>
      <c r="J59" s="25" t="s">
        <v>66</v>
      </c>
      <c r="K59" s="38">
        <v>45980.51458333333</v>
      </c>
      <c r="L59" s="25" t="s">
        <v>67</v>
      </c>
      <c r="M59" s="25" t="str">
        <f>VLOOKUP(E59,[1]TIPOLOGIAS!$A:$G,5,0)</f>
        <v>PRINCIPAL</v>
      </c>
      <c r="N59" s="25" t="str">
        <f>VLOOKUP(E59,[1]TIPOLOGIAS!$A:$G,4,0)</f>
        <v>MEDELLIN</v>
      </c>
      <c r="O59" s="25" t="str">
        <f>VLOOKUP(N59,'BASE TARIFA 2025'!E:F,2,0)</f>
        <v>WOMPI NOROCCIDENTE</v>
      </c>
      <c r="P59" s="40">
        <f>VLOOKUP(M59,'BASE TARIFA 2025'!A:C,3,0)</f>
        <v>46451</v>
      </c>
      <c r="Q59" s="26" t="str">
        <f t="shared" si="0"/>
        <v>100%</v>
      </c>
      <c r="R59" s="41">
        <f t="shared" si="1"/>
        <v>185804</v>
      </c>
    </row>
    <row r="60" spans="1:18" ht="15" customHeight="1" x14ac:dyDescent="0.3">
      <c r="A60" s="25">
        <v>10536</v>
      </c>
      <c r="B60" s="25" t="s">
        <v>90</v>
      </c>
      <c r="C60" s="25" t="s">
        <v>90</v>
      </c>
      <c r="D60" s="25" t="s">
        <v>91</v>
      </c>
      <c r="E60" s="25">
        <v>5001</v>
      </c>
      <c r="F60" s="25" t="s">
        <v>534</v>
      </c>
      <c r="G60" s="25">
        <v>2</v>
      </c>
      <c r="H60" s="25" t="s">
        <v>167</v>
      </c>
      <c r="I60" s="25" t="s">
        <v>65</v>
      </c>
      <c r="J60" s="25" t="s">
        <v>66</v>
      </c>
      <c r="K60" s="38">
        <v>45983.449305555558</v>
      </c>
      <c r="L60" s="25" t="s">
        <v>67</v>
      </c>
      <c r="M60" s="25" t="str">
        <f>VLOOKUP(E60,[1]TIPOLOGIAS!$A:$G,5,0)</f>
        <v>PRINCIPAL</v>
      </c>
      <c r="N60" s="25" t="str">
        <f>VLOOKUP(E60,[1]TIPOLOGIAS!$A:$G,4,0)</f>
        <v>MEDELLIN</v>
      </c>
      <c r="O60" s="25" t="str">
        <f>VLOOKUP(N60,'BASE TARIFA 2025'!E:F,2,0)</f>
        <v>WOMPI NOROCCIDENTE</v>
      </c>
      <c r="P60" s="40">
        <f>VLOOKUP(M60,'BASE TARIFA 2025'!A:C,3,0)</f>
        <v>46451</v>
      </c>
      <c r="Q60" s="26" t="str">
        <f t="shared" si="0"/>
        <v>100%</v>
      </c>
      <c r="R60" s="41">
        <f t="shared" si="1"/>
        <v>92902</v>
      </c>
    </row>
    <row r="61" spans="1:18" ht="15" customHeight="1" x14ac:dyDescent="0.3">
      <c r="A61" s="25">
        <v>11110</v>
      </c>
      <c r="B61" s="25" t="s">
        <v>90</v>
      </c>
      <c r="C61" s="25" t="s">
        <v>90</v>
      </c>
      <c r="D61" s="25" t="s">
        <v>91</v>
      </c>
      <c r="E61" s="25">
        <v>5001</v>
      </c>
      <c r="F61" s="25" t="s">
        <v>535</v>
      </c>
      <c r="G61" s="25">
        <v>2</v>
      </c>
      <c r="H61" s="25" t="s">
        <v>168</v>
      </c>
      <c r="I61" s="25" t="s">
        <v>65</v>
      </c>
      <c r="J61" s="25" t="s">
        <v>66</v>
      </c>
      <c r="K61" s="38">
        <v>45981.401388888888</v>
      </c>
      <c r="L61" s="25" t="s">
        <v>67</v>
      </c>
      <c r="M61" s="25" t="str">
        <f>VLOOKUP(E61,[1]TIPOLOGIAS!$A:$G,5,0)</f>
        <v>PRINCIPAL</v>
      </c>
      <c r="N61" s="25" t="str">
        <f>VLOOKUP(E61,[1]TIPOLOGIAS!$A:$G,4,0)</f>
        <v>MEDELLIN</v>
      </c>
      <c r="O61" s="25" t="str">
        <f>VLOOKUP(N61,'BASE TARIFA 2025'!E:F,2,0)</f>
        <v>WOMPI NOROCCIDENTE</v>
      </c>
      <c r="P61" s="40">
        <f>VLOOKUP(M61,'BASE TARIFA 2025'!A:C,3,0)</f>
        <v>46451</v>
      </c>
      <c r="Q61" s="26" t="str">
        <f t="shared" si="0"/>
        <v>100%</v>
      </c>
      <c r="R61" s="41">
        <f t="shared" si="1"/>
        <v>92902</v>
      </c>
    </row>
    <row r="62" spans="1:18" ht="15" customHeight="1" x14ac:dyDescent="0.3">
      <c r="A62" s="25">
        <v>11915</v>
      </c>
      <c r="B62" s="25" t="s">
        <v>90</v>
      </c>
      <c r="C62" s="25" t="s">
        <v>90</v>
      </c>
      <c r="D62" s="25" t="s">
        <v>91</v>
      </c>
      <c r="E62" s="25">
        <v>5001</v>
      </c>
      <c r="F62" s="25" t="s">
        <v>536</v>
      </c>
      <c r="G62" s="25">
        <v>3</v>
      </c>
      <c r="H62" s="25" t="s">
        <v>169</v>
      </c>
      <c r="I62" s="25" t="s">
        <v>65</v>
      </c>
      <c r="J62" s="25" t="s">
        <v>66</v>
      </c>
      <c r="K62" s="38">
        <v>45981.585416666669</v>
      </c>
      <c r="L62" s="25" t="s">
        <v>67</v>
      </c>
      <c r="M62" s="25" t="str">
        <f>VLOOKUP(E62,[1]TIPOLOGIAS!$A:$G,5,0)</f>
        <v>PRINCIPAL</v>
      </c>
      <c r="N62" s="25" t="str">
        <f>VLOOKUP(E62,[1]TIPOLOGIAS!$A:$G,4,0)</f>
        <v>MEDELLIN</v>
      </c>
      <c r="O62" s="25" t="str">
        <f>VLOOKUP(N62,'BASE TARIFA 2025'!E:F,2,0)</f>
        <v>WOMPI NOROCCIDENTE</v>
      </c>
      <c r="P62" s="40">
        <f>VLOOKUP(M62,'BASE TARIFA 2025'!A:C,3,0)</f>
        <v>46451</v>
      </c>
      <c r="Q62" s="26" t="str">
        <f t="shared" si="0"/>
        <v>100%</v>
      </c>
      <c r="R62" s="41">
        <f t="shared" si="1"/>
        <v>139353</v>
      </c>
    </row>
    <row r="63" spans="1:18" ht="15" customHeight="1" x14ac:dyDescent="0.3">
      <c r="A63" s="25">
        <v>12052</v>
      </c>
      <c r="B63" s="25" t="s">
        <v>470</v>
      </c>
      <c r="C63" s="25" t="s">
        <v>63</v>
      </c>
      <c r="D63" s="25" t="s">
        <v>64</v>
      </c>
      <c r="E63" s="25">
        <v>11001</v>
      </c>
      <c r="F63" s="25" t="s">
        <v>537</v>
      </c>
      <c r="G63" s="25">
        <v>2</v>
      </c>
      <c r="H63" s="25" t="s">
        <v>170</v>
      </c>
      <c r="I63" s="25" t="s">
        <v>65</v>
      </c>
      <c r="J63" s="25" t="s">
        <v>66</v>
      </c>
      <c r="K63" s="38">
        <v>45986.449305555558</v>
      </c>
      <c r="L63" s="25" t="s">
        <v>67</v>
      </c>
      <c r="M63" s="25" t="str">
        <f>VLOOKUP(E63,[1]TIPOLOGIAS!$A:$G,5,0)</f>
        <v>PRINCIPAL</v>
      </c>
      <c r="N63" s="25" t="str">
        <f>VLOOKUP(E63,[1]TIPOLOGIAS!$A:$G,4,0)</f>
        <v>BOGOTA</v>
      </c>
      <c r="O63" s="25" t="str">
        <f>VLOOKUP(N63,'BASE TARIFA 2025'!E:F,2,0)</f>
        <v>WOMPI CENTRO</v>
      </c>
      <c r="P63" s="40">
        <f>VLOOKUP(M63,'BASE TARIFA 2025'!A:C,3,0)</f>
        <v>46451</v>
      </c>
      <c r="Q63" s="26" t="str">
        <f t="shared" si="0"/>
        <v>100%</v>
      </c>
      <c r="R63" s="41">
        <f t="shared" si="1"/>
        <v>92902</v>
      </c>
    </row>
    <row r="64" spans="1:18" ht="15" customHeight="1" x14ac:dyDescent="0.3">
      <c r="A64" s="25">
        <v>12172</v>
      </c>
      <c r="B64" s="25" t="s">
        <v>90</v>
      </c>
      <c r="C64" s="25" t="s">
        <v>90</v>
      </c>
      <c r="D64" s="25" t="s">
        <v>101</v>
      </c>
      <c r="E64" s="25">
        <v>5360</v>
      </c>
      <c r="F64" s="25" t="s">
        <v>538</v>
      </c>
      <c r="G64" s="25">
        <v>3</v>
      </c>
      <c r="H64" s="25" t="s">
        <v>171</v>
      </c>
      <c r="I64" s="25" t="s">
        <v>65</v>
      </c>
      <c r="J64" s="25" t="s">
        <v>66</v>
      </c>
      <c r="K64" s="38">
        <v>45980.581944444442</v>
      </c>
      <c r="L64" s="25" t="s">
        <v>67</v>
      </c>
      <c r="M64" s="25" t="str">
        <f>VLOOKUP(E64,[1]TIPOLOGIAS!$A:$G,5,0)</f>
        <v>PRINCIPAL</v>
      </c>
      <c r="N64" s="25" t="str">
        <f>VLOOKUP(E64,[1]TIPOLOGIAS!$A:$G,4,0)</f>
        <v>MEDELLIN</v>
      </c>
      <c r="O64" s="25" t="str">
        <f>VLOOKUP(N64,'BASE TARIFA 2025'!E:F,2,0)</f>
        <v>WOMPI NOROCCIDENTE</v>
      </c>
      <c r="P64" s="40">
        <f>VLOOKUP(M64,'BASE TARIFA 2025'!A:C,3,0)</f>
        <v>46451</v>
      </c>
      <c r="Q64" s="26" t="str">
        <f t="shared" si="0"/>
        <v>100%</v>
      </c>
      <c r="R64" s="41">
        <f t="shared" si="1"/>
        <v>139353</v>
      </c>
    </row>
    <row r="65" spans="1:18" ht="15" customHeight="1" x14ac:dyDescent="0.3">
      <c r="A65" s="25">
        <v>13041</v>
      </c>
      <c r="B65" s="25" t="s">
        <v>476</v>
      </c>
      <c r="C65" s="25" t="s">
        <v>75</v>
      </c>
      <c r="D65" s="25" t="s">
        <v>76</v>
      </c>
      <c r="E65" s="25">
        <v>73001</v>
      </c>
      <c r="F65" s="25" t="s">
        <v>539</v>
      </c>
      <c r="G65" s="25">
        <v>2</v>
      </c>
      <c r="H65" s="25" t="s">
        <v>172</v>
      </c>
      <c r="I65" s="25" t="s">
        <v>65</v>
      </c>
      <c r="J65" s="25" t="s">
        <v>66</v>
      </c>
      <c r="K65" s="38">
        <v>45986.632638888892</v>
      </c>
      <c r="L65" s="25" t="s">
        <v>67</v>
      </c>
      <c r="M65" s="25" t="str">
        <f>VLOOKUP(E65,[1]TIPOLOGIAS!$A:$G,5,0)</f>
        <v>PRINCIPAL</v>
      </c>
      <c r="N65" s="25" t="str">
        <f>VLOOKUP(E65,[1]TIPOLOGIAS!$A:$G,4,0)</f>
        <v>IBAGUE</v>
      </c>
      <c r="O65" s="25" t="str">
        <f>VLOOKUP(N65,'BASE TARIFA 2025'!E:F,2,0)</f>
        <v>WOMPI ORIENTE</v>
      </c>
      <c r="P65" s="40">
        <f>VLOOKUP(M65,'BASE TARIFA 2025'!A:C,3,0)</f>
        <v>46451</v>
      </c>
      <c r="Q65" s="26" t="str">
        <f t="shared" si="0"/>
        <v>100%</v>
      </c>
      <c r="R65" s="41">
        <f t="shared" si="1"/>
        <v>92902</v>
      </c>
    </row>
    <row r="66" spans="1:18" ht="15" customHeight="1" x14ac:dyDescent="0.3">
      <c r="A66" s="25">
        <v>13158</v>
      </c>
      <c r="B66" s="25" t="s">
        <v>90</v>
      </c>
      <c r="C66" s="25" t="s">
        <v>90</v>
      </c>
      <c r="D66" s="25" t="s">
        <v>91</v>
      </c>
      <c r="E66" s="25">
        <v>5001</v>
      </c>
      <c r="F66" s="25" t="s">
        <v>540</v>
      </c>
      <c r="G66" s="25">
        <v>2</v>
      </c>
      <c r="H66" s="25" t="s">
        <v>173</v>
      </c>
      <c r="I66" s="25" t="s">
        <v>65</v>
      </c>
      <c r="J66" s="25" t="s">
        <v>66</v>
      </c>
      <c r="K66" s="38">
        <v>45981.65902777778</v>
      </c>
      <c r="L66" s="25" t="s">
        <v>67</v>
      </c>
      <c r="M66" s="25" t="str">
        <f>VLOOKUP(E66,[1]TIPOLOGIAS!$A:$G,5,0)</f>
        <v>PRINCIPAL</v>
      </c>
      <c r="N66" s="25" t="str">
        <f>VLOOKUP(E66,[1]TIPOLOGIAS!$A:$G,4,0)</f>
        <v>MEDELLIN</v>
      </c>
      <c r="O66" s="25" t="str">
        <f>VLOOKUP(N66,'BASE TARIFA 2025'!E:F,2,0)</f>
        <v>WOMPI NOROCCIDENTE</v>
      </c>
      <c r="P66" s="40">
        <f>VLOOKUP(M66,'BASE TARIFA 2025'!A:C,3,0)</f>
        <v>46451</v>
      </c>
      <c r="Q66" s="26" t="str">
        <f t="shared" si="0"/>
        <v>100%</v>
      </c>
      <c r="R66" s="41">
        <f t="shared" si="1"/>
        <v>92902</v>
      </c>
    </row>
    <row r="67" spans="1:18" ht="15" customHeight="1" x14ac:dyDescent="0.3">
      <c r="A67" s="25">
        <v>13357</v>
      </c>
      <c r="B67" s="25" t="s">
        <v>481</v>
      </c>
      <c r="C67" s="25" t="s">
        <v>85</v>
      </c>
      <c r="D67" s="25" t="s">
        <v>22</v>
      </c>
      <c r="E67" s="25">
        <v>66001</v>
      </c>
      <c r="F67" s="25" t="s">
        <v>541</v>
      </c>
      <c r="G67" s="25">
        <v>3</v>
      </c>
      <c r="H67" s="25" t="s">
        <v>174</v>
      </c>
      <c r="I67" s="25" t="s">
        <v>65</v>
      </c>
      <c r="J67" s="25" t="s">
        <v>66</v>
      </c>
      <c r="K67" s="38">
        <v>45985.636111111111</v>
      </c>
      <c r="L67" s="25" t="s">
        <v>67</v>
      </c>
      <c r="M67" s="25" t="str">
        <f>VLOOKUP(E67,[1]TIPOLOGIAS!$A:$G,5,0)</f>
        <v>PRINCIPAL</v>
      </c>
      <c r="N67" s="25" t="str">
        <f>VLOOKUP(E67,[1]TIPOLOGIAS!$A:$G,4,0)</f>
        <v>PEREIRA</v>
      </c>
      <c r="O67" s="25" t="str">
        <f>VLOOKUP(N67,'BASE TARIFA 2025'!E:F,2,0)</f>
        <v>WOMPI EJE CAFETERO</v>
      </c>
      <c r="P67" s="40">
        <f>VLOOKUP(M67,'BASE TARIFA 2025'!A:C,3,0)</f>
        <v>46451</v>
      </c>
      <c r="Q67" s="26" t="str">
        <f t="shared" ref="Q67:Q130" si="2">IF(L67="EJECUTADO","100%", "75%")</f>
        <v>100%</v>
      </c>
      <c r="R67" s="41">
        <f t="shared" ref="R67:R130" si="3">G67*P67*Q67</f>
        <v>139353</v>
      </c>
    </row>
    <row r="68" spans="1:18" ht="15" customHeight="1" x14ac:dyDescent="0.3">
      <c r="A68" s="25">
        <v>14740</v>
      </c>
      <c r="B68" s="25" t="s">
        <v>90</v>
      </c>
      <c r="C68" s="25" t="s">
        <v>90</v>
      </c>
      <c r="D68" s="25" t="s">
        <v>91</v>
      </c>
      <c r="E68" s="25">
        <v>5001</v>
      </c>
      <c r="F68" s="25" t="s">
        <v>542</v>
      </c>
      <c r="G68" s="25">
        <v>2</v>
      </c>
      <c r="H68" s="25" t="s">
        <v>175</v>
      </c>
      <c r="I68" s="25" t="s">
        <v>65</v>
      </c>
      <c r="J68" s="25" t="s">
        <v>66</v>
      </c>
      <c r="K68" s="38">
        <v>45981.544444444444</v>
      </c>
      <c r="L68" s="25" t="s">
        <v>67</v>
      </c>
      <c r="M68" s="25" t="str">
        <f>VLOOKUP(E68,[1]TIPOLOGIAS!$A:$G,5,0)</f>
        <v>PRINCIPAL</v>
      </c>
      <c r="N68" s="25" t="str">
        <f>VLOOKUP(E68,[1]TIPOLOGIAS!$A:$G,4,0)</f>
        <v>MEDELLIN</v>
      </c>
      <c r="O68" s="25" t="str">
        <f>VLOOKUP(N68,'BASE TARIFA 2025'!E:F,2,0)</f>
        <v>WOMPI NOROCCIDENTE</v>
      </c>
      <c r="P68" s="40">
        <f>VLOOKUP(M68,'BASE TARIFA 2025'!A:C,3,0)</f>
        <v>46451</v>
      </c>
      <c r="Q68" s="26" t="str">
        <f t="shared" si="2"/>
        <v>100%</v>
      </c>
      <c r="R68" s="41">
        <f t="shared" si="3"/>
        <v>92902</v>
      </c>
    </row>
    <row r="69" spans="1:18" ht="15" customHeight="1" x14ac:dyDescent="0.3">
      <c r="A69" s="25">
        <v>15439</v>
      </c>
      <c r="B69" s="25" t="s">
        <v>470</v>
      </c>
      <c r="C69" s="25" t="s">
        <v>63</v>
      </c>
      <c r="D69" s="25" t="s">
        <v>64</v>
      </c>
      <c r="E69" s="25">
        <v>11001</v>
      </c>
      <c r="F69" s="25" t="s">
        <v>543</v>
      </c>
      <c r="G69" s="25">
        <v>2</v>
      </c>
      <c r="H69" s="25" t="s">
        <v>176</v>
      </c>
      <c r="I69" s="25" t="s">
        <v>65</v>
      </c>
      <c r="J69" s="25" t="s">
        <v>66</v>
      </c>
      <c r="K69" s="38">
        <v>45985.47152777778</v>
      </c>
      <c r="L69" s="25" t="s">
        <v>67</v>
      </c>
      <c r="M69" s="25" t="str">
        <f>VLOOKUP(E69,[1]TIPOLOGIAS!$A:$G,5,0)</f>
        <v>PRINCIPAL</v>
      </c>
      <c r="N69" s="25" t="str">
        <f>VLOOKUP(E69,[1]TIPOLOGIAS!$A:$G,4,0)</f>
        <v>BOGOTA</v>
      </c>
      <c r="O69" s="25" t="str">
        <f>VLOOKUP(N69,'BASE TARIFA 2025'!E:F,2,0)</f>
        <v>WOMPI CENTRO</v>
      </c>
      <c r="P69" s="40">
        <f>VLOOKUP(M69,'BASE TARIFA 2025'!A:C,3,0)</f>
        <v>46451</v>
      </c>
      <c r="Q69" s="26" t="str">
        <f t="shared" si="2"/>
        <v>100%</v>
      </c>
      <c r="R69" s="41">
        <f t="shared" si="3"/>
        <v>92902</v>
      </c>
    </row>
    <row r="70" spans="1:18" ht="15" customHeight="1" x14ac:dyDescent="0.3">
      <c r="A70" s="25">
        <v>16395</v>
      </c>
      <c r="B70" s="25" t="s">
        <v>470</v>
      </c>
      <c r="C70" s="25" t="s">
        <v>63</v>
      </c>
      <c r="D70" s="25" t="s">
        <v>64</v>
      </c>
      <c r="E70" s="25">
        <v>11001</v>
      </c>
      <c r="F70" s="25" t="s">
        <v>544</v>
      </c>
      <c r="G70" s="25">
        <v>2</v>
      </c>
      <c r="H70" s="25" t="s">
        <v>177</v>
      </c>
      <c r="I70" s="25" t="s">
        <v>65</v>
      </c>
      <c r="J70" s="25" t="s">
        <v>66</v>
      </c>
      <c r="K70" s="38">
        <v>45986.423611111109</v>
      </c>
      <c r="L70" s="25" t="s">
        <v>67</v>
      </c>
      <c r="M70" s="25" t="str">
        <f>VLOOKUP(E70,[1]TIPOLOGIAS!$A:$G,5,0)</f>
        <v>PRINCIPAL</v>
      </c>
      <c r="N70" s="25" t="str">
        <f>VLOOKUP(E70,[1]TIPOLOGIAS!$A:$G,4,0)</f>
        <v>BOGOTA</v>
      </c>
      <c r="O70" s="25" t="str">
        <f>VLOOKUP(N70,'BASE TARIFA 2025'!E:F,2,0)</f>
        <v>WOMPI CENTRO</v>
      </c>
      <c r="P70" s="40">
        <f>VLOOKUP(M70,'BASE TARIFA 2025'!A:C,3,0)</f>
        <v>46451</v>
      </c>
      <c r="Q70" s="26" t="str">
        <f t="shared" si="2"/>
        <v>100%</v>
      </c>
      <c r="R70" s="41">
        <f t="shared" si="3"/>
        <v>92902</v>
      </c>
    </row>
    <row r="71" spans="1:18" ht="15" customHeight="1" x14ac:dyDescent="0.3">
      <c r="A71" s="25">
        <v>17101</v>
      </c>
      <c r="B71" s="25" t="s">
        <v>90</v>
      </c>
      <c r="C71" s="25" t="s">
        <v>90</v>
      </c>
      <c r="D71" s="25" t="s">
        <v>92</v>
      </c>
      <c r="E71" s="25">
        <v>5088</v>
      </c>
      <c r="F71" s="25" t="s">
        <v>545</v>
      </c>
      <c r="G71" s="25">
        <v>3</v>
      </c>
      <c r="H71" s="25" t="s">
        <v>178</v>
      </c>
      <c r="I71" s="25" t="s">
        <v>65</v>
      </c>
      <c r="J71" s="25" t="s">
        <v>66</v>
      </c>
      <c r="K71" s="38">
        <v>45980.461111111108</v>
      </c>
      <c r="L71" s="25" t="s">
        <v>67</v>
      </c>
      <c r="M71" s="25" t="str">
        <f>VLOOKUP(E71,[1]TIPOLOGIAS!$A:$G,5,0)</f>
        <v>PRINCIPAL</v>
      </c>
      <c r="N71" s="25" t="str">
        <f>VLOOKUP(E71,[1]TIPOLOGIAS!$A:$G,4,0)</f>
        <v>MEDELLIN</v>
      </c>
      <c r="O71" s="25" t="str">
        <f>VLOOKUP(N71,'BASE TARIFA 2025'!E:F,2,0)</f>
        <v>WOMPI NOROCCIDENTE</v>
      </c>
      <c r="P71" s="40">
        <f>VLOOKUP(M71,'BASE TARIFA 2025'!A:C,3,0)</f>
        <v>46451</v>
      </c>
      <c r="Q71" s="26" t="str">
        <f t="shared" si="2"/>
        <v>100%</v>
      </c>
      <c r="R71" s="41">
        <f t="shared" si="3"/>
        <v>139353</v>
      </c>
    </row>
    <row r="72" spans="1:18" ht="15" customHeight="1" x14ac:dyDescent="0.3">
      <c r="A72" s="25">
        <v>17255</v>
      </c>
      <c r="B72" s="25" t="s">
        <v>90</v>
      </c>
      <c r="C72" s="25" t="s">
        <v>90</v>
      </c>
      <c r="D72" s="25" t="s">
        <v>91</v>
      </c>
      <c r="E72" s="25">
        <v>5001</v>
      </c>
      <c r="F72" s="25" t="s">
        <v>546</v>
      </c>
      <c r="G72" s="25">
        <v>2</v>
      </c>
      <c r="H72" s="25" t="s">
        <v>179</v>
      </c>
      <c r="I72" s="25" t="s">
        <v>65</v>
      </c>
      <c r="J72" s="25" t="s">
        <v>66</v>
      </c>
      <c r="K72" s="38">
        <v>45983.415277777778</v>
      </c>
      <c r="L72" s="25" t="s">
        <v>67</v>
      </c>
      <c r="M72" s="25" t="str">
        <f>VLOOKUP(E72,[1]TIPOLOGIAS!$A:$G,5,0)</f>
        <v>PRINCIPAL</v>
      </c>
      <c r="N72" s="25" t="str">
        <f>VLOOKUP(E72,[1]TIPOLOGIAS!$A:$G,4,0)</f>
        <v>MEDELLIN</v>
      </c>
      <c r="O72" s="25" t="str">
        <f>VLOOKUP(N72,'BASE TARIFA 2025'!E:F,2,0)</f>
        <v>WOMPI NOROCCIDENTE</v>
      </c>
      <c r="P72" s="40">
        <f>VLOOKUP(M72,'BASE TARIFA 2025'!A:C,3,0)</f>
        <v>46451</v>
      </c>
      <c r="Q72" s="26" t="str">
        <f t="shared" si="2"/>
        <v>100%</v>
      </c>
      <c r="R72" s="41">
        <f t="shared" si="3"/>
        <v>92902</v>
      </c>
    </row>
    <row r="73" spans="1:18" ht="15" customHeight="1" x14ac:dyDescent="0.3">
      <c r="A73" s="25">
        <v>18623</v>
      </c>
      <c r="B73" s="25" t="s">
        <v>90</v>
      </c>
      <c r="C73" s="25" t="s">
        <v>90</v>
      </c>
      <c r="D73" s="25" t="s">
        <v>547</v>
      </c>
      <c r="E73" s="25">
        <v>5308</v>
      </c>
      <c r="F73" s="25" t="s">
        <v>548</v>
      </c>
      <c r="G73" s="25">
        <v>2</v>
      </c>
      <c r="H73" s="25" t="s">
        <v>180</v>
      </c>
      <c r="I73" s="25" t="s">
        <v>65</v>
      </c>
      <c r="J73" s="25" t="s">
        <v>66</v>
      </c>
      <c r="K73" s="38">
        <v>45980.436111111114</v>
      </c>
      <c r="L73" s="25" t="s">
        <v>67</v>
      </c>
      <c r="M73" s="25" t="str">
        <f>VLOOKUP(E73,[1]TIPOLOGIAS!$A:$G,5,0)</f>
        <v>PRINCIPAL</v>
      </c>
      <c r="N73" s="25" t="str">
        <f>VLOOKUP(E73,[1]TIPOLOGIAS!$A:$G,4,0)</f>
        <v>MEDELLIN</v>
      </c>
      <c r="O73" s="25" t="str">
        <f>VLOOKUP(N73,'BASE TARIFA 2025'!E:F,2,0)</f>
        <v>WOMPI NOROCCIDENTE</v>
      </c>
      <c r="P73" s="40">
        <f>VLOOKUP(M73,'BASE TARIFA 2025'!A:C,3,0)</f>
        <v>46451</v>
      </c>
      <c r="Q73" s="26" t="str">
        <f t="shared" si="2"/>
        <v>100%</v>
      </c>
      <c r="R73" s="41">
        <f t="shared" si="3"/>
        <v>92902</v>
      </c>
    </row>
    <row r="74" spans="1:18" ht="15" customHeight="1" x14ac:dyDescent="0.3">
      <c r="A74" s="25">
        <v>18703</v>
      </c>
      <c r="B74" s="25" t="s">
        <v>470</v>
      </c>
      <c r="C74" s="25" t="s">
        <v>63</v>
      </c>
      <c r="D74" s="25" t="s">
        <v>64</v>
      </c>
      <c r="E74" s="25">
        <v>11001</v>
      </c>
      <c r="F74" s="25" t="s">
        <v>549</v>
      </c>
      <c r="G74" s="25">
        <v>2</v>
      </c>
      <c r="H74" s="25" t="s">
        <v>181</v>
      </c>
      <c r="I74" s="25" t="s">
        <v>65</v>
      </c>
      <c r="J74" s="25" t="s">
        <v>66</v>
      </c>
      <c r="K74" s="38">
        <v>45986.436111111114</v>
      </c>
      <c r="L74" s="25" t="s">
        <v>67</v>
      </c>
      <c r="M74" s="25" t="str">
        <f>VLOOKUP(E74,[1]TIPOLOGIAS!$A:$G,5,0)</f>
        <v>PRINCIPAL</v>
      </c>
      <c r="N74" s="25" t="str">
        <f>VLOOKUP(E74,[1]TIPOLOGIAS!$A:$G,4,0)</f>
        <v>BOGOTA</v>
      </c>
      <c r="O74" s="25" t="str">
        <f>VLOOKUP(N74,'BASE TARIFA 2025'!E:F,2,0)</f>
        <v>WOMPI CENTRO</v>
      </c>
      <c r="P74" s="40">
        <f>VLOOKUP(M74,'BASE TARIFA 2025'!A:C,3,0)</f>
        <v>46451</v>
      </c>
      <c r="Q74" s="26" t="str">
        <f t="shared" si="2"/>
        <v>100%</v>
      </c>
      <c r="R74" s="41">
        <f t="shared" si="3"/>
        <v>92902</v>
      </c>
    </row>
    <row r="75" spans="1:18" ht="15" customHeight="1" x14ac:dyDescent="0.3">
      <c r="A75" s="25">
        <v>18796</v>
      </c>
      <c r="B75" s="25" t="s">
        <v>90</v>
      </c>
      <c r="C75" s="25" t="s">
        <v>90</v>
      </c>
      <c r="D75" s="25" t="s">
        <v>91</v>
      </c>
      <c r="E75" s="25">
        <v>5001</v>
      </c>
      <c r="F75" s="25" t="s">
        <v>550</v>
      </c>
      <c r="G75" s="25">
        <v>3</v>
      </c>
      <c r="H75" s="25" t="s">
        <v>182</v>
      </c>
      <c r="I75" s="25" t="s">
        <v>65</v>
      </c>
      <c r="J75" s="25" t="s">
        <v>66</v>
      </c>
      <c r="K75" s="38">
        <v>45982.424305555556</v>
      </c>
      <c r="L75" s="25" t="s">
        <v>67</v>
      </c>
      <c r="M75" s="25" t="str">
        <f>VLOOKUP(E75,[1]TIPOLOGIAS!$A:$G,5,0)</f>
        <v>PRINCIPAL</v>
      </c>
      <c r="N75" s="25" t="str">
        <f>VLOOKUP(E75,[1]TIPOLOGIAS!$A:$G,4,0)</f>
        <v>MEDELLIN</v>
      </c>
      <c r="O75" s="25" t="str">
        <f>VLOOKUP(N75,'BASE TARIFA 2025'!E:F,2,0)</f>
        <v>WOMPI NOROCCIDENTE</v>
      </c>
      <c r="P75" s="40">
        <f>VLOOKUP(M75,'BASE TARIFA 2025'!A:C,3,0)</f>
        <v>46451</v>
      </c>
      <c r="Q75" s="26" t="str">
        <f t="shared" si="2"/>
        <v>100%</v>
      </c>
      <c r="R75" s="41">
        <f t="shared" si="3"/>
        <v>139353</v>
      </c>
    </row>
    <row r="76" spans="1:18" ht="15" customHeight="1" x14ac:dyDescent="0.3">
      <c r="A76" s="25">
        <v>19300</v>
      </c>
      <c r="B76" s="25" t="s">
        <v>90</v>
      </c>
      <c r="C76" s="25" t="s">
        <v>90</v>
      </c>
      <c r="D76" s="25" t="s">
        <v>91</v>
      </c>
      <c r="E76" s="25">
        <v>5001</v>
      </c>
      <c r="F76" s="25" t="s">
        <v>551</v>
      </c>
      <c r="G76" s="25">
        <v>2</v>
      </c>
      <c r="H76" s="25" t="s">
        <v>183</v>
      </c>
      <c r="I76" s="25" t="s">
        <v>65</v>
      </c>
      <c r="J76" s="25" t="s">
        <v>66</v>
      </c>
      <c r="K76" s="38">
        <v>45981.45416666667</v>
      </c>
      <c r="L76" s="25" t="s">
        <v>67</v>
      </c>
      <c r="M76" s="25" t="str">
        <f>VLOOKUP(E76,[1]TIPOLOGIAS!$A:$G,5,0)</f>
        <v>PRINCIPAL</v>
      </c>
      <c r="N76" s="25" t="str">
        <f>VLOOKUP(E76,[1]TIPOLOGIAS!$A:$G,4,0)</f>
        <v>MEDELLIN</v>
      </c>
      <c r="O76" s="25" t="str">
        <f>VLOOKUP(N76,'BASE TARIFA 2025'!E:F,2,0)</f>
        <v>WOMPI NOROCCIDENTE</v>
      </c>
      <c r="P76" s="40">
        <f>VLOOKUP(M76,'BASE TARIFA 2025'!A:C,3,0)</f>
        <v>46451</v>
      </c>
      <c r="Q76" s="26" t="str">
        <f t="shared" si="2"/>
        <v>100%</v>
      </c>
      <c r="R76" s="41">
        <f t="shared" si="3"/>
        <v>92902</v>
      </c>
    </row>
    <row r="77" spans="1:18" ht="15" customHeight="1" x14ac:dyDescent="0.3">
      <c r="A77" s="25">
        <v>19435</v>
      </c>
      <c r="B77" s="25" t="s">
        <v>90</v>
      </c>
      <c r="C77" s="25" t="s">
        <v>90</v>
      </c>
      <c r="D77" s="25" t="s">
        <v>91</v>
      </c>
      <c r="E77" s="25">
        <v>5001</v>
      </c>
      <c r="F77" s="25" t="s">
        <v>552</v>
      </c>
      <c r="G77" s="25">
        <v>2</v>
      </c>
      <c r="H77" s="25" t="s">
        <v>184</v>
      </c>
      <c r="I77" s="25" t="s">
        <v>65</v>
      </c>
      <c r="J77" s="25" t="s">
        <v>66</v>
      </c>
      <c r="K77" s="38">
        <v>45986.53402777778</v>
      </c>
      <c r="L77" s="25" t="s">
        <v>67</v>
      </c>
      <c r="M77" s="25" t="str">
        <f>VLOOKUP(E77,[1]TIPOLOGIAS!$A:$G,5,0)</f>
        <v>PRINCIPAL</v>
      </c>
      <c r="N77" s="25" t="str">
        <f>VLOOKUP(E77,[1]TIPOLOGIAS!$A:$G,4,0)</f>
        <v>MEDELLIN</v>
      </c>
      <c r="O77" s="25" t="str">
        <f>VLOOKUP(N77,'BASE TARIFA 2025'!E:F,2,0)</f>
        <v>WOMPI NOROCCIDENTE</v>
      </c>
      <c r="P77" s="40">
        <f>VLOOKUP(M77,'BASE TARIFA 2025'!A:C,3,0)</f>
        <v>46451</v>
      </c>
      <c r="Q77" s="26" t="str">
        <f t="shared" si="2"/>
        <v>100%</v>
      </c>
      <c r="R77" s="41">
        <f t="shared" si="3"/>
        <v>92902</v>
      </c>
    </row>
    <row r="78" spans="1:18" ht="15" customHeight="1" x14ac:dyDescent="0.3">
      <c r="A78" s="25">
        <v>19841</v>
      </c>
      <c r="B78" s="25" t="s">
        <v>90</v>
      </c>
      <c r="C78" s="25" t="s">
        <v>90</v>
      </c>
      <c r="D78" s="25" t="s">
        <v>101</v>
      </c>
      <c r="E78" s="25">
        <v>5360</v>
      </c>
      <c r="F78" s="25" t="s">
        <v>553</v>
      </c>
      <c r="G78" s="25">
        <v>2</v>
      </c>
      <c r="H78" s="25" t="s">
        <v>185</v>
      </c>
      <c r="I78" s="25" t="s">
        <v>65</v>
      </c>
      <c r="J78" s="25" t="s">
        <v>66</v>
      </c>
      <c r="K78" s="38">
        <v>45980.677083333336</v>
      </c>
      <c r="L78" s="25" t="s">
        <v>67</v>
      </c>
      <c r="M78" s="25" t="str">
        <f>VLOOKUP(E78,[1]TIPOLOGIAS!$A:$G,5,0)</f>
        <v>PRINCIPAL</v>
      </c>
      <c r="N78" s="25" t="str">
        <f>VLOOKUP(E78,[1]TIPOLOGIAS!$A:$G,4,0)</f>
        <v>MEDELLIN</v>
      </c>
      <c r="O78" s="25" t="str">
        <f>VLOOKUP(N78,'BASE TARIFA 2025'!E:F,2,0)</f>
        <v>WOMPI NOROCCIDENTE</v>
      </c>
      <c r="P78" s="40">
        <f>VLOOKUP(M78,'BASE TARIFA 2025'!A:C,3,0)</f>
        <v>46451</v>
      </c>
      <c r="Q78" s="26" t="str">
        <f t="shared" si="2"/>
        <v>100%</v>
      </c>
      <c r="R78" s="41">
        <f t="shared" si="3"/>
        <v>92902</v>
      </c>
    </row>
    <row r="79" spans="1:18" ht="15" customHeight="1" x14ac:dyDescent="0.3">
      <c r="A79" s="25">
        <v>20561</v>
      </c>
      <c r="B79" s="25" t="s">
        <v>470</v>
      </c>
      <c r="C79" s="25" t="s">
        <v>63</v>
      </c>
      <c r="D79" s="25" t="s">
        <v>64</v>
      </c>
      <c r="E79" s="25">
        <v>11001</v>
      </c>
      <c r="F79" s="25" t="s">
        <v>554</v>
      </c>
      <c r="G79" s="25">
        <v>2</v>
      </c>
      <c r="H79" s="25" t="s">
        <v>186</v>
      </c>
      <c r="I79" s="25" t="s">
        <v>65</v>
      </c>
      <c r="J79" s="25" t="s">
        <v>66</v>
      </c>
      <c r="K79" s="38">
        <v>45985.526388888888</v>
      </c>
      <c r="L79" s="25" t="s">
        <v>67</v>
      </c>
      <c r="M79" s="25" t="str">
        <f>VLOOKUP(E79,[1]TIPOLOGIAS!$A:$G,5,0)</f>
        <v>PRINCIPAL</v>
      </c>
      <c r="N79" s="25" t="str">
        <f>VLOOKUP(E79,[1]TIPOLOGIAS!$A:$G,4,0)</f>
        <v>BOGOTA</v>
      </c>
      <c r="O79" s="25" t="str">
        <f>VLOOKUP(N79,'BASE TARIFA 2025'!E:F,2,0)</f>
        <v>WOMPI CENTRO</v>
      </c>
      <c r="P79" s="40">
        <f>VLOOKUP(M79,'BASE TARIFA 2025'!A:C,3,0)</f>
        <v>46451</v>
      </c>
      <c r="Q79" s="26" t="str">
        <f t="shared" si="2"/>
        <v>100%</v>
      </c>
      <c r="R79" s="41">
        <f t="shared" si="3"/>
        <v>92902</v>
      </c>
    </row>
    <row r="80" spans="1:18" ht="15" customHeight="1" x14ac:dyDescent="0.3">
      <c r="A80" s="25">
        <v>21685</v>
      </c>
      <c r="B80" s="25" t="s">
        <v>90</v>
      </c>
      <c r="C80" s="25" t="s">
        <v>90</v>
      </c>
      <c r="D80" s="25" t="s">
        <v>88</v>
      </c>
      <c r="E80" s="25">
        <v>5129</v>
      </c>
      <c r="F80" s="25" t="s">
        <v>555</v>
      </c>
      <c r="G80" s="25">
        <v>4</v>
      </c>
      <c r="H80" s="25" t="s">
        <v>187</v>
      </c>
      <c r="I80" s="25" t="s">
        <v>65</v>
      </c>
      <c r="J80" s="25" t="s">
        <v>66</v>
      </c>
      <c r="K80" s="38">
        <v>45981.416666666664</v>
      </c>
      <c r="L80" s="25" t="s">
        <v>67</v>
      </c>
      <c r="M80" s="25" t="str">
        <f>VLOOKUP(E80,[1]TIPOLOGIAS!$A:$G,5,0)</f>
        <v>PRINCIPAL</v>
      </c>
      <c r="N80" s="25" t="str">
        <f>VLOOKUP(E80,[1]TIPOLOGIAS!$A:$G,4,0)</f>
        <v>MEDELLIN</v>
      </c>
      <c r="O80" s="25" t="str">
        <f>VLOOKUP(N80,'BASE TARIFA 2025'!E:F,2,0)</f>
        <v>WOMPI NOROCCIDENTE</v>
      </c>
      <c r="P80" s="40">
        <f>VLOOKUP(M80,'BASE TARIFA 2025'!A:C,3,0)</f>
        <v>46451</v>
      </c>
      <c r="Q80" s="26" t="str">
        <f t="shared" si="2"/>
        <v>100%</v>
      </c>
      <c r="R80" s="41">
        <f t="shared" si="3"/>
        <v>185804</v>
      </c>
    </row>
    <row r="81" spans="1:18" ht="15" customHeight="1" x14ac:dyDescent="0.3">
      <c r="A81" s="25">
        <v>22590</v>
      </c>
      <c r="B81" s="25" t="s">
        <v>90</v>
      </c>
      <c r="C81" s="25" t="s">
        <v>90</v>
      </c>
      <c r="D81" s="25" t="s">
        <v>91</v>
      </c>
      <c r="E81" s="25">
        <v>5001</v>
      </c>
      <c r="F81" s="25" t="s">
        <v>556</v>
      </c>
      <c r="G81" s="25">
        <v>2</v>
      </c>
      <c r="H81" s="25" t="s">
        <v>188</v>
      </c>
      <c r="I81" s="25" t="s">
        <v>65</v>
      </c>
      <c r="J81" s="25" t="s">
        <v>66</v>
      </c>
      <c r="K81" s="38">
        <v>45983.53402777778</v>
      </c>
      <c r="L81" s="25" t="s">
        <v>67</v>
      </c>
      <c r="M81" s="25" t="str">
        <f>VLOOKUP(E81,[1]TIPOLOGIAS!$A:$G,5,0)</f>
        <v>PRINCIPAL</v>
      </c>
      <c r="N81" s="25" t="str">
        <f>VLOOKUP(E81,[1]TIPOLOGIAS!$A:$G,4,0)</f>
        <v>MEDELLIN</v>
      </c>
      <c r="O81" s="25" t="str">
        <f>VLOOKUP(N81,'BASE TARIFA 2025'!E:F,2,0)</f>
        <v>WOMPI NOROCCIDENTE</v>
      </c>
      <c r="P81" s="40">
        <f>VLOOKUP(M81,'BASE TARIFA 2025'!A:C,3,0)</f>
        <v>46451</v>
      </c>
      <c r="Q81" s="26" t="str">
        <f t="shared" si="2"/>
        <v>100%</v>
      </c>
      <c r="R81" s="41">
        <f t="shared" si="3"/>
        <v>92902</v>
      </c>
    </row>
    <row r="82" spans="1:18" ht="15" customHeight="1" x14ac:dyDescent="0.3">
      <c r="A82" s="25">
        <v>23606</v>
      </c>
      <c r="B82" s="25" t="s">
        <v>470</v>
      </c>
      <c r="C82" s="25" t="s">
        <v>63</v>
      </c>
      <c r="D82" s="25" t="s">
        <v>64</v>
      </c>
      <c r="E82" s="25">
        <v>11001</v>
      </c>
      <c r="F82" s="25" t="s">
        <v>557</v>
      </c>
      <c r="G82" s="25">
        <v>2</v>
      </c>
      <c r="H82" s="25" t="s">
        <v>189</v>
      </c>
      <c r="I82" s="25" t="s">
        <v>65</v>
      </c>
      <c r="J82" s="25" t="s">
        <v>66</v>
      </c>
      <c r="K82" s="38">
        <v>45986.572222222225</v>
      </c>
      <c r="L82" s="25" t="s">
        <v>67</v>
      </c>
      <c r="M82" s="25" t="str">
        <f>VLOOKUP(E82,[1]TIPOLOGIAS!$A:$G,5,0)</f>
        <v>PRINCIPAL</v>
      </c>
      <c r="N82" s="25" t="str">
        <f>VLOOKUP(E82,[1]TIPOLOGIAS!$A:$G,4,0)</f>
        <v>BOGOTA</v>
      </c>
      <c r="O82" s="25" t="str">
        <f>VLOOKUP(N82,'BASE TARIFA 2025'!E:F,2,0)</f>
        <v>WOMPI CENTRO</v>
      </c>
      <c r="P82" s="40">
        <f>VLOOKUP(M82,'BASE TARIFA 2025'!A:C,3,0)</f>
        <v>46451</v>
      </c>
      <c r="Q82" s="26" t="str">
        <f t="shared" si="2"/>
        <v>100%</v>
      </c>
      <c r="R82" s="41">
        <f t="shared" si="3"/>
        <v>92902</v>
      </c>
    </row>
    <row r="83" spans="1:18" ht="15" customHeight="1" x14ac:dyDescent="0.3">
      <c r="A83" s="25">
        <v>24739</v>
      </c>
      <c r="B83" s="25" t="s">
        <v>90</v>
      </c>
      <c r="C83" s="25" t="s">
        <v>90</v>
      </c>
      <c r="D83" s="25" t="s">
        <v>91</v>
      </c>
      <c r="E83" s="25">
        <v>5001</v>
      </c>
      <c r="F83" s="25" t="s">
        <v>558</v>
      </c>
      <c r="G83" s="25">
        <v>2</v>
      </c>
      <c r="H83" s="25" t="s">
        <v>190</v>
      </c>
      <c r="I83" s="25" t="s">
        <v>65</v>
      </c>
      <c r="J83" s="25" t="s">
        <v>66</v>
      </c>
      <c r="K83" s="38">
        <v>45981.445138888892</v>
      </c>
      <c r="L83" s="25" t="s">
        <v>67</v>
      </c>
      <c r="M83" s="25" t="str">
        <f>VLOOKUP(E83,[1]TIPOLOGIAS!$A:$G,5,0)</f>
        <v>PRINCIPAL</v>
      </c>
      <c r="N83" s="25" t="str">
        <f>VLOOKUP(E83,[1]TIPOLOGIAS!$A:$G,4,0)</f>
        <v>MEDELLIN</v>
      </c>
      <c r="O83" s="25" t="str">
        <f>VLOOKUP(N83,'BASE TARIFA 2025'!E:F,2,0)</f>
        <v>WOMPI NOROCCIDENTE</v>
      </c>
      <c r="P83" s="40">
        <f>VLOOKUP(M83,'BASE TARIFA 2025'!A:C,3,0)</f>
        <v>46451</v>
      </c>
      <c r="Q83" s="26" t="str">
        <f t="shared" si="2"/>
        <v>100%</v>
      </c>
      <c r="R83" s="41">
        <f t="shared" si="3"/>
        <v>92902</v>
      </c>
    </row>
    <row r="84" spans="1:18" ht="15" customHeight="1" x14ac:dyDescent="0.3">
      <c r="A84" s="25">
        <v>25017</v>
      </c>
      <c r="B84" s="25" t="s">
        <v>470</v>
      </c>
      <c r="C84" s="25" t="s">
        <v>63</v>
      </c>
      <c r="D84" s="25" t="s">
        <v>64</v>
      </c>
      <c r="E84" s="25">
        <v>11001</v>
      </c>
      <c r="F84" s="25" t="s">
        <v>559</v>
      </c>
      <c r="G84" s="25">
        <v>2</v>
      </c>
      <c r="H84" s="25" t="s">
        <v>191</v>
      </c>
      <c r="I84" s="25" t="s">
        <v>65</v>
      </c>
      <c r="J84" s="25" t="s">
        <v>66</v>
      </c>
      <c r="K84" s="38">
        <v>45985.513888888891</v>
      </c>
      <c r="L84" s="25" t="s">
        <v>67</v>
      </c>
      <c r="M84" s="25" t="str">
        <f>VLOOKUP(E84,[1]TIPOLOGIAS!$A:$G,5,0)</f>
        <v>PRINCIPAL</v>
      </c>
      <c r="N84" s="25" t="str">
        <f>VLOOKUP(E84,[1]TIPOLOGIAS!$A:$G,4,0)</f>
        <v>BOGOTA</v>
      </c>
      <c r="O84" s="25" t="str">
        <f>VLOOKUP(N84,'BASE TARIFA 2025'!E:F,2,0)</f>
        <v>WOMPI CENTRO</v>
      </c>
      <c r="P84" s="40">
        <f>VLOOKUP(M84,'BASE TARIFA 2025'!A:C,3,0)</f>
        <v>46451</v>
      </c>
      <c r="Q84" s="26" t="str">
        <f t="shared" si="2"/>
        <v>100%</v>
      </c>
      <c r="R84" s="41">
        <f t="shared" si="3"/>
        <v>92902</v>
      </c>
    </row>
    <row r="85" spans="1:18" ht="15" customHeight="1" x14ac:dyDescent="0.3">
      <c r="A85" s="25">
        <v>25489</v>
      </c>
      <c r="B85" s="25" t="s">
        <v>470</v>
      </c>
      <c r="C85" s="25" t="s">
        <v>63</v>
      </c>
      <c r="D85" s="25" t="s">
        <v>64</v>
      </c>
      <c r="E85" s="25">
        <v>11001</v>
      </c>
      <c r="F85" s="25" t="s">
        <v>560</v>
      </c>
      <c r="G85" s="25">
        <v>2</v>
      </c>
      <c r="H85" s="25" t="s">
        <v>192</v>
      </c>
      <c r="I85" s="25" t="s">
        <v>65</v>
      </c>
      <c r="J85" s="25" t="s">
        <v>66</v>
      </c>
      <c r="K85" s="38">
        <v>45987.511805555558</v>
      </c>
      <c r="L85" s="25" t="s">
        <v>67</v>
      </c>
      <c r="M85" s="25" t="str">
        <f>VLOOKUP(E85,[1]TIPOLOGIAS!$A:$G,5,0)</f>
        <v>PRINCIPAL</v>
      </c>
      <c r="N85" s="25" t="str">
        <f>VLOOKUP(E85,[1]TIPOLOGIAS!$A:$G,4,0)</f>
        <v>BOGOTA</v>
      </c>
      <c r="O85" s="25" t="str">
        <f>VLOOKUP(N85,'BASE TARIFA 2025'!E:F,2,0)</f>
        <v>WOMPI CENTRO</v>
      </c>
      <c r="P85" s="40">
        <f>VLOOKUP(M85,'BASE TARIFA 2025'!A:C,3,0)</f>
        <v>46451</v>
      </c>
      <c r="Q85" s="26" t="str">
        <f t="shared" si="2"/>
        <v>100%</v>
      </c>
      <c r="R85" s="41">
        <f t="shared" si="3"/>
        <v>92902</v>
      </c>
    </row>
    <row r="86" spans="1:18" ht="15" customHeight="1" x14ac:dyDescent="0.3">
      <c r="A86" s="25">
        <v>25528</v>
      </c>
      <c r="B86" s="25" t="s">
        <v>470</v>
      </c>
      <c r="C86" s="25" t="s">
        <v>63</v>
      </c>
      <c r="D86" s="25" t="s">
        <v>64</v>
      </c>
      <c r="E86" s="25">
        <v>11001</v>
      </c>
      <c r="F86" s="25" t="s">
        <v>561</v>
      </c>
      <c r="G86" s="25">
        <v>2</v>
      </c>
      <c r="H86" s="25" t="s">
        <v>193</v>
      </c>
      <c r="I86" s="25" t="s">
        <v>65</v>
      </c>
      <c r="J86" s="25" t="s">
        <v>66</v>
      </c>
      <c r="K86" s="38">
        <v>45985.536111111112</v>
      </c>
      <c r="L86" s="25" t="s">
        <v>67</v>
      </c>
      <c r="M86" s="25" t="str">
        <f>VLOOKUP(E86,[1]TIPOLOGIAS!$A:$G,5,0)</f>
        <v>PRINCIPAL</v>
      </c>
      <c r="N86" s="25" t="str">
        <f>VLOOKUP(E86,[1]TIPOLOGIAS!$A:$G,4,0)</f>
        <v>BOGOTA</v>
      </c>
      <c r="O86" s="25" t="str">
        <f>VLOOKUP(N86,'BASE TARIFA 2025'!E:F,2,0)</f>
        <v>WOMPI CENTRO</v>
      </c>
      <c r="P86" s="40">
        <f>VLOOKUP(M86,'BASE TARIFA 2025'!A:C,3,0)</f>
        <v>46451</v>
      </c>
      <c r="Q86" s="26" t="str">
        <f t="shared" si="2"/>
        <v>100%</v>
      </c>
      <c r="R86" s="41">
        <f t="shared" si="3"/>
        <v>92902</v>
      </c>
    </row>
    <row r="87" spans="1:18" ht="15" customHeight="1" x14ac:dyDescent="0.3">
      <c r="A87" s="25">
        <v>25911</v>
      </c>
      <c r="B87" s="25" t="s">
        <v>470</v>
      </c>
      <c r="C87" s="25" t="s">
        <v>63</v>
      </c>
      <c r="D87" s="25" t="s">
        <v>64</v>
      </c>
      <c r="E87" s="25">
        <v>11001</v>
      </c>
      <c r="F87" s="25" t="s">
        <v>562</v>
      </c>
      <c r="G87" s="25">
        <v>3</v>
      </c>
      <c r="H87" s="25" t="s">
        <v>194</v>
      </c>
      <c r="I87" s="25" t="s">
        <v>65</v>
      </c>
      <c r="J87" s="25" t="s">
        <v>66</v>
      </c>
      <c r="K87" s="38">
        <v>45985.570138888892</v>
      </c>
      <c r="L87" s="25" t="s">
        <v>67</v>
      </c>
      <c r="M87" s="25" t="str">
        <f>VLOOKUP(E87,[1]TIPOLOGIAS!$A:$G,5,0)</f>
        <v>PRINCIPAL</v>
      </c>
      <c r="N87" s="25" t="str">
        <f>VLOOKUP(E87,[1]TIPOLOGIAS!$A:$G,4,0)</f>
        <v>BOGOTA</v>
      </c>
      <c r="O87" s="25" t="str">
        <f>VLOOKUP(N87,'BASE TARIFA 2025'!E:F,2,0)</f>
        <v>WOMPI CENTRO</v>
      </c>
      <c r="P87" s="40">
        <f>VLOOKUP(M87,'BASE TARIFA 2025'!A:C,3,0)</f>
        <v>46451</v>
      </c>
      <c r="Q87" s="26" t="str">
        <f t="shared" si="2"/>
        <v>100%</v>
      </c>
      <c r="R87" s="41">
        <f t="shared" si="3"/>
        <v>139353</v>
      </c>
    </row>
    <row r="88" spans="1:18" ht="15" customHeight="1" x14ac:dyDescent="0.3">
      <c r="A88" s="25">
        <v>26320</v>
      </c>
      <c r="B88" s="25" t="s">
        <v>90</v>
      </c>
      <c r="C88" s="25" t="s">
        <v>90</v>
      </c>
      <c r="D88" s="25" t="s">
        <v>91</v>
      </c>
      <c r="E88" s="25">
        <v>5001</v>
      </c>
      <c r="F88" s="25" t="s">
        <v>563</v>
      </c>
      <c r="G88" s="25">
        <v>2</v>
      </c>
      <c r="H88" s="25" t="s">
        <v>195</v>
      </c>
      <c r="I88" s="25" t="s">
        <v>65</v>
      </c>
      <c r="J88" s="25" t="s">
        <v>66</v>
      </c>
      <c r="K88" s="38">
        <v>45982.75277777778</v>
      </c>
      <c r="L88" s="25" t="s">
        <v>67</v>
      </c>
      <c r="M88" s="25" t="str">
        <f>VLOOKUP(E88,[1]TIPOLOGIAS!$A:$G,5,0)</f>
        <v>PRINCIPAL</v>
      </c>
      <c r="N88" s="25" t="str">
        <f>VLOOKUP(E88,[1]TIPOLOGIAS!$A:$G,4,0)</f>
        <v>MEDELLIN</v>
      </c>
      <c r="O88" s="25" t="str">
        <f>VLOOKUP(N88,'BASE TARIFA 2025'!E:F,2,0)</f>
        <v>WOMPI NOROCCIDENTE</v>
      </c>
      <c r="P88" s="40">
        <f>VLOOKUP(M88,'BASE TARIFA 2025'!A:C,3,0)</f>
        <v>46451</v>
      </c>
      <c r="Q88" s="26" t="str">
        <f t="shared" si="2"/>
        <v>100%</v>
      </c>
      <c r="R88" s="41">
        <f t="shared" si="3"/>
        <v>92902</v>
      </c>
    </row>
    <row r="89" spans="1:18" ht="15" customHeight="1" x14ac:dyDescent="0.3">
      <c r="A89" s="25">
        <v>26503</v>
      </c>
      <c r="B89" s="25" t="s">
        <v>470</v>
      </c>
      <c r="C89" s="25" t="s">
        <v>63</v>
      </c>
      <c r="D89" s="25" t="s">
        <v>64</v>
      </c>
      <c r="E89" s="25">
        <v>11001</v>
      </c>
      <c r="F89" s="25" t="s">
        <v>564</v>
      </c>
      <c r="G89" s="25">
        <v>2</v>
      </c>
      <c r="H89" s="25" t="s">
        <v>196</v>
      </c>
      <c r="I89" s="25" t="s">
        <v>65</v>
      </c>
      <c r="J89" s="25" t="s">
        <v>66</v>
      </c>
      <c r="K89" s="38">
        <v>45986.62777777778</v>
      </c>
      <c r="L89" s="25" t="s">
        <v>67</v>
      </c>
      <c r="M89" s="25" t="str">
        <f>VLOOKUP(E89,[1]TIPOLOGIAS!$A:$G,5,0)</f>
        <v>PRINCIPAL</v>
      </c>
      <c r="N89" s="25" t="str">
        <f>VLOOKUP(E89,[1]TIPOLOGIAS!$A:$G,4,0)</f>
        <v>BOGOTA</v>
      </c>
      <c r="O89" s="25" t="str">
        <f>VLOOKUP(N89,'BASE TARIFA 2025'!E:F,2,0)</f>
        <v>WOMPI CENTRO</v>
      </c>
      <c r="P89" s="40">
        <f>VLOOKUP(M89,'BASE TARIFA 2025'!A:C,3,0)</f>
        <v>46451</v>
      </c>
      <c r="Q89" s="26" t="str">
        <f t="shared" si="2"/>
        <v>100%</v>
      </c>
      <c r="R89" s="41">
        <f t="shared" si="3"/>
        <v>92902</v>
      </c>
    </row>
    <row r="90" spans="1:18" ht="15" customHeight="1" x14ac:dyDescent="0.3">
      <c r="A90" s="25">
        <v>26677</v>
      </c>
      <c r="B90" s="25" t="s">
        <v>90</v>
      </c>
      <c r="C90" s="25" t="s">
        <v>90</v>
      </c>
      <c r="D90" s="25" t="s">
        <v>91</v>
      </c>
      <c r="E90" s="25">
        <v>5001</v>
      </c>
      <c r="F90" s="25" t="s">
        <v>565</v>
      </c>
      <c r="G90" s="25">
        <v>2</v>
      </c>
      <c r="H90" s="25" t="s">
        <v>197</v>
      </c>
      <c r="I90" s="25" t="s">
        <v>65</v>
      </c>
      <c r="J90" s="25" t="s">
        <v>66</v>
      </c>
      <c r="K90" s="38">
        <v>45982.666666666664</v>
      </c>
      <c r="L90" s="25" t="s">
        <v>67</v>
      </c>
      <c r="M90" s="25" t="str">
        <f>VLOOKUP(E90,[1]TIPOLOGIAS!$A:$G,5,0)</f>
        <v>PRINCIPAL</v>
      </c>
      <c r="N90" s="25" t="str">
        <f>VLOOKUP(E90,[1]TIPOLOGIAS!$A:$G,4,0)</f>
        <v>MEDELLIN</v>
      </c>
      <c r="O90" s="25" t="str">
        <f>VLOOKUP(N90,'BASE TARIFA 2025'!E:F,2,0)</f>
        <v>WOMPI NOROCCIDENTE</v>
      </c>
      <c r="P90" s="40">
        <f>VLOOKUP(M90,'BASE TARIFA 2025'!A:C,3,0)</f>
        <v>46451</v>
      </c>
      <c r="Q90" s="26" t="str">
        <f t="shared" si="2"/>
        <v>100%</v>
      </c>
      <c r="R90" s="41">
        <f t="shared" si="3"/>
        <v>92902</v>
      </c>
    </row>
    <row r="91" spans="1:18" ht="15" customHeight="1" x14ac:dyDescent="0.3">
      <c r="A91" s="25">
        <v>26753</v>
      </c>
      <c r="B91" s="25" t="s">
        <v>481</v>
      </c>
      <c r="C91" s="25" t="s">
        <v>85</v>
      </c>
      <c r="D91" s="25" t="s">
        <v>22</v>
      </c>
      <c r="E91" s="25">
        <v>66001</v>
      </c>
      <c r="F91" s="25" t="s">
        <v>566</v>
      </c>
      <c r="G91" s="25">
        <v>2</v>
      </c>
      <c r="H91" s="25" t="s">
        <v>198</v>
      </c>
      <c r="I91" s="25" t="s">
        <v>65</v>
      </c>
      <c r="J91" s="25" t="s">
        <v>66</v>
      </c>
      <c r="K91" s="38">
        <v>45985.486111111109</v>
      </c>
      <c r="L91" s="25" t="s">
        <v>67</v>
      </c>
      <c r="M91" s="25" t="str">
        <f>VLOOKUP(E91,[1]TIPOLOGIAS!$A:$G,5,0)</f>
        <v>PRINCIPAL</v>
      </c>
      <c r="N91" s="25" t="str">
        <f>VLOOKUP(E91,[1]TIPOLOGIAS!$A:$G,4,0)</f>
        <v>PEREIRA</v>
      </c>
      <c r="O91" s="25" t="str">
        <f>VLOOKUP(N91,'BASE TARIFA 2025'!E:F,2,0)</f>
        <v>WOMPI EJE CAFETERO</v>
      </c>
      <c r="P91" s="40">
        <f>VLOOKUP(M91,'BASE TARIFA 2025'!A:C,3,0)</f>
        <v>46451</v>
      </c>
      <c r="Q91" s="26" t="str">
        <f t="shared" si="2"/>
        <v>100%</v>
      </c>
      <c r="R91" s="41">
        <f t="shared" si="3"/>
        <v>92902</v>
      </c>
    </row>
    <row r="92" spans="1:18" ht="15" customHeight="1" x14ac:dyDescent="0.3">
      <c r="A92" s="25">
        <v>27009</v>
      </c>
      <c r="B92" s="25" t="s">
        <v>90</v>
      </c>
      <c r="C92" s="25" t="s">
        <v>90</v>
      </c>
      <c r="D92" s="25" t="s">
        <v>91</v>
      </c>
      <c r="E92" s="25">
        <v>5001</v>
      </c>
      <c r="F92" s="25" t="s">
        <v>567</v>
      </c>
      <c r="G92" s="25">
        <v>2</v>
      </c>
      <c r="H92" s="25" t="s">
        <v>199</v>
      </c>
      <c r="I92" s="25" t="s">
        <v>65</v>
      </c>
      <c r="J92" s="25" t="s">
        <v>66</v>
      </c>
      <c r="K92" s="38">
        <v>45982.400000000001</v>
      </c>
      <c r="L92" s="25" t="s">
        <v>67</v>
      </c>
      <c r="M92" s="25" t="str">
        <f>VLOOKUP(E92,[1]TIPOLOGIAS!$A:$G,5,0)</f>
        <v>PRINCIPAL</v>
      </c>
      <c r="N92" s="25" t="str">
        <f>VLOOKUP(E92,[1]TIPOLOGIAS!$A:$G,4,0)</f>
        <v>MEDELLIN</v>
      </c>
      <c r="O92" s="25" t="str">
        <f>VLOOKUP(N92,'BASE TARIFA 2025'!E:F,2,0)</f>
        <v>WOMPI NOROCCIDENTE</v>
      </c>
      <c r="P92" s="40">
        <f>VLOOKUP(M92,'BASE TARIFA 2025'!A:C,3,0)</f>
        <v>46451</v>
      </c>
      <c r="Q92" s="26" t="str">
        <f t="shared" si="2"/>
        <v>100%</v>
      </c>
      <c r="R92" s="41">
        <f t="shared" si="3"/>
        <v>92902</v>
      </c>
    </row>
    <row r="93" spans="1:18" ht="15" customHeight="1" x14ac:dyDescent="0.3">
      <c r="A93" s="25">
        <v>27120</v>
      </c>
      <c r="B93" s="25" t="s">
        <v>90</v>
      </c>
      <c r="C93" s="25" t="s">
        <v>90</v>
      </c>
      <c r="D93" s="25" t="s">
        <v>547</v>
      </c>
      <c r="E93" s="25">
        <v>5308</v>
      </c>
      <c r="F93" s="25" t="s">
        <v>568</v>
      </c>
      <c r="G93" s="25">
        <v>3</v>
      </c>
      <c r="H93" s="25" t="s">
        <v>200</v>
      </c>
      <c r="I93" s="25" t="s">
        <v>65</v>
      </c>
      <c r="J93" s="25" t="s">
        <v>66</v>
      </c>
      <c r="K93" s="38">
        <v>45980.649305555555</v>
      </c>
      <c r="L93" s="25" t="s">
        <v>67</v>
      </c>
      <c r="M93" s="25" t="str">
        <f>VLOOKUP(E93,[1]TIPOLOGIAS!$A:$G,5,0)</f>
        <v>PRINCIPAL</v>
      </c>
      <c r="N93" s="25" t="str">
        <f>VLOOKUP(E93,[1]TIPOLOGIAS!$A:$G,4,0)</f>
        <v>MEDELLIN</v>
      </c>
      <c r="O93" s="25" t="str">
        <f>VLOOKUP(N93,'BASE TARIFA 2025'!E:F,2,0)</f>
        <v>WOMPI NOROCCIDENTE</v>
      </c>
      <c r="P93" s="40">
        <f>VLOOKUP(M93,'BASE TARIFA 2025'!A:C,3,0)</f>
        <v>46451</v>
      </c>
      <c r="Q93" s="26" t="str">
        <f t="shared" si="2"/>
        <v>100%</v>
      </c>
      <c r="R93" s="41">
        <f t="shared" si="3"/>
        <v>139353</v>
      </c>
    </row>
    <row r="94" spans="1:18" ht="15" customHeight="1" x14ac:dyDescent="0.3">
      <c r="A94" s="25">
        <v>27412</v>
      </c>
      <c r="B94" s="25" t="s">
        <v>90</v>
      </c>
      <c r="C94" s="25" t="s">
        <v>90</v>
      </c>
      <c r="D94" s="25" t="s">
        <v>91</v>
      </c>
      <c r="E94" s="25">
        <v>5001</v>
      </c>
      <c r="F94" s="25" t="s">
        <v>569</v>
      </c>
      <c r="G94" s="25">
        <v>2</v>
      </c>
      <c r="H94" s="25" t="s">
        <v>201</v>
      </c>
      <c r="I94" s="25" t="s">
        <v>65</v>
      </c>
      <c r="J94" s="25" t="s">
        <v>66</v>
      </c>
      <c r="K94" s="38">
        <v>45981.643055555556</v>
      </c>
      <c r="L94" s="25" t="s">
        <v>67</v>
      </c>
      <c r="M94" s="25" t="str">
        <f>VLOOKUP(E94,[1]TIPOLOGIAS!$A:$G,5,0)</f>
        <v>PRINCIPAL</v>
      </c>
      <c r="N94" s="25" t="str">
        <f>VLOOKUP(E94,[1]TIPOLOGIAS!$A:$G,4,0)</f>
        <v>MEDELLIN</v>
      </c>
      <c r="O94" s="25" t="str">
        <f>VLOOKUP(N94,'BASE TARIFA 2025'!E:F,2,0)</f>
        <v>WOMPI NOROCCIDENTE</v>
      </c>
      <c r="P94" s="40">
        <f>VLOOKUP(M94,'BASE TARIFA 2025'!A:C,3,0)</f>
        <v>46451</v>
      </c>
      <c r="Q94" s="26" t="str">
        <f t="shared" si="2"/>
        <v>100%</v>
      </c>
      <c r="R94" s="41">
        <f t="shared" si="3"/>
        <v>92902</v>
      </c>
    </row>
    <row r="95" spans="1:18" ht="15" customHeight="1" x14ac:dyDescent="0.3">
      <c r="A95" s="25">
        <v>27564</v>
      </c>
      <c r="B95" s="25" t="s">
        <v>90</v>
      </c>
      <c r="C95" s="25" t="s">
        <v>90</v>
      </c>
      <c r="D95" s="25" t="s">
        <v>100</v>
      </c>
      <c r="E95" s="25">
        <v>5266</v>
      </c>
      <c r="F95" s="25" t="s">
        <v>570</v>
      </c>
      <c r="G95" s="25">
        <v>2</v>
      </c>
      <c r="H95" s="25" t="s">
        <v>202</v>
      </c>
      <c r="I95" s="25" t="s">
        <v>65</v>
      </c>
      <c r="J95" s="25" t="s">
        <v>66</v>
      </c>
      <c r="K95" s="38">
        <v>45981.590277777781</v>
      </c>
      <c r="L95" s="25" t="s">
        <v>67</v>
      </c>
      <c r="M95" s="25" t="str">
        <f>VLOOKUP(E95,[1]TIPOLOGIAS!$A:$G,5,0)</f>
        <v>PRINCIPAL</v>
      </c>
      <c r="N95" s="25" t="str">
        <f>VLOOKUP(E95,[1]TIPOLOGIAS!$A:$G,4,0)</f>
        <v>MEDELLIN</v>
      </c>
      <c r="O95" s="25" t="str">
        <f>VLOOKUP(N95,'BASE TARIFA 2025'!E:F,2,0)</f>
        <v>WOMPI NOROCCIDENTE</v>
      </c>
      <c r="P95" s="40">
        <f>VLOOKUP(M95,'BASE TARIFA 2025'!A:C,3,0)</f>
        <v>46451</v>
      </c>
      <c r="Q95" s="26" t="str">
        <f t="shared" si="2"/>
        <v>100%</v>
      </c>
      <c r="R95" s="41">
        <f t="shared" si="3"/>
        <v>92902</v>
      </c>
    </row>
    <row r="96" spans="1:18" ht="15" customHeight="1" x14ac:dyDescent="0.3">
      <c r="A96" s="25">
        <v>27601</v>
      </c>
      <c r="B96" s="25" t="s">
        <v>470</v>
      </c>
      <c r="C96" s="25" t="s">
        <v>63</v>
      </c>
      <c r="D96" s="25" t="s">
        <v>64</v>
      </c>
      <c r="E96" s="25">
        <v>11001</v>
      </c>
      <c r="F96" s="25" t="s">
        <v>571</v>
      </c>
      <c r="G96" s="25">
        <v>2</v>
      </c>
      <c r="H96" s="25" t="s">
        <v>203</v>
      </c>
      <c r="I96" s="25" t="s">
        <v>65</v>
      </c>
      <c r="J96" s="25" t="s">
        <v>66</v>
      </c>
      <c r="K96" s="38">
        <v>45987.479861111111</v>
      </c>
      <c r="L96" s="25" t="s">
        <v>67</v>
      </c>
      <c r="M96" s="25" t="str">
        <f>VLOOKUP(E96,[1]TIPOLOGIAS!$A:$G,5,0)</f>
        <v>PRINCIPAL</v>
      </c>
      <c r="N96" s="25" t="str">
        <f>VLOOKUP(E96,[1]TIPOLOGIAS!$A:$G,4,0)</f>
        <v>BOGOTA</v>
      </c>
      <c r="O96" s="25" t="str">
        <f>VLOOKUP(N96,'BASE TARIFA 2025'!E:F,2,0)</f>
        <v>WOMPI CENTRO</v>
      </c>
      <c r="P96" s="40">
        <f>VLOOKUP(M96,'BASE TARIFA 2025'!A:C,3,0)</f>
        <v>46451</v>
      </c>
      <c r="Q96" s="26" t="str">
        <f t="shared" si="2"/>
        <v>100%</v>
      </c>
      <c r="R96" s="41">
        <f t="shared" si="3"/>
        <v>92902</v>
      </c>
    </row>
    <row r="97" spans="1:18" ht="15" customHeight="1" x14ac:dyDescent="0.3">
      <c r="A97" s="25">
        <v>27653</v>
      </c>
      <c r="B97" s="25" t="s">
        <v>470</v>
      </c>
      <c r="C97" s="25" t="s">
        <v>63</v>
      </c>
      <c r="D97" s="25" t="s">
        <v>64</v>
      </c>
      <c r="E97" s="25">
        <v>11001</v>
      </c>
      <c r="F97" s="25" t="s">
        <v>572</v>
      </c>
      <c r="G97" s="25">
        <v>2</v>
      </c>
      <c r="H97" s="25" t="s">
        <v>204</v>
      </c>
      <c r="I97" s="25" t="s">
        <v>65</v>
      </c>
      <c r="J97" s="25" t="s">
        <v>66</v>
      </c>
      <c r="K97" s="38">
        <v>45987.46597222222</v>
      </c>
      <c r="L97" s="25" t="s">
        <v>67</v>
      </c>
      <c r="M97" s="25" t="str">
        <f>VLOOKUP(E97,[1]TIPOLOGIAS!$A:$G,5,0)</f>
        <v>PRINCIPAL</v>
      </c>
      <c r="N97" s="25" t="str">
        <f>VLOOKUP(E97,[1]TIPOLOGIAS!$A:$G,4,0)</f>
        <v>BOGOTA</v>
      </c>
      <c r="O97" s="25" t="str">
        <f>VLOOKUP(N97,'BASE TARIFA 2025'!E:F,2,0)</f>
        <v>WOMPI CENTRO</v>
      </c>
      <c r="P97" s="40">
        <f>VLOOKUP(M97,'BASE TARIFA 2025'!A:C,3,0)</f>
        <v>46451</v>
      </c>
      <c r="Q97" s="26" t="str">
        <f t="shared" si="2"/>
        <v>100%</v>
      </c>
      <c r="R97" s="41">
        <f t="shared" si="3"/>
        <v>92902</v>
      </c>
    </row>
    <row r="98" spans="1:18" ht="15" customHeight="1" x14ac:dyDescent="0.3">
      <c r="A98" s="25">
        <v>27869</v>
      </c>
      <c r="B98" s="25" t="s">
        <v>90</v>
      </c>
      <c r="C98" s="25" t="s">
        <v>90</v>
      </c>
      <c r="D98" s="25" t="s">
        <v>92</v>
      </c>
      <c r="E98" s="25">
        <v>5088</v>
      </c>
      <c r="F98" s="25" t="s">
        <v>573</v>
      </c>
      <c r="G98" s="25">
        <v>3</v>
      </c>
      <c r="H98" s="25" t="s">
        <v>205</v>
      </c>
      <c r="I98" s="25" t="s">
        <v>65</v>
      </c>
      <c r="J98" s="25" t="s">
        <v>66</v>
      </c>
      <c r="K98" s="38">
        <v>45985.620833333334</v>
      </c>
      <c r="L98" s="25" t="s">
        <v>67</v>
      </c>
      <c r="M98" s="25" t="str">
        <f>VLOOKUP(E98,[1]TIPOLOGIAS!$A:$G,5,0)</f>
        <v>PRINCIPAL</v>
      </c>
      <c r="N98" s="25" t="str">
        <f>VLOOKUP(E98,[1]TIPOLOGIAS!$A:$G,4,0)</f>
        <v>MEDELLIN</v>
      </c>
      <c r="O98" s="25" t="str">
        <f>VLOOKUP(N98,'BASE TARIFA 2025'!E:F,2,0)</f>
        <v>WOMPI NOROCCIDENTE</v>
      </c>
      <c r="P98" s="40">
        <f>VLOOKUP(M98,'BASE TARIFA 2025'!A:C,3,0)</f>
        <v>46451</v>
      </c>
      <c r="Q98" s="26" t="str">
        <f t="shared" si="2"/>
        <v>100%</v>
      </c>
      <c r="R98" s="41">
        <f t="shared" si="3"/>
        <v>139353</v>
      </c>
    </row>
    <row r="99" spans="1:18" ht="15" customHeight="1" x14ac:dyDescent="0.3">
      <c r="A99" s="25">
        <v>27980</v>
      </c>
      <c r="B99" s="25" t="s">
        <v>90</v>
      </c>
      <c r="C99" s="25" t="s">
        <v>90</v>
      </c>
      <c r="D99" s="25" t="s">
        <v>91</v>
      </c>
      <c r="E99" s="25">
        <v>5001</v>
      </c>
      <c r="F99" s="25" t="s">
        <v>574</v>
      </c>
      <c r="G99" s="25">
        <v>3</v>
      </c>
      <c r="H99" s="25" t="s">
        <v>206</v>
      </c>
      <c r="I99" s="25" t="s">
        <v>65</v>
      </c>
      <c r="J99" s="25" t="s">
        <v>66</v>
      </c>
      <c r="K99" s="38">
        <v>45982.484027777777</v>
      </c>
      <c r="L99" s="25" t="s">
        <v>67</v>
      </c>
      <c r="M99" s="25" t="str">
        <f>VLOOKUP(E99,[1]TIPOLOGIAS!$A:$G,5,0)</f>
        <v>PRINCIPAL</v>
      </c>
      <c r="N99" s="25" t="str">
        <f>VLOOKUP(E99,[1]TIPOLOGIAS!$A:$G,4,0)</f>
        <v>MEDELLIN</v>
      </c>
      <c r="O99" s="25" t="str">
        <f>VLOOKUP(N99,'BASE TARIFA 2025'!E:F,2,0)</f>
        <v>WOMPI NOROCCIDENTE</v>
      </c>
      <c r="P99" s="40">
        <f>VLOOKUP(M99,'BASE TARIFA 2025'!A:C,3,0)</f>
        <v>46451</v>
      </c>
      <c r="Q99" s="26" t="str">
        <f t="shared" si="2"/>
        <v>100%</v>
      </c>
      <c r="R99" s="41">
        <f t="shared" si="3"/>
        <v>139353</v>
      </c>
    </row>
    <row r="100" spans="1:18" ht="15" customHeight="1" x14ac:dyDescent="0.3">
      <c r="A100" s="25">
        <v>27982</v>
      </c>
      <c r="B100" s="25" t="s">
        <v>90</v>
      </c>
      <c r="C100" s="25" t="s">
        <v>90</v>
      </c>
      <c r="D100" s="25" t="s">
        <v>91</v>
      </c>
      <c r="E100" s="25">
        <v>5001</v>
      </c>
      <c r="F100" s="25" t="s">
        <v>575</v>
      </c>
      <c r="G100" s="25">
        <v>2</v>
      </c>
      <c r="H100" s="25" t="s">
        <v>207</v>
      </c>
      <c r="I100" s="25" t="s">
        <v>65</v>
      </c>
      <c r="J100" s="25" t="s">
        <v>66</v>
      </c>
      <c r="K100" s="38">
        <v>45985.48541666667</v>
      </c>
      <c r="L100" s="25" t="s">
        <v>67</v>
      </c>
      <c r="M100" s="25" t="str">
        <f>VLOOKUP(E100,[1]TIPOLOGIAS!$A:$G,5,0)</f>
        <v>PRINCIPAL</v>
      </c>
      <c r="N100" s="25" t="str">
        <f>VLOOKUP(E100,[1]TIPOLOGIAS!$A:$G,4,0)</f>
        <v>MEDELLIN</v>
      </c>
      <c r="O100" s="25" t="str">
        <f>VLOOKUP(N100,'BASE TARIFA 2025'!E:F,2,0)</f>
        <v>WOMPI NOROCCIDENTE</v>
      </c>
      <c r="P100" s="40">
        <f>VLOOKUP(M100,'BASE TARIFA 2025'!A:C,3,0)</f>
        <v>46451</v>
      </c>
      <c r="Q100" s="26" t="str">
        <f t="shared" si="2"/>
        <v>100%</v>
      </c>
      <c r="R100" s="41">
        <f t="shared" si="3"/>
        <v>92902</v>
      </c>
    </row>
    <row r="101" spans="1:18" ht="15" customHeight="1" x14ac:dyDescent="0.3">
      <c r="A101" s="25">
        <v>28572</v>
      </c>
      <c r="B101" s="25" t="s">
        <v>470</v>
      </c>
      <c r="C101" s="25" t="s">
        <v>63</v>
      </c>
      <c r="D101" s="25" t="s">
        <v>64</v>
      </c>
      <c r="E101" s="25">
        <v>11001</v>
      </c>
      <c r="F101" s="25" t="s">
        <v>576</v>
      </c>
      <c r="G101" s="25">
        <v>3</v>
      </c>
      <c r="H101" s="25" t="s">
        <v>208</v>
      </c>
      <c r="I101" s="25" t="s">
        <v>65</v>
      </c>
      <c r="J101" s="25" t="s">
        <v>66</v>
      </c>
      <c r="K101" s="38">
        <v>45985.40347222222</v>
      </c>
      <c r="L101" s="25" t="s">
        <v>67</v>
      </c>
      <c r="M101" s="25" t="str">
        <f>VLOOKUP(E101,[1]TIPOLOGIAS!$A:$G,5,0)</f>
        <v>PRINCIPAL</v>
      </c>
      <c r="N101" s="25" t="str">
        <f>VLOOKUP(E101,[1]TIPOLOGIAS!$A:$G,4,0)</f>
        <v>BOGOTA</v>
      </c>
      <c r="O101" s="25" t="str">
        <f>VLOOKUP(N101,'BASE TARIFA 2025'!E:F,2,0)</f>
        <v>WOMPI CENTRO</v>
      </c>
      <c r="P101" s="40">
        <f>VLOOKUP(M101,'BASE TARIFA 2025'!A:C,3,0)</f>
        <v>46451</v>
      </c>
      <c r="Q101" s="26" t="str">
        <f t="shared" si="2"/>
        <v>100%</v>
      </c>
      <c r="R101" s="41">
        <f t="shared" si="3"/>
        <v>139353</v>
      </c>
    </row>
    <row r="102" spans="1:18" ht="15" customHeight="1" x14ac:dyDescent="0.3">
      <c r="A102" s="25">
        <v>30026</v>
      </c>
      <c r="B102" s="25" t="s">
        <v>476</v>
      </c>
      <c r="C102" s="25" t="s">
        <v>77</v>
      </c>
      <c r="D102" s="25" t="s">
        <v>26</v>
      </c>
      <c r="E102" s="25">
        <v>68001</v>
      </c>
      <c r="F102" s="25" t="s">
        <v>577</v>
      </c>
      <c r="G102" s="25">
        <v>2</v>
      </c>
      <c r="H102" s="25" t="s">
        <v>209</v>
      </c>
      <c r="I102" s="25" t="s">
        <v>65</v>
      </c>
      <c r="J102" s="25" t="s">
        <v>66</v>
      </c>
      <c r="K102" s="38">
        <v>45987.594444444447</v>
      </c>
      <c r="L102" s="25" t="s">
        <v>67</v>
      </c>
      <c r="M102" s="25" t="str">
        <f>VLOOKUP(E102,[1]TIPOLOGIAS!$A:$G,5,0)</f>
        <v>PRINCIPAL</v>
      </c>
      <c r="N102" s="25" t="str">
        <f>VLOOKUP(E102,[1]TIPOLOGIAS!$A:$G,4,0)</f>
        <v>BUCARAMANGA</v>
      </c>
      <c r="O102" s="25" t="str">
        <f>VLOOKUP(N102,'BASE TARIFA 2025'!E:F,2,0)</f>
        <v>WOMPI SANTANDERES</v>
      </c>
      <c r="P102" s="40">
        <f>VLOOKUP(M102,'BASE TARIFA 2025'!A:C,3,0)</f>
        <v>46451</v>
      </c>
      <c r="Q102" s="26" t="str">
        <f t="shared" si="2"/>
        <v>100%</v>
      </c>
      <c r="R102" s="41">
        <f t="shared" si="3"/>
        <v>92902</v>
      </c>
    </row>
    <row r="103" spans="1:18" ht="15" customHeight="1" x14ac:dyDescent="0.3">
      <c r="A103" s="25">
        <v>30187</v>
      </c>
      <c r="B103" s="25" t="s">
        <v>470</v>
      </c>
      <c r="C103" s="25" t="s">
        <v>63</v>
      </c>
      <c r="D103" s="25" t="s">
        <v>64</v>
      </c>
      <c r="E103" s="25">
        <v>11001</v>
      </c>
      <c r="F103" s="25" t="s">
        <v>578</v>
      </c>
      <c r="G103" s="25">
        <v>2</v>
      </c>
      <c r="H103" s="25" t="s">
        <v>210</v>
      </c>
      <c r="I103" s="25" t="s">
        <v>65</v>
      </c>
      <c r="J103" s="25" t="s">
        <v>66</v>
      </c>
      <c r="K103" s="38">
        <v>45985.600694444445</v>
      </c>
      <c r="L103" s="25" t="s">
        <v>67</v>
      </c>
      <c r="M103" s="25" t="str">
        <f>VLOOKUP(E103,[1]TIPOLOGIAS!$A:$G,5,0)</f>
        <v>PRINCIPAL</v>
      </c>
      <c r="N103" s="25" t="str">
        <f>VLOOKUP(E103,[1]TIPOLOGIAS!$A:$G,4,0)</f>
        <v>BOGOTA</v>
      </c>
      <c r="O103" s="25" t="str">
        <f>VLOOKUP(N103,'BASE TARIFA 2025'!E:F,2,0)</f>
        <v>WOMPI CENTRO</v>
      </c>
      <c r="P103" s="40">
        <f>VLOOKUP(M103,'BASE TARIFA 2025'!A:C,3,0)</f>
        <v>46451</v>
      </c>
      <c r="Q103" s="26" t="str">
        <f t="shared" si="2"/>
        <v>100%</v>
      </c>
      <c r="R103" s="41">
        <f t="shared" si="3"/>
        <v>92902</v>
      </c>
    </row>
    <row r="104" spans="1:18" ht="15" customHeight="1" x14ac:dyDescent="0.3">
      <c r="A104" s="25">
        <v>30479</v>
      </c>
      <c r="B104" s="25" t="s">
        <v>90</v>
      </c>
      <c r="C104" s="25" t="s">
        <v>90</v>
      </c>
      <c r="D104" s="25" t="s">
        <v>92</v>
      </c>
      <c r="E104" s="25">
        <v>5088</v>
      </c>
      <c r="F104" s="25" t="s">
        <v>579</v>
      </c>
      <c r="G104" s="25">
        <v>3</v>
      </c>
      <c r="H104" s="25" t="s">
        <v>211</v>
      </c>
      <c r="I104" s="25" t="s">
        <v>65</v>
      </c>
      <c r="J104" s="25" t="s">
        <v>66</v>
      </c>
      <c r="K104" s="38">
        <v>45983.450694444444</v>
      </c>
      <c r="L104" s="25" t="s">
        <v>67</v>
      </c>
      <c r="M104" s="25" t="str">
        <f>VLOOKUP(E104,[1]TIPOLOGIAS!$A:$G,5,0)</f>
        <v>PRINCIPAL</v>
      </c>
      <c r="N104" s="25" t="str">
        <f>VLOOKUP(E104,[1]TIPOLOGIAS!$A:$G,4,0)</f>
        <v>MEDELLIN</v>
      </c>
      <c r="O104" s="25" t="str">
        <f>VLOOKUP(N104,'BASE TARIFA 2025'!E:F,2,0)</f>
        <v>WOMPI NOROCCIDENTE</v>
      </c>
      <c r="P104" s="40">
        <f>VLOOKUP(M104,'BASE TARIFA 2025'!A:C,3,0)</f>
        <v>46451</v>
      </c>
      <c r="Q104" s="26" t="str">
        <f t="shared" si="2"/>
        <v>100%</v>
      </c>
      <c r="R104" s="41">
        <f t="shared" si="3"/>
        <v>139353</v>
      </c>
    </row>
    <row r="105" spans="1:18" ht="15" customHeight="1" x14ac:dyDescent="0.3">
      <c r="A105" s="25">
        <v>30558</v>
      </c>
      <c r="B105" s="25" t="s">
        <v>90</v>
      </c>
      <c r="C105" s="25" t="s">
        <v>90</v>
      </c>
      <c r="D105" s="25" t="s">
        <v>92</v>
      </c>
      <c r="E105" s="25">
        <v>5088</v>
      </c>
      <c r="F105" s="25" t="s">
        <v>580</v>
      </c>
      <c r="G105" s="25">
        <v>2</v>
      </c>
      <c r="H105" s="25" t="s">
        <v>212</v>
      </c>
      <c r="I105" s="25" t="s">
        <v>65</v>
      </c>
      <c r="J105" s="25" t="s">
        <v>66</v>
      </c>
      <c r="K105" s="38">
        <v>45980.573611111111</v>
      </c>
      <c r="L105" s="25" t="s">
        <v>67</v>
      </c>
      <c r="M105" s="25" t="str">
        <f>VLOOKUP(E105,[1]TIPOLOGIAS!$A:$G,5,0)</f>
        <v>PRINCIPAL</v>
      </c>
      <c r="N105" s="25" t="str">
        <f>VLOOKUP(E105,[1]TIPOLOGIAS!$A:$G,4,0)</f>
        <v>MEDELLIN</v>
      </c>
      <c r="O105" s="25" t="str">
        <f>VLOOKUP(N105,'BASE TARIFA 2025'!E:F,2,0)</f>
        <v>WOMPI NOROCCIDENTE</v>
      </c>
      <c r="P105" s="40">
        <f>VLOOKUP(M105,'BASE TARIFA 2025'!A:C,3,0)</f>
        <v>46451</v>
      </c>
      <c r="Q105" s="26" t="str">
        <f t="shared" si="2"/>
        <v>100%</v>
      </c>
      <c r="R105" s="41">
        <f t="shared" si="3"/>
        <v>92902</v>
      </c>
    </row>
    <row r="106" spans="1:18" ht="15" customHeight="1" x14ac:dyDescent="0.3">
      <c r="A106" s="25">
        <v>31075</v>
      </c>
      <c r="B106" s="25" t="s">
        <v>476</v>
      </c>
      <c r="C106" s="25" t="s">
        <v>77</v>
      </c>
      <c r="D106" s="25" t="s">
        <v>26</v>
      </c>
      <c r="E106" s="25">
        <v>68001</v>
      </c>
      <c r="F106" s="25" t="s">
        <v>581</v>
      </c>
      <c r="G106" s="25">
        <v>3</v>
      </c>
      <c r="H106" s="25" t="s">
        <v>213</v>
      </c>
      <c r="I106" s="25" t="s">
        <v>65</v>
      </c>
      <c r="J106" s="25" t="s">
        <v>66</v>
      </c>
      <c r="K106" s="38">
        <v>45985.409722222219</v>
      </c>
      <c r="L106" s="25" t="s">
        <v>67</v>
      </c>
      <c r="M106" s="25" t="str">
        <f>VLOOKUP(E106,[1]TIPOLOGIAS!$A:$G,5,0)</f>
        <v>PRINCIPAL</v>
      </c>
      <c r="N106" s="25" t="str">
        <f>VLOOKUP(E106,[1]TIPOLOGIAS!$A:$G,4,0)</f>
        <v>BUCARAMANGA</v>
      </c>
      <c r="O106" s="25" t="str">
        <f>VLOOKUP(N106,'BASE TARIFA 2025'!E:F,2,0)</f>
        <v>WOMPI SANTANDERES</v>
      </c>
      <c r="P106" s="40">
        <f>VLOOKUP(M106,'BASE TARIFA 2025'!A:C,3,0)</f>
        <v>46451</v>
      </c>
      <c r="Q106" s="26" t="str">
        <f t="shared" si="2"/>
        <v>100%</v>
      </c>
      <c r="R106" s="41">
        <f t="shared" si="3"/>
        <v>139353</v>
      </c>
    </row>
    <row r="107" spans="1:18" ht="15" customHeight="1" x14ac:dyDescent="0.3">
      <c r="A107" s="25">
        <v>31078</v>
      </c>
      <c r="B107" s="25" t="s">
        <v>476</v>
      </c>
      <c r="C107" s="25" t="s">
        <v>77</v>
      </c>
      <c r="D107" s="25" t="s">
        <v>26</v>
      </c>
      <c r="E107" s="25">
        <v>68001</v>
      </c>
      <c r="F107" s="25" t="s">
        <v>582</v>
      </c>
      <c r="G107" s="25">
        <v>2</v>
      </c>
      <c r="H107" s="25" t="s">
        <v>214</v>
      </c>
      <c r="I107" s="25" t="s">
        <v>65</v>
      </c>
      <c r="J107" s="25" t="s">
        <v>66</v>
      </c>
      <c r="K107" s="38">
        <v>45985.613194444442</v>
      </c>
      <c r="L107" s="25" t="s">
        <v>67</v>
      </c>
      <c r="M107" s="25" t="str">
        <f>VLOOKUP(E107,[1]TIPOLOGIAS!$A:$G,5,0)</f>
        <v>PRINCIPAL</v>
      </c>
      <c r="N107" s="25" t="str">
        <f>VLOOKUP(E107,[1]TIPOLOGIAS!$A:$G,4,0)</f>
        <v>BUCARAMANGA</v>
      </c>
      <c r="O107" s="25" t="str">
        <f>VLOOKUP(N107,'BASE TARIFA 2025'!E:F,2,0)</f>
        <v>WOMPI SANTANDERES</v>
      </c>
      <c r="P107" s="40">
        <f>VLOOKUP(M107,'BASE TARIFA 2025'!A:C,3,0)</f>
        <v>46451</v>
      </c>
      <c r="Q107" s="26" t="str">
        <f t="shared" si="2"/>
        <v>100%</v>
      </c>
      <c r="R107" s="41">
        <f t="shared" si="3"/>
        <v>92902</v>
      </c>
    </row>
    <row r="108" spans="1:18" ht="15" customHeight="1" x14ac:dyDescent="0.3">
      <c r="A108" s="25">
        <v>31246</v>
      </c>
      <c r="B108" s="25" t="s">
        <v>470</v>
      </c>
      <c r="C108" s="25" t="s">
        <v>63</v>
      </c>
      <c r="D108" s="25" t="s">
        <v>64</v>
      </c>
      <c r="E108" s="25">
        <v>11001</v>
      </c>
      <c r="F108" s="25" t="s">
        <v>583</v>
      </c>
      <c r="G108" s="25">
        <v>3</v>
      </c>
      <c r="H108" s="25" t="s">
        <v>215</v>
      </c>
      <c r="I108" s="25" t="s">
        <v>65</v>
      </c>
      <c r="J108" s="25" t="s">
        <v>66</v>
      </c>
      <c r="K108" s="38">
        <v>45985.467361111114</v>
      </c>
      <c r="L108" s="25" t="s">
        <v>67</v>
      </c>
      <c r="M108" s="25" t="str">
        <f>VLOOKUP(E108,[1]TIPOLOGIAS!$A:$G,5,0)</f>
        <v>PRINCIPAL</v>
      </c>
      <c r="N108" s="25" t="str">
        <f>VLOOKUP(E108,[1]TIPOLOGIAS!$A:$G,4,0)</f>
        <v>BOGOTA</v>
      </c>
      <c r="O108" s="25" t="str">
        <f>VLOOKUP(N108,'BASE TARIFA 2025'!E:F,2,0)</f>
        <v>WOMPI CENTRO</v>
      </c>
      <c r="P108" s="40">
        <f>VLOOKUP(M108,'BASE TARIFA 2025'!A:C,3,0)</f>
        <v>46451</v>
      </c>
      <c r="Q108" s="26" t="str">
        <f t="shared" si="2"/>
        <v>100%</v>
      </c>
      <c r="R108" s="41">
        <f t="shared" si="3"/>
        <v>139353</v>
      </c>
    </row>
    <row r="109" spans="1:18" ht="15" customHeight="1" x14ac:dyDescent="0.3">
      <c r="A109" s="25">
        <v>31671</v>
      </c>
      <c r="B109" s="25" t="s">
        <v>90</v>
      </c>
      <c r="C109" s="25" t="s">
        <v>90</v>
      </c>
      <c r="D109" s="25" t="s">
        <v>91</v>
      </c>
      <c r="E109" s="25">
        <v>5001</v>
      </c>
      <c r="F109" s="25" t="s">
        <v>584</v>
      </c>
      <c r="G109" s="25">
        <v>2</v>
      </c>
      <c r="H109" s="25" t="s">
        <v>216</v>
      </c>
      <c r="I109" s="25" t="s">
        <v>65</v>
      </c>
      <c r="J109" s="25" t="s">
        <v>66</v>
      </c>
      <c r="K109" s="38">
        <v>45982.542361111111</v>
      </c>
      <c r="L109" s="25" t="s">
        <v>67</v>
      </c>
      <c r="M109" s="25" t="str">
        <f>VLOOKUP(E109,[1]TIPOLOGIAS!$A:$G,5,0)</f>
        <v>PRINCIPAL</v>
      </c>
      <c r="N109" s="25" t="str">
        <f>VLOOKUP(E109,[1]TIPOLOGIAS!$A:$G,4,0)</f>
        <v>MEDELLIN</v>
      </c>
      <c r="O109" s="25" t="str">
        <f>VLOOKUP(N109,'BASE TARIFA 2025'!E:F,2,0)</f>
        <v>WOMPI NOROCCIDENTE</v>
      </c>
      <c r="P109" s="40">
        <f>VLOOKUP(M109,'BASE TARIFA 2025'!A:C,3,0)</f>
        <v>46451</v>
      </c>
      <c r="Q109" s="26" t="str">
        <f t="shared" si="2"/>
        <v>100%</v>
      </c>
      <c r="R109" s="41">
        <f t="shared" si="3"/>
        <v>92902</v>
      </c>
    </row>
    <row r="110" spans="1:18" ht="15" customHeight="1" x14ac:dyDescent="0.3">
      <c r="A110" s="25">
        <v>31905</v>
      </c>
      <c r="B110" s="25" t="s">
        <v>476</v>
      </c>
      <c r="C110" s="25" t="s">
        <v>77</v>
      </c>
      <c r="D110" s="25" t="s">
        <v>26</v>
      </c>
      <c r="E110" s="25">
        <v>68001</v>
      </c>
      <c r="F110" s="25" t="s">
        <v>585</v>
      </c>
      <c r="G110" s="25">
        <v>2</v>
      </c>
      <c r="H110" s="25" t="s">
        <v>217</v>
      </c>
      <c r="I110" s="25" t="s">
        <v>65</v>
      </c>
      <c r="J110" s="25" t="s">
        <v>66</v>
      </c>
      <c r="K110" s="38">
        <v>45986.556250000001</v>
      </c>
      <c r="L110" s="25" t="s">
        <v>67</v>
      </c>
      <c r="M110" s="25" t="str">
        <f>VLOOKUP(E110,[1]TIPOLOGIAS!$A:$G,5,0)</f>
        <v>PRINCIPAL</v>
      </c>
      <c r="N110" s="25" t="str">
        <f>VLOOKUP(E110,[1]TIPOLOGIAS!$A:$G,4,0)</f>
        <v>BUCARAMANGA</v>
      </c>
      <c r="O110" s="25" t="str">
        <f>VLOOKUP(N110,'BASE TARIFA 2025'!E:F,2,0)</f>
        <v>WOMPI SANTANDERES</v>
      </c>
      <c r="P110" s="40">
        <f>VLOOKUP(M110,'BASE TARIFA 2025'!A:C,3,0)</f>
        <v>46451</v>
      </c>
      <c r="Q110" s="26" t="str">
        <f t="shared" si="2"/>
        <v>100%</v>
      </c>
      <c r="R110" s="41">
        <f t="shared" si="3"/>
        <v>92902</v>
      </c>
    </row>
    <row r="111" spans="1:18" ht="15" customHeight="1" x14ac:dyDescent="0.3">
      <c r="A111" s="25">
        <v>31966</v>
      </c>
      <c r="B111" s="25" t="s">
        <v>90</v>
      </c>
      <c r="C111" s="25" t="s">
        <v>90</v>
      </c>
      <c r="D111" s="25" t="s">
        <v>92</v>
      </c>
      <c r="E111" s="25">
        <v>5088</v>
      </c>
      <c r="F111" s="25" t="s">
        <v>586</v>
      </c>
      <c r="G111" s="25">
        <v>2</v>
      </c>
      <c r="H111" s="25" t="s">
        <v>218</v>
      </c>
      <c r="I111" s="25" t="s">
        <v>65</v>
      </c>
      <c r="J111" s="25" t="s">
        <v>66</v>
      </c>
      <c r="K111" s="38">
        <v>45986.488194444442</v>
      </c>
      <c r="L111" s="25" t="s">
        <v>67</v>
      </c>
      <c r="M111" s="25" t="str">
        <f>VLOOKUP(E111,[1]TIPOLOGIAS!$A:$G,5,0)</f>
        <v>PRINCIPAL</v>
      </c>
      <c r="N111" s="25" t="str">
        <f>VLOOKUP(E111,[1]TIPOLOGIAS!$A:$G,4,0)</f>
        <v>MEDELLIN</v>
      </c>
      <c r="O111" s="25" t="str">
        <f>VLOOKUP(N111,'BASE TARIFA 2025'!E:F,2,0)</f>
        <v>WOMPI NOROCCIDENTE</v>
      </c>
      <c r="P111" s="40">
        <f>VLOOKUP(M111,'BASE TARIFA 2025'!A:C,3,0)</f>
        <v>46451</v>
      </c>
      <c r="Q111" s="26" t="str">
        <f t="shared" si="2"/>
        <v>100%</v>
      </c>
      <c r="R111" s="41">
        <f t="shared" si="3"/>
        <v>92902</v>
      </c>
    </row>
    <row r="112" spans="1:18" ht="15" customHeight="1" x14ac:dyDescent="0.3">
      <c r="A112" s="25">
        <v>32051</v>
      </c>
      <c r="B112" s="25" t="s">
        <v>470</v>
      </c>
      <c r="C112" s="25" t="s">
        <v>63</v>
      </c>
      <c r="D112" s="25" t="s">
        <v>64</v>
      </c>
      <c r="E112" s="25">
        <v>11001</v>
      </c>
      <c r="F112" s="25" t="s">
        <v>587</v>
      </c>
      <c r="G112" s="25">
        <v>2</v>
      </c>
      <c r="H112" s="25" t="s">
        <v>219</v>
      </c>
      <c r="I112" s="25" t="s">
        <v>65</v>
      </c>
      <c r="J112" s="25" t="s">
        <v>66</v>
      </c>
      <c r="K112" s="38">
        <v>45985.554861111108</v>
      </c>
      <c r="L112" s="25" t="s">
        <v>67</v>
      </c>
      <c r="M112" s="25" t="str">
        <f>VLOOKUP(E112,[1]TIPOLOGIAS!$A:$G,5,0)</f>
        <v>PRINCIPAL</v>
      </c>
      <c r="N112" s="25" t="str">
        <f>VLOOKUP(E112,[1]TIPOLOGIAS!$A:$G,4,0)</f>
        <v>BOGOTA</v>
      </c>
      <c r="O112" s="25" t="str">
        <f>VLOOKUP(N112,'BASE TARIFA 2025'!E:F,2,0)</f>
        <v>WOMPI CENTRO</v>
      </c>
      <c r="P112" s="40">
        <f>VLOOKUP(M112,'BASE TARIFA 2025'!A:C,3,0)</f>
        <v>46451</v>
      </c>
      <c r="Q112" s="26" t="str">
        <f t="shared" si="2"/>
        <v>100%</v>
      </c>
      <c r="R112" s="41">
        <f t="shared" si="3"/>
        <v>92902</v>
      </c>
    </row>
    <row r="113" spans="1:18" ht="15" customHeight="1" x14ac:dyDescent="0.3">
      <c r="A113" s="25">
        <v>32316</v>
      </c>
      <c r="B113" s="25" t="s">
        <v>90</v>
      </c>
      <c r="C113" s="25" t="s">
        <v>90</v>
      </c>
      <c r="D113" s="25" t="s">
        <v>101</v>
      </c>
      <c r="E113" s="25">
        <v>5360</v>
      </c>
      <c r="F113" s="25" t="s">
        <v>588</v>
      </c>
      <c r="G113" s="25">
        <v>3</v>
      </c>
      <c r="H113" s="25" t="s">
        <v>220</v>
      </c>
      <c r="I113" s="25" t="s">
        <v>65</v>
      </c>
      <c r="J113" s="25" t="s">
        <v>66</v>
      </c>
      <c r="K113" s="38">
        <v>45980.611111111109</v>
      </c>
      <c r="L113" s="25" t="s">
        <v>67</v>
      </c>
      <c r="M113" s="25" t="str">
        <f>VLOOKUP(E113,[1]TIPOLOGIAS!$A:$G,5,0)</f>
        <v>PRINCIPAL</v>
      </c>
      <c r="N113" s="25" t="str">
        <f>VLOOKUP(E113,[1]TIPOLOGIAS!$A:$G,4,0)</f>
        <v>MEDELLIN</v>
      </c>
      <c r="O113" s="25" t="str">
        <f>VLOOKUP(N113,'BASE TARIFA 2025'!E:F,2,0)</f>
        <v>WOMPI NOROCCIDENTE</v>
      </c>
      <c r="P113" s="40">
        <f>VLOOKUP(M113,'BASE TARIFA 2025'!A:C,3,0)</f>
        <v>46451</v>
      </c>
      <c r="Q113" s="26" t="str">
        <f t="shared" si="2"/>
        <v>100%</v>
      </c>
      <c r="R113" s="41">
        <f t="shared" si="3"/>
        <v>139353</v>
      </c>
    </row>
    <row r="114" spans="1:18" ht="15" customHeight="1" x14ac:dyDescent="0.3">
      <c r="A114" s="25">
        <v>32362</v>
      </c>
      <c r="B114" s="25" t="s">
        <v>90</v>
      </c>
      <c r="C114" s="25" t="s">
        <v>90</v>
      </c>
      <c r="D114" s="25" t="s">
        <v>91</v>
      </c>
      <c r="E114" s="25">
        <v>5001</v>
      </c>
      <c r="F114" s="25" t="s">
        <v>589</v>
      </c>
      <c r="G114" s="25">
        <v>2</v>
      </c>
      <c r="H114" s="25" t="s">
        <v>221</v>
      </c>
      <c r="I114" s="25" t="s">
        <v>65</v>
      </c>
      <c r="J114" s="25" t="s">
        <v>66</v>
      </c>
      <c r="K114" s="38">
        <v>45982.525000000001</v>
      </c>
      <c r="L114" s="25" t="s">
        <v>67</v>
      </c>
      <c r="M114" s="25" t="str">
        <f>VLOOKUP(E114,[1]TIPOLOGIAS!$A:$G,5,0)</f>
        <v>PRINCIPAL</v>
      </c>
      <c r="N114" s="25" t="str">
        <f>VLOOKUP(E114,[1]TIPOLOGIAS!$A:$G,4,0)</f>
        <v>MEDELLIN</v>
      </c>
      <c r="O114" s="25" t="str">
        <f>VLOOKUP(N114,'BASE TARIFA 2025'!E:F,2,0)</f>
        <v>WOMPI NOROCCIDENTE</v>
      </c>
      <c r="P114" s="40">
        <f>VLOOKUP(M114,'BASE TARIFA 2025'!A:C,3,0)</f>
        <v>46451</v>
      </c>
      <c r="Q114" s="26" t="str">
        <f t="shared" si="2"/>
        <v>100%</v>
      </c>
      <c r="R114" s="41">
        <f t="shared" si="3"/>
        <v>92902</v>
      </c>
    </row>
    <row r="115" spans="1:18" ht="15" customHeight="1" x14ac:dyDescent="0.3">
      <c r="A115" s="25">
        <v>32490</v>
      </c>
      <c r="B115" s="25" t="s">
        <v>470</v>
      </c>
      <c r="C115" s="25" t="s">
        <v>63</v>
      </c>
      <c r="D115" s="25" t="s">
        <v>64</v>
      </c>
      <c r="E115" s="25">
        <v>11001</v>
      </c>
      <c r="F115" s="25" t="s">
        <v>590</v>
      </c>
      <c r="G115" s="25">
        <v>2</v>
      </c>
      <c r="H115" s="25" t="s">
        <v>222</v>
      </c>
      <c r="I115" s="25" t="s">
        <v>65</v>
      </c>
      <c r="J115" s="25" t="s">
        <v>66</v>
      </c>
      <c r="K115" s="38">
        <v>45985.645833333336</v>
      </c>
      <c r="L115" s="25" t="s">
        <v>67</v>
      </c>
      <c r="M115" s="25" t="str">
        <f>VLOOKUP(E115,[1]TIPOLOGIAS!$A:$G,5,0)</f>
        <v>PRINCIPAL</v>
      </c>
      <c r="N115" s="25" t="str">
        <f>VLOOKUP(E115,[1]TIPOLOGIAS!$A:$G,4,0)</f>
        <v>BOGOTA</v>
      </c>
      <c r="O115" s="25" t="str">
        <f>VLOOKUP(N115,'BASE TARIFA 2025'!E:F,2,0)</f>
        <v>WOMPI CENTRO</v>
      </c>
      <c r="P115" s="40">
        <f>VLOOKUP(M115,'BASE TARIFA 2025'!A:C,3,0)</f>
        <v>46451</v>
      </c>
      <c r="Q115" s="26" t="str">
        <f t="shared" si="2"/>
        <v>100%</v>
      </c>
      <c r="R115" s="41">
        <f t="shared" si="3"/>
        <v>92902</v>
      </c>
    </row>
    <row r="116" spans="1:18" ht="15" customHeight="1" x14ac:dyDescent="0.3">
      <c r="A116" s="25">
        <v>32887</v>
      </c>
      <c r="B116" s="25" t="s">
        <v>470</v>
      </c>
      <c r="C116" s="25" t="s">
        <v>63</v>
      </c>
      <c r="D116" s="25" t="s">
        <v>64</v>
      </c>
      <c r="E116" s="25">
        <v>11001</v>
      </c>
      <c r="F116" s="25" t="s">
        <v>591</v>
      </c>
      <c r="G116" s="25">
        <v>3</v>
      </c>
      <c r="H116" s="25" t="s">
        <v>223</v>
      </c>
      <c r="I116" s="25" t="s">
        <v>65</v>
      </c>
      <c r="J116" s="25" t="s">
        <v>66</v>
      </c>
      <c r="K116" s="38">
        <v>45987.529166666667</v>
      </c>
      <c r="L116" s="25" t="s">
        <v>67</v>
      </c>
      <c r="M116" s="25" t="str">
        <f>VLOOKUP(E116,[1]TIPOLOGIAS!$A:$G,5,0)</f>
        <v>PRINCIPAL</v>
      </c>
      <c r="N116" s="25" t="str">
        <f>VLOOKUP(E116,[1]TIPOLOGIAS!$A:$G,4,0)</f>
        <v>BOGOTA</v>
      </c>
      <c r="O116" s="25" t="str">
        <f>VLOOKUP(N116,'BASE TARIFA 2025'!E:F,2,0)</f>
        <v>WOMPI CENTRO</v>
      </c>
      <c r="P116" s="40">
        <f>VLOOKUP(M116,'BASE TARIFA 2025'!A:C,3,0)</f>
        <v>46451</v>
      </c>
      <c r="Q116" s="26" t="str">
        <f t="shared" si="2"/>
        <v>100%</v>
      </c>
      <c r="R116" s="41">
        <f t="shared" si="3"/>
        <v>139353</v>
      </c>
    </row>
    <row r="117" spans="1:18" ht="15" customHeight="1" x14ac:dyDescent="0.3">
      <c r="A117" s="25">
        <v>32905</v>
      </c>
      <c r="B117" s="25" t="s">
        <v>90</v>
      </c>
      <c r="C117" s="25" t="s">
        <v>90</v>
      </c>
      <c r="D117" s="25" t="s">
        <v>91</v>
      </c>
      <c r="E117" s="25">
        <v>5001</v>
      </c>
      <c r="F117" s="25" t="s">
        <v>592</v>
      </c>
      <c r="G117" s="25">
        <v>2</v>
      </c>
      <c r="H117" s="25" t="s">
        <v>224</v>
      </c>
      <c r="I117" s="25" t="s">
        <v>65</v>
      </c>
      <c r="J117" s="25" t="s">
        <v>66</v>
      </c>
      <c r="K117" s="38">
        <v>45986.593055555553</v>
      </c>
      <c r="L117" s="25" t="s">
        <v>67</v>
      </c>
      <c r="M117" s="25" t="str">
        <f>VLOOKUP(E117,[1]TIPOLOGIAS!$A:$G,5,0)</f>
        <v>PRINCIPAL</v>
      </c>
      <c r="N117" s="25" t="str">
        <f>VLOOKUP(E117,[1]TIPOLOGIAS!$A:$G,4,0)</f>
        <v>MEDELLIN</v>
      </c>
      <c r="O117" s="25" t="str">
        <f>VLOOKUP(N117,'BASE TARIFA 2025'!E:F,2,0)</f>
        <v>WOMPI NOROCCIDENTE</v>
      </c>
      <c r="P117" s="40">
        <f>VLOOKUP(M117,'BASE TARIFA 2025'!A:C,3,0)</f>
        <v>46451</v>
      </c>
      <c r="Q117" s="26" t="str">
        <f t="shared" si="2"/>
        <v>100%</v>
      </c>
      <c r="R117" s="41">
        <f t="shared" si="3"/>
        <v>92902</v>
      </c>
    </row>
    <row r="118" spans="1:18" ht="15" customHeight="1" x14ac:dyDescent="0.3">
      <c r="A118" s="25">
        <v>33015</v>
      </c>
      <c r="B118" s="25" t="s">
        <v>476</v>
      </c>
      <c r="C118" s="25" t="s">
        <v>77</v>
      </c>
      <c r="D118" s="25" t="s">
        <v>26</v>
      </c>
      <c r="E118" s="25">
        <v>68001</v>
      </c>
      <c r="F118" s="25" t="s">
        <v>593</v>
      </c>
      <c r="G118" s="25">
        <v>2</v>
      </c>
      <c r="H118" s="25" t="s">
        <v>225</v>
      </c>
      <c r="I118" s="25" t="s">
        <v>65</v>
      </c>
      <c r="J118" s="25" t="s">
        <v>66</v>
      </c>
      <c r="K118" s="38">
        <v>45986.37222222222</v>
      </c>
      <c r="L118" s="25" t="s">
        <v>67</v>
      </c>
      <c r="M118" s="25" t="str">
        <f>VLOOKUP(E118,[1]TIPOLOGIAS!$A:$G,5,0)</f>
        <v>PRINCIPAL</v>
      </c>
      <c r="N118" s="25" t="str">
        <f>VLOOKUP(E118,[1]TIPOLOGIAS!$A:$G,4,0)</f>
        <v>BUCARAMANGA</v>
      </c>
      <c r="O118" s="25" t="str">
        <f>VLOOKUP(N118,'BASE TARIFA 2025'!E:F,2,0)</f>
        <v>WOMPI SANTANDERES</v>
      </c>
      <c r="P118" s="40">
        <f>VLOOKUP(M118,'BASE TARIFA 2025'!A:C,3,0)</f>
        <v>46451</v>
      </c>
      <c r="Q118" s="26" t="str">
        <f t="shared" si="2"/>
        <v>100%</v>
      </c>
      <c r="R118" s="41">
        <f t="shared" si="3"/>
        <v>92902</v>
      </c>
    </row>
    <row r="119" spans="1:18" ht="15" customHeight="1" x14ac:dyDescent="0.3">
      <c r="A119" s="25">
        <v>33080</v>
      </c>
      <c r="B119" s="25" t="s">
        <v>90</v>
      </c>
      <c r="C119" s="25" t="s">
        <v>90</v>
      </c>
      <c r="D119" s="25" t="s">
        <v>91</v>
      </c>
      <c r="E119" s="25">
        <v>5001</v>
      </c>
      <c r="F119" s="25" t="s">
        <v>594</v>
      </c>
      <c r="G119" s="25">
        <v>3</v>
      </c>
      <c r="H119" s="25" t="s">
        <v>226</v>
      </c>
      <c r="I119" s="25" t="s">
        <v>65</v>
      </c>
      <c r="J119" s="25" t="s">
        <v>66</v>
      </c>
      <c r="K119" s="38">
        <v>45981.713194444441</v>
      </c>
      <c r="L119" s="25" t="s">
        <v>67</v>
      </c>
      <c r="M119" s="25" t="str">
        <f>VLOOKUP(E119,[1]TIPOLOGIAS!$A:$G,5,0)</f>
        <v>PRINCIPAL</v>
      </c>
      <c r="N119" s="25" t="str">
        <f>VLOOKUP(E119,[1]TIPOLOGIAS!$A:$G,4,0)</f>
        <v>MEDELLIN</v>
      </c>
      <c r="O119" s="25" t="str">
        <f>VLOOKUP(N119,'BASE TARIFA 2025'!E:F,2,0)</f>
        <v>WOMPI NOROCCIDENTE</v>
      </c>
      <c r="P119" s="40">
        <f>VLOOKUP(M119,'BASE TARIFA 2025'!A:C,3,0)</f>
        <v>46451</v>
      </c>
      <c r="Q119" s="26" t="str">
        <f t="shared" si="2"/>
        <v>100%</v>
      </c>
      <c r="R119" s="41">
        <f t="shared" si="3"/>
        <v>139353</v>
      </c>
    </row>
    <row r="120" spans="1:18" ht="15" customHeight="1" x14ac:dyDescent="0.3">
      <c r="A120" s="25">
        <v>33182</v>
      </c>
      <c r="B120" s="25" t="s">
        <v>470</v>
      </c>
      <c r="C120" s="25" t="s">
        <v>63</v>
      </c>
      <c r="D120" s="25" t="s">
        <v>64</v>
      </c>
      <c r="E120" s="25">
        <v>11001</v>
      </c>
      <c r="F120" s="25" t="s">
        <v>595</v>
      </c>
      <c r="G120" s="25">
        <v>2</v>
      </c>
      <c r="H120" s="25" t="s">
        <v>227</v>
      </c>
      <c r="I120" s="25" t="s">
        <v>65</v>
      </c>
      <c r="J120" s="25" t="s">
        <v>66</v>
      </c>
      <c r="K120" s="38">
        <v>45986.572222222225</v>
      </c>
      <c r="L120" s="25" t="s">
        <v>67</v>
      </c>
      <c r="M120" s="25" t="str">
        <f>VLOOKUP(E120,[1]TIPOLOGIAS!$A:$G,5,0)</f>
        <v>PRINCIPAL</v>
      </c>
      <c r="N120" s="25" t="str">
        <f>VLOOKUP(E120,[1]TIPOLOGIAS!$A:$G,4,0)</f>
        <v>BOGOTA</v>
      </c>
      <c r="O120" s="25" t="str">
        <f>VLOOKUP(N120,'BASE TARIFA 2025'!E:F,2,0)</f>
        <v>WOMPI CENTRO</v>
      </c>
      <c r="P120" s="40">
        <f>VLOOKUP(M120,'BASE TARIFA 2025'!A:C,3,0)</f>
        <v>46451</v>
      </c>
      <c r="Q120" s="26" t="str">
        <f t="shared" si="2"/>
        <v>100%</v>
      </c>
      <c r="R120" s="41">
        <f t="shared" si="3"/>
        <v>92902</v>
      </c>
    </row>
    <row r="121" spans="1:18" ht="15" customHeight="1" x14ac:dyDescent="0.3">
      <c r="A121" s="25">
        <v>33412</v>
      </c>
      <c r="B121" s="25" t="s">
        <v>90</v>
      </c>
      <c r="C121" s="25" t="s">
        <v>90</v>
      </c>
      <c r="D121" s="25" t="s">
        <v>92</v>
      </c>
      <c r="E121" s="25">
        <v>5088</v>
      </c>
      <c r="F121" s="25" t="s">
        <v>596</v>
      </c>
      <c r="G121" s="25">
        <v>2</v>
      </c>
      <c r="H121" s="25" t="s">
        <v>228</v>
      </c>
      <c r="I121" s="25" t="s">
        <v>65</v>
      </c>
      <c r="J121" s="25" t="s">
        <v>66</v>
      </c>
      <c r="K121" s="38">
        <v>45983.537499999999</v>
      </c>
      <c r="L121" s="25" t="s">
        <v>67</v>
      </c>
      <c r="M121" s="25" t="str">
        <f>VLOOKUP(E121,[1]TIPOLOGIAS!$A:$G,5,0)</f>
        <v>PRINCIPAL</v>
      </c>
      <c r="N121" s="25" t="str">
        <f>VLOOKUP(E121,[1]TIPOLOGIAS!$A:$G,4,0)</f>
        <v>MEDELLIN</v>
      </c>
      <c r="O121" s="25" t="str">
        <f>VLOOKUP(N121,'BASE TARIFA 2025'!E:F,2,0)</f>
        <v>WOMPI NOROCCIDENTE</v>
      </c>
      <c r="P121" s="40">
        <f>VLOOKUP(M121,'BASE TARIFA 2025'!A:C,3,0)</f>
        <v>46451</v>
      </c>
      <c r="Q121" s="26" t="str">
        <f t="shared" si="2"/>
        <v>100%</v>
      </c>
      <c r="R121" s="41">
        <f t="shared" si="3"/>
        <v>92902</v>
      </c>
    </row>
    <row r="122" spans="1:18" ht="15" customHeight="1" x14ac:dyDescent="0.3">
      <c r="A122" s="25">
        <v>33772</v>
      </c>
      <c r="B122" s="25" t="s">
        <v>470</v>
      </c>
      <c r="C122" s="25" t="s">
        <v>63</v>
      </c>
      <c r="D122" s="25" t="s">
        <v>64</v>
      </c>
      <c r="E122" s="25">
        <v>11001</v>
      </c>
      <c r="F122" s="25" t="s">
        <v>597</v>
      </c>
      <c r="G122" s="25">
        <v>2</v>
      </c>
      <c r="H122" s="25" t="s">
        <v>229</v>
      </c>
      <c r="I122" s="25" t="s">
        <v>65</v>
      </c>
      <c r="J122" s="25" t="s">
        <v>66</v>
      </c>
      <c r="K122" s="38">
        <v>45986.789583333331</v>
      </c>
      <c r="L122" s="25" t="s">
        <v>67</v>
      </c>
      <c r="M122" s="25" t="str">
        <f>VLOOKUP(E122,[1]TIPOLOGIAS!$A:$G,5,0)</f>
        <v>PRINCIPAL</v>
      </c>
      <c r="N122" s="25" t="str">
        <f>VLOOKUP(E122,[1]TIPOLOGIAS!$A:$G,4,0)</f>
        <v>BOGOTA</v>
      </c>
      <c r="O122" s="25" t="str">
        <f>VLOOKUP(N122,'BASE TARIFA 2025'!E:F,2,0)</f>
        <v>WOMPI CENTRO</v>
      </c>
      <c r="P122" s="40">
        <f>VLOOKUP(M122,'BASE TARIFA 2025'!A:C,3,0)</f>
        <v>46451</v>
      </c>
      <c r="Q122" s="26" t="str">
        <f t="shared" si="2"/>
        <v>100%</v>
      </c>
      <c r="R122" s="41">
        <f t="shared" si="3"/>
        <v>92902</v>
      </c>
    </row>
    <row r="123" spans="1:18" ht="15" customHeight="1" x14ac:dyDescent="0.3">
      <c r="A123" s="25">
        <v>34100</v>
      </c>
      <c r="B123" s="25" t="s">
        <v>481</v>
      </c>
      <c r="C123" s="25" t="s">
        <v>95</v>
      </c>
      <c r="D123" s="25" t="s">
        <v>40</v>
      </c>
      <c r="E123" s="25">
        <v>52001</v>
      </c>
      <c r="F123" s="25" t="s">
        <v>598</v>
      </c>
      <c r="G123" s="25">
        <v>3</v>
      </c>
      <c r="H123" s="25" t="s">
        <v>230</v>
      </c>
      <c r="I123" s="25" t="s">
        <v>65</v>
      </c>
      <c r="J123" s="25" t="s">
        <v>66</v>
      </c>
      <c r="K123" s="38">
        <v>45986.711805555555</v>
      </c>
      <c r="L123" s="25" t="s">
        <v>67</v>
      </c>
      <c r="M123" s="25" t="str">
        <f>VLOOKUP(E123,[1]TIPOLOGIAS!$A:$G,5,0)</f>
        <v>PRINCIPAL</v>
      </c>
      <c r="N123" s="25" t="str">
        <f>VLOOKUP(E123,[1]TIPOLOGIAS!$A:$G,4,0)</f>
        <v>PASTO</v>
      </c>
      <c r="O123" s="25" t="str">
        <f>VLOOKUP(N123,'BASE TARIFA 2025'!E:F,2,0)</f>
        <v>WOMPI SUROCCIDENTE</v>
      </c>
      <c r="P123" s="40">
        <f>VLOOKUP(M123,'BASE TARIFA 2025'!A:C,3,0)</f>
        <v>46451</v>
      </c>
      <c r="Q123" s="26" t="str">
        <f t="shared" si="2"/>
        <v>100%</v>
      </c>
      <c r="R123" s="41">
        <f t="shared" si="3"/>
        <v>139353</v>
      </c>
    </row>
    <row r="124" spans="1:18" ht="15" customHeight="1" x14ac:dyDescent="0.3">
      <c r="A124" s="25">
        <v>34159</v>
      </c>
      <c r="B124" s="25" t="s">
        <v>470</v>
      </c>
      <c r="C124" s="25" t="s">
        <v>63</v>
      </c>
      <c r="D124" s="25" t="s">
        <v>64</v>
      </c>
      <c r="E124" s="25">
        <v>11001</v>
      </c>
      <c r="F124" s="25" t="s">
        <v>599</v>
      </c>
      <c r="G124" s="25">
        <v>2</v>
      </c>
      <c r="H124" s="25" t="s">
        <v>231</v>
      </c>
      <c r="I124" s="25" t="s">
        <v>65</v>
      </c>
      <c r="J124" s="25" t="s">
        <v>66</v>
      </c>
      <c r="K124" s="38">
        <v>45987.472916666666</v>
      </c>
      <c r="L124" s="25" t="s">
        <v>67</v>
      </c>
      <c r="M124" s="25" t="str">
        <f>VLOOKUP(E124,[1]TIPOLOGIAS!$A:$G,5,0)</f>
        <v>PRINCIPAL</v>
      </c>
      <c r="N124" s="25" t="str">
        <f>VLOOKUP(E124,[1]TIPOLOGIAS!$A:$G,4,0)</f>
        <v>BOGOTA</v>
      </c>
      <c r="O124" s="25" t="str">
        <f>VLOOKUP(N124,'BASE TARIFA 2025'!E:F,2,0)</f>
        <v>WOMPI CENTRO</v>
      </c>
      <c r="P124" s="40">
        <f>VLOOKUP(M124,'BASE TARIFA 2025'!A:C,3,0)</f>
        <v>46451</v>
      </c>
      <c r="Q124" s="26" t="str">
        <f t="shared" si="2"/>
        <v>100%</v>
      </c>
      <c r="R124" s="41">
        <f t="shared" si="3"/>
        <v>92902</v>
      </c>
    </row>
    <row r="125" spans="1:18" ht="15" customHeight="1" x14ac:dyDescent="0.3">
      <c r="A125" s="25">
        <v>34512</v>
      </c>
      <c r="B125" s="25" t="s">
        <v>470</v>
      </c>
      <c r="C125" s="25" t="s">
        <v>63</v>
      </c>
      <c r="D125" s="25" t="s">
        <v>64</v>
      </c>
      <c r="E125" s="25">
        <v>11001</v>
      </c>
      <c r="F125" s="25" t="s">
        <v>600</v>
      </c>
      <c r="G125" s="25">
        <v>3</v>
      </c>
      <c r="H125" s="25" t="s">
        <v>232</v>
      </c>
      <c r="I125" s="25" t="s">
        <v>65</v>
      </c>
      <c r="J125" s="25" t="s">
        <v>66</v>
      </c>
      <c r="K125" s="38">
        <v>45985.467361111114</v>
      </c>
      <c r="L125" s="25" t="s">
        <v>67</v>
      </c>
      <c r="M125" s="25" t="str">
        <f>VLOOKUP(E125,[1]TIPOLOGIAS!$A:$G,5,0)</f>
        <v>PRINCIPAL</v>
      </c>
      <c r="N125" s="25" t="str">
        <f>VLOOKUP(E125,[1]TIPOLOGIAS!$A:$G,4,0)</f>
        <v>BOGOTA</v>
      </c>
      <c r="O125" s="25" t="str">
        <f>VLOOKUP(N125,'BASE TARIFA 2025'!E:F,2,0)</f>
        <v>WOMPI CENTRO</v>
      </c>
      <c r="P125" s="40">
        <f>VLOOKUP(M125,'BASE TARIFA 2025'!A:C,3,0)</f>
        <v>46451</v>
      </c>
      <c r="Q125" s="26" t="str">
        <f t="shared" si="2"/>
        <v>100%</v>
      </c>
      <c r="R125" s="41">
        <f t="shared" si="3"/>
        <v>139353</v>
      </c>
    </row>
    <row r="126" spans="1:18" ht="15" customHeight="1" x14ac:dyDescent="0.3">
      <c r="A126" s="25">
        <v>34513</v>
      </c>
      <c r="B126" s="25" t="s">
        <v>470</v>
      </c>
      <c r="C126" s="25" t="s">
        <v>63</v>
      </c>
      <c r="D126" s="25" t="s">
        <v>64</v>
      </c>
      <c r="E126" s="25">
        <v>11001</v>
      </c>
      <c r="F126" s="25" t="s">
        <v>601</v>
      </c>
      <c r="G126" s="25">
        <v>2</v>
      </c>
      <c r="H126" s="25" t="s">
        <v>233</v>
      </c>
      <c r="I126" s="25" t="s">
        <v>65</v>
      </c>
      <c r="J126" s="25" t="s">
        <v>66</v>
      </c>
      <c r="K126" s="38">
        <v>45986.685416666667</v>
      </c>
      <c r="L126" s="25" t="s">
        <v>67</v>
      </c>
      <c r="M126" s="25" t="str">
        <f>VLOOKUP(E126,[1]TIPOLOGIAS!$A:$G,5,0)</f>
        <v>PRINCIPAL</v>
      </c>
      <c r="N126" s="25" t="str">
        <f>VLOOKUP(E126,[1]TIPOLOGIAS!$A:$G,4,0)</f>
        <v>BOGOTA</v>
      </c>
      <c r="O126" s="25" t="str">
        <f>VLOOKUP(N126,'BASE TARIFA 2025'!E:F,2,0)</f>
        <v>WOMPI CENTRO</v>
      </c>
      <c r="P126" s="40">
        <f>VLOOKUP(M126,'BASE TARIFA 2025'!A:C,3,0)</f>
        <v>46451</v>
      </c>
      <c r="Q126" s="26" t="str">
        <f t="shared" si="2"/>
        <v>100%</v>
      </c>
      <c r="R126" s="41">
        <f t="shared" si="3"/>
        <v>92902</v>
      </c>
    </row>
    <row r="127" spans="1:18" ht="15" customHeight="1" x14ac:dyDescent="0.3">
      <c r="A127" s="25">
        <v>34705</v>
      </c>
      <c r="B127" s="25" t="s">
        <v>90</v>
      </c>
      <c r="C127" s="25" t="s">
        <v>90</v>
      </c>
      <c r="D127" s="25" t="s">
        <v>92</v>
      </c>
      <c r="E127" s="25">
        <v>5088</v>
      </c>
      <c r="F127" s="25" t="s">
        <v>602</v>
      </c>
      <c r="G127" s="25">
        <v>2</v>
      </c>
      <c r="H127" s="25" t="s">
        <v>234</v>
      </c>
      <c r="I127" s="25" t="s">
        <v>65</v>
      </c>
      <c r="J127" s="25" t="s">
        <v>66</v>
      </c>
      <c r="K127" s="38">
        <v>45980.674305555556</v>
      </c>
      <c r="L127" s="25" t="s">
        <v>67</v>
      </c>
      <c r="M127" s="25" t="str">
        <f>VLOOKUP(E127,[1]TIPOLOGIAS!$A:$G,5,0)</f>
        <v>PRINCIPAL</v>
      </c>
      <c r="N127" s="25" t="str">
        <f>VLOOKUP(E127,[1]TIPOLOGIAS!$A:$G,4,0)</f>
        <v>MEDELLIN</v>
      </c>
      <c r="O127" s="25" t="str">
        <f>VLOOKUP(N127,'BASE TARIFA 2025'!E:F,2,0)</f>
        <v>WOMPI NOROCCIDENTE</v>
      </c>
      <c r="P127" s="40">
        <f>VLOOKUP(M127,'BASE TARIFA 2025'!A:C,3,0)</f>
        <v>46451</v>
      </c>
      <c r="Q127" s="26" t="str">
        <f t="shared" si="2"/>
        <v>100%</v>
      </c>
      <c r="R127" s="41">
        <f t="shared" si="3"/>
        <v>92902</v>
      </c>
    </row>
    <row r="128" spans="1:18" ht="15" customHeight="1" x14ac:dyDescent="0.3">
      <c r="A128" s="25">
        <v>34794</v>
      </c>
      <c r="B128" s="25" t="s">
        <v>491</v>
      </c>
      <c r="C128" s="25" t="s">
        <v>74</v>
      </c>
      <c r="D128" s="25" t="s">
        <v>98</v>
      </c>
      <c r="E128" s="25">
        <v>8758</v>
      </c>
      <c r="F128" s="25" t="s">
        <v>603</v>
      </c>
      <c r="G128" s="25">
        <v>2</v>
      </c>
      <c r="H128" s="25" t="s">
        <v>235</v>
      </c>
      <c r="I128" s="25" t="s">
        <v>65</v>
      </c>
      <c r="J128" s="25" t="s">
        <v>66</v>
      </c>
      <c r="K128" s="38">
        <v>45987.606249999997</v>
      </c>
      <c r="L128" s="25" t="s">
        <v>67</v>
      </c>
      <c r="M128" s="25" t="str">
        <f>VLOOKUP(E128,[1]TIPOLOGIAS!$A:$G,5,0)</f>
        <v>PRINCIPAL</v>
      </c>
      <c r="N128" s="25" t="str">
        <f>VLOOKUP(E128,[1]TIPOLOGIAS!$A:$G,4,0)</f>
        <v>BARRANQUILLA</v>
      </c>
      <c r="O128" s="25" t="str">
        <f>VLOOKUP(N128,'BASE TARIFA 2025'!E:F,2,0)</f>
        <v>WOMPI COSTA</v>
      </c>
      <c r="P128" s="40">
        <f>VLOOKUP(M128,'BASE TARIFA 2025'!A:C,3,0)</f>
        <v>46451</v>
      </c>
      <c r="Q128" s="26" t="str">
        <f t="shared" si="2"/>
        <v>100%</v>
      </c>
      <c r="R128" s="41">
        <f t="shared" si="3"/>
        <v>92902</v>
      </c>
    </row>
    <row r="129" spans="1:18" ht="15" customHeight="1" x14ac:dyDescent="0.3">
      <c r="A129" s="25">
        <v>34830</v>
      </c>
      <c r="B129" s="25" t="s">
        <v>470</v>
      </c>
      <c r="C129" s="25" t="s">
        <v>63</v>
      </c>
      <c r="D129" s="25" t="s">
        <v>64</v>
      </c>
      <c r="E129" s="25">
        <v>11001</v>
      </c>
      <c r="F129" s="25" t="s">
        <v>604</v>
      </c>
      <c r="G129" s="25">
        <v>2</v>
      </c>
      <c r="H129" s="25" t="s">
        <v>236</v>
      </c>
      <c r="I129" s="25" t="s">
        <v>65</v>
      </c>
      <c r="J129" s="25" t="s">
        <v>66</v>
      </c>
      <c r="K129" s="38">
        <v>45985.505555555559</v>
      </c>
      <c r="L129" s="25" t="s">
        <v>67</v>
      </c>
      <c r="M129" s="25" t="str">
        <f>VLOOKUP(E129,[1]TIPOLOGIAS!$A:$G,5,0)</f>
        <v>PRINCIPAL</v>
      </c>
      <c r="N129" s="25" t="str">
        <f>VLOOKUP(E129,[1]TIPOLOGIAS!$A:$G,4,0)</f>
        <v>BOGOTA</v>
      </c>
      <c r="O129" s="25" t="str">
        <f>VLOOKUP(N129,'BASE TARIFA 2025'!E:F,2,0)</f>
        <v>WOMPI CENTRO</v>
      </c>
      <c r="P129" s="40">
        <f>VLOOKUP(M129,'BASE TARIFA 2025'!A:C,3,0)</f>
        <v>46451</v>
      </c>
      <c r="Q129" s="26" t="str">
        <f t="shared" si="2"/>
        <v>100%</v>
      </c>
      <c r="R129" s="41">
        <f t="shared" si="3"/>
        <v>92902</v>
      </c>
    </row>
    <row r="130" spans="1:18" ht="15" customHeight="1" x14ac:dyDescent="0.3">
      <c r="A130" s="25">
        <v>35204</v>
      </c>
      <c r="B130" s="25" t="s">
        <v>90</v>
      </c>
      <c r="C130" s="25" t="s">
        <v>90</v>
      </c>
      <c r="D130" s="25" t="s">
        <v>91</v>
      </c>
      <c r="E130" s="25">
        <v>5001</v>
      </c>
      <c r="F130" s="25" t="s">
        <v>605</v>
      </c>
      <c r="G130" s="25">
        <v>3</v>
      </c>
      <c r="H130" s="25" t="s">
        <v>237</v>
      </c>
      <c r="I130" s="25" t="s">
        <v>65</v>
      </c>
      <c r="J130" s="25" t="s">
        <v>66</v>
      </c>
      <c r="K130" s="38">
        <v>45986.511111111111</v>
      </c>
      <c r="L130" s="25" t="s">
        <v>67</v>
      </c>
      <c r="M130" s="25" t="str">
        <f>VLOOKUP(E130,[1]TIPOLOGIAS!$A:$G,5,0)</f>
        <v>PRINCIPAL</v>
      </c>
      <c r="N130" s="25" t="str">
        <f>VLOOKUP(E130,[1]TIPOLOGIAS!$A:$G,4,0)</f>
        <v>MEDELLIN</v>
      </c>
      <c r="O130" s="25" t="str">
        <f>VLOOKUP(N130,'BASE TARIFA 2025'!E:F,2,0)</f>
        <v>WOMPI NOROCCIDENTE</v>
      </c>
      <c r="P130" s="40">
        <f>VLOOKUP(M130,'BASE TARIFA 2025'!A:C,3,0)</f>
        <v>46451</v>
      </c>
      <c r="Q130" s="26" t="str">
        <f t="shared" si="2"/>
        <v>100%</v>
      </c>
      <c r="R130" s="41">
        <f t="shared" si="3"/>
        <v>139353</v>
      </c>
    </row>
    <row r="131" spans="1:18" ht="15" customHeight="1" x14ac:dyDescent="0.3">
      <c r="A131" s="25">
        <v>35323</v>
      </c>
      <c r="B131" s="25" t="s">
        <v>476</v>
      </c>
      <c r="C131" s="25" t="s">
        <v>77</v>
      </c>
      <c r="D131" s="25" t="s">
        <v>26</v>
      </c>
      <c r="E131" s="25">
        <v>68001</v>
      </c>
      <c r="F131" s="25" t="s">
        <v>606</v>
      </c>
      <c r="G131" s="25">
        <v>2</v>
      </c>
      <c r="H131" s="25" t="s">
        <v>238</v>
      </c>
      <c r="I131" s="25" t="s">
        <v>65</v>
      </c>
      <c r="J131" s="25" t="s">
        <v>66</v>
      </c>
      <c r="K131" s="38">
        <v>45986.460416666669</v>
      </c>
      <c r="L131" s="25" t="s">
        <v>67</v>
      </c>
      <c r="M131" s="25" t="str">
        <f>VLOOKUP(E131,[1]TIPOLOGIAS!$A:$G,5,0)</f>
        <v>PRINCIPAL</v>
      </c>
      <c r="N131" s="25" t="str">
        <f>VLOOKUP(E131,[1]TIPOLOGIAS!$A:$G,4,0)</f>
        <v>BUCARAMANGA</v>
      </c>
      <c r="O131" s="25" t="str">
        <f>VLOOKUP(N131,'BASE TARIFA 2025'!E:F,2,0)</f>
        <v>WOMPI SANTANDERES</v>
      </c>
      <c r="P131" s="40">
        <f>VLOOKUP(M131,'BASE TARIFA 2025'!A:C,3,0)</f>
        <v>46451</v>
      </c>
      <c r="Q131" s="26" t="str">
        <f t="shared" ref="Q131:Q194" si="4">IF(L131="EJECUTADO","100%", "75%")</f>
        <v>100%</v>
      </c>
      <c r="R131" s="41">
        <f t="shared" ref="R131:R194" si="5">G131*P131*Q131</f>
        <v>92902</v>
      </c>
    </row>
    <row r="132" spans="1:18" ht="15" customHeight="1" x14ac:dyDescent="0.3">
      <c r="A132" s="25">
        <v>53961</v>
      </c>
      <c r="B132" s="25" t="s">
        <v>476</v>
      </c>
      <c r="C132" s="25" t="s">
        <v>79</v>
      </c>
      <c r="D132" s="25" t="s">
        <v>33</v>
      </c>
      <c r="E132" s="25">
        <v>15001</v>
      </c>
      <c r="F132" s="25" t="s">
        <v>607</v>
      </c>
      <c r="G132" s="25">
        <v>2</v>
      </c>
      <c r="H132" s="25" t="s">
        <v>239</v>
      </c>
      <c r="I132" s="25" t="s">
        <v>65</v>
      </c>
      <c r="J132" s="25" t="s">
        <v>66</v>
      </c>
      <c r="K132" s="38">
        <v>45985.584722222222</v>
      </c>
      <c r="L132" s="25" t="s">
        <v>67</v>
      </c>
      <c r="M132" s="25" t="str">
        <f>VLOOKUP(E132,[1]TIPOLOGIAS!$A:$G,5,0)</f>
        <v>PRINCIPAL</v>
      </c>
      <c r="N132" s="25" t="str">
        <f>VLOOKUP(E132,[1]TIPOLOGIAS!$A:$G,4,0)</f>
        <v>TUNJA</v>
      </c>
      <c r="O132" s="25" t="str">
        <f>VLOOKUP(N132,'BASE TARIFA 2025'!E:F,2,0)</f>
        <v>WOMPI SANTANDERES</v>
      </c>
      <c r="P132" s="40">
        <f>VLOOKUP(M132,'BASE TARIFA 2025'!A:C,3,0)</f>
        <v>46451</v>
      </c>
      <c r="Q132" s="26" t="str">
        <f t="shared" si="4"/>
        <v>100%</v>
      </c>
      <c r="R132" s="41">
        <f t="shared" si="5"/>
        <v>92902</v>
      </c>
    </row>
    <row r="133" spans="1:18" ht="15" customHeight="1" x14ac:dyDescent="0.3">
      <c r="A133" s="25">
        <v>54137</v>
      </c>
      <c r="B133" s="25" t="s">
        <v>491</v>
      </c>
      <c r="C133" s="25" t="s">
        <v>81</v>
      </c>
      <c r="D133" s="25" t="s">
        <v>43</v>
      </c>
      <c r="E133" s="25">
        <v>20001</v>
      </c>
      <c r="F133" s="25" t="s">
        <v>608</v>
      </c>
      <c r="G133" s="25">
        <v>2</v>
      </c>
      <c r="H133" s="25" t="s">
        <v>240</v>
      </c>
      <c r="I133" s="25" t="s">
        <v>65</v>
      </c>
      <c r="J133" s="25" t="s">
        <v>66</v>
      </c>
      <c r="K133" s="38">
        <v>45987.59652777778</v>
      </c>
      <c r="L133" s="25" t="s">
        <v>67</v>
      </c>
      <c r="M133" s="25" t="str">
        <f>VLOOKUP(E133,[1]TIPOLOGIAS!$A:$G,5,0)</f>
        <v>PRINCIPAL</v>
      </c>
      <c r="N133" s="25" t="str">
        <f>VLOOKUP(E133,[1]TIPOLOGIAS!$A:$G,4,0)</f>
        <v>VALLEDUPAR</v>
      </c>
      <c r="O133" s="25" t="str">
        <f>VLOOKUP(N133,'BASE TARIFA 2025'!E:F,2,0)</f>
        <v>WOMPI COSTA</v>
      </c>
      <c r="P133" s="40">
        <f>VLOOKUP(M133,'BASE TARIFA 2025'!A:C,3,0)</f>
        <v>46451</v>
      </c>
      <c r="Q133" s="26" t="str">
        <f t="shared" si="4"/>
        <v>100%</v>
      </c>
      <c r="R133" s="41">
        <f t="shared" si="5"/>
        <v>92902</v>
      </c>
    </row>
    <row r="134" spans="1:18" ht="15" customHeight="1" x14ac:dyDescent="0.3">
      <c r="A134" s="25">
        <v>54716</v>
      </c>
      <c r="B134" s="25" t="s">
        <v>470</v>
      </c>
      <c r="C134" s="25" t="s">
        <v>63</v>
      </c>
      <c r="D134" s="25" t="s">
        <v>64</v>
      </c>
      <c r="E134" s="25">
        <v>11001</v>
      </c>
      <c r="F134" s="25" t="s">
        <v>609</v>
      </c>
      <c r="G134" s="25">
        <v>2</v>
      </c>
      <c r="H134" s="25" t="s">
        <v>241</v>
      </c>
      <c r="I134" s="25" t="s">
        <v>65</v>
      </c>
      <c r="J134" s="25" t="s">
        <v>66</v>
      </c>
      <c r="K134" s="38">
        <v>45985.481944444444</v>
      </c>
      <c r="L134" s="25" t="s">
        <v>67</v>
      </c>
      <c r="M134" s="25" t="str">
        <f>VLOOKUP(E134,[1]TIPOLOGIAS!$A:$G,5,0)</f>
        <v>PRINCIPAL</v>
      </c>
      <c r="N134" s="25" t="str">
        <f>VLOOKUP(E134,[1]TIPOLOGIAS!$A:$G,4,0)</f>
        <v>BOGOTA</v>
      </c>
      <c r="O134" s="25" t="str">
        <f>VLOOKUP(N134,'BASE TARIFA 2025'!E:F,2,0)</f>
        <v>WOMPI CENTRO</v>
      </c>
      <c r="P134" s="40">
        <f>VLOOKUP(M134,'BASE TARIFA 2025'!A:C,3,0)</f>
        <v>46451</v>
      </c>
      <c r="Q134" s="26" t="str">
        <f t="shared" si="4"/>
        <v>100%</v>
      </c>
      <c r="R134" s="41">
        <f t="shared" si="5"/>
        <v>92902</v>
      </c>
    </row>
    <row r="135" spans="1:18" ht="15" customHeight="1" x14ac:dyDescent="0.3">
      <c r="A135" s="25">
        <v>55674</v>
      </c>
      <c r="B135" s="25" t="s">
        <v>481</v>
      </c>
      <c r="C135" s="25" t="s">
        <v>85</v>
      </c>
      <c r="D135" s="25" t="s">
        <v>22</v>
      </c>
      <c r="E135" s="25">
        <v>66001</v>
      </c>
      <c r="F135" s="25" t="s">
        <v>610</v>
      </c>
      <c r="G135" s="25">
        <v>2</v>
      </c>
      <c r="H135" s="25" t="s">
        <v>242</v>
      </c>
      <c r="I135" s="25" t="s">
        <v>65</v>
      </c>
      <c r="J135" s="25" t="s">
        <v>66</v>
      </c>
      <c r="K135" s="38">
        <v>45985.425694444442</v>
      </c>
      <c r="L135" s="25" t="s">
        <v>67</v>
      </c>
      <c r="M135" s="25" t="str">
        <f>VLOOKUP(E135,[1]TIPOLOGIAS!$A:$G,5,0)</f>
        <v>PRINCIPAL</v>
      </c>
      <c r="N135" s="25" t="str">
        <f>VLOOKUP(E135,[1]TIPOLOGIAS!$A:$G,4,0)</f>
        <v>PEREIRA</v>
      </c>
      <c r="O135" s="25" t="str">
        <f>VLOOKUP(N135,'BASE TARIFA 2025'!E:F,2,0)</f>
        <v>WOMPI EJE CAFETERO</v>
      </c>
      <c r="P135" s="40">
        <f>VLOOKUP(M135,'BASE TARIFA 2025'!A:C,3,0)</f>
        <v>46451</v>
      </c>
      <c r="Q135" s="26" t="str">
        <f t="shared" si="4"/>
        <v>100%</v>
      </c>
      <c r="R135" s="41">
        <f t="shared" si="5"/>
        <v>92902</v>
      </c>
    </row>
    <row r="136" spans="1:18" ht="15" customHeight="1" x14ac:dyDescent="0.3">
      <c r="A136" s="25">
        <v>55712</v>
      </c>
      <c r="B136" s="25" t="s">
        <v>90</v>
      </c>
      <c r="C136" s="25" t="s">
        <v>90</v>
      </c>
      <c r="D136" s="25" t="s">
        <v>91</v>
      </c>
      <c r="E136" s="25">
        <v>5001</v>
      </c>
      <c r="F136" s="25" t="s">
        <v>611</v>
      </c>
      <c r="G136" s="25">
        <v>2</v>
      </c>
      <c r="H136" s="25" t="s">
        <v>243</v>
      </c>
      <c r="I136" s="25" t="s">
        <v>65</v>
      </c>
      <c r="J136" s="25" t="s">
        <v>66</v>
      </c>
      <c r="K136" s="38">
        <v>45985.513194444444</v>
      </c>
      <c r="L136" s="25" t="s">
        <v>67</v>
      </c>
      <c r="M136" s="25" t="str">
        <f>VLOOKUP(E136,[1]TIPOLOGIAS!$A:$G,5,0)</f>
        <v>PRINCIPAL</v>
      </c>
      <c r="N136" s="25" t="str">
        <f>VLOOKUP(E136,[1]TIPOLOGIAS!$A:$G,4,0)</f>
        <v>MEDELLIN</v>
      </c>
      <c r="O136" s="25" t="str">
        <f>VLOOKUP(N136,'BASE TARIFA 2025'!E:F,2,0)</f>
        <v>WOMPI NOROCCIDENTE</v>
      </c>
      <c r="P136" s="40">
        <f>VLOOKUP(M136,'BASE TARIFA 2025'!A:C,3,0)</f>
        <v>46451</v>
      </c>
      <c r="Q136" s="26" t="str">
        <f t="shared" si="4"/>
        <v>100%</v>
      </c>
      <c r="R136" s="41">
        <f t="shared" si="5"/>
        <v>92902</v>
      </c>
    </row>
    <row r="137" spans="1:18" ht="15" customHeight="1" x14ac:dyDescent="0.3">
      <c r="A137" s="25">
        <v>56205</v>
      </c>
      <c r="B137" s="25" t="s">
        <v>481</v>
      </c>
      <c r="C137" s="25" t="s">
        <v>82</v>
      </c>
      <c r="D137" s="25" t="s">
        <v>20</v>
      </c>
      <c r="E137" s="25">
        <v>76001</v>
      </c>
      <c r="F137" s="25" t="s">
        <v>612</v>
      </c>
      <c r="G137" s="25">
        <v>2</v>
      </c>
      <c r="H137" s="25" t="s">
        <v>244</v>
      </c>
      <c r="I137" s="25" t="s">
        <v>65</v>
      </c>
      <c r="J137" s="25" t="s">
        <v>66</v>
      </c>
      <c r="K137" s="38">
        <v>45985.547222222223</v>
      </c>
      <c r="L137" s="25" t="s">
        <v>67</v>
      </c>
      <c r="M137" s="25" t="str">
        <f>VLOOKUP(E137,[1]TIPOLOGIAS!$A:$G,5,0)</f>
        <v>PRINCIPAL</v>
      </c>
      <c r="N137" s="25" t="str">
        <f>VLOOKUP(E137,[1]TIPOLOGIAS!$A:$G,4,0)</f>
        <v>CALI</v>
      </c>
      <c r="O137" s="25" t="str">
        <f>VLOOKUP(N137,'BASE TARIFA 2025'!E:F,2,0)</f>
        <v>WOMPI SUROCCIDENTE</v>
      </c>
      <c r="P137" s="40">
        <f>VLOOKUP(M137,'BASE TARIFA 2025'!A:C,3,0)</f>
        <v>46451</v>
      </c>
      <c r="Q137" s="26" t="str">
        <f t="shared" si="4"/>
        <v>100%</v>
      </c>
      <c r="R137" s="41">
        <f t="shared" si="5"/>
        <v>92902</v>
      </c>
    </row>
    <row r="138" spans="1:18" ht="15" customHeight="1" x14ac:dyDescent="0.3">
      <c r="A138" s="25">
        <v>56386</v>
      </c>
      <c r="B138" s="25" t="s">
        <v>90</v>
      </c>
      <c r="C138" s="25" t="s">
        <v>90</v>
      </c>
      <c r="D138" s="25" t="s">
        <v>91</v>
      </c>
      <c r="E138" s="25">
        <v>5001</v>
      </c>
      <c r="F138" s="25" t="s">
        <v>613</v>
      </c>
      <c r="G138" s="25">
        <v>2</v>
      </c>
      <c r="H138" s="25" t="s">
        <v>245</v>
      </c>
      <c r="I138" s="25" t="s">
        <v>65</v>
      </c>
      <c r="J138" s="25" t="s">
        <v>66</v>
      </c>
      <c r="K138" s="38">
        <v>45983.461805555555</v>
      </c>
      <c r="L138" s="25" t="s">
        <v>67</v>
      </c>
      <c r="M138" s="25" t="str">
        <f>VLOOKUP(E138,[1]TIPOLOGIAS!$A:$G,5,0)</f>
        <v>PRINCIPAL</v>
      </c>
      <c r="N138" s="25" t="str">
        <f>VLOOKUP(E138,[1]TIPOLOGIAS!$A:$G,4,0)</f>
        <v>MEDELLIN</v>
      </c>
      <c r="O138" s="25" t="str">
        <f>VLOOKUP(N138,'BASE TARIFA 2025'!E:F,2,0)</f>
        <v>WOMPI NOROCCIDENTE</v>
      </c>
      <c r="P138" s="40">
        <f>VLOOKUP(M138,'BASE TARIFA 2025'!A:C,3,0)</f>
        <v>46451</v>
      </c>
      <c r="Q138" s="26" t="str">
        <f t="shared" si="4"/>
        <v>100%</v>
      </c>
      <c r="R138" s="41">
        <f t="shared" si="5"/>
        <v>92902</v>
      </c>
    </row>
    <row r="139" spans="1:18" ht="15" customHeight="1" x14ac:dyDescent="0.3">
      <c r="A139" s="25">
        <v>56444</v>
      </c>
      <c r="B139" s="25" t="s">
        <v>470</v>
      </c>
      <c r="C139" s="25" t="s">
        <v>63</v>
      </c>
      <c r="D139" s="25" t="s">
        <v>64</v>
      </c>
      <c r="E139" s="25">
        <v>11001</v>
      </c>
      <c r="F139" s="25" t="s">
        <v>614</v>
      </c>
      <c r="G139" s="25">
        <v>2</v>
      </c>
      <c r="H139" s="25" t="s">
        <v>246</v>
      </c>
      <c r="I139" s="25" t="s">
        <v>65</v>
      </c>
      <c r="J139" s="25" t="s">
        <v>66</v>
      </c>
      <c r="K139" s="38">
        <v>45983.5625</v>
      </c>
      <c r="L139" s="25" t="s">
        <v>67</v>
      </c>
      <c r="M139" s="25" t="str">
        <f>VLOOKUP(E139,[1]TIPOLOGIAS!$A:$G,5,0)</f>
        <v>PRINCIPAL</v>
      </c>
      <c r="N139" s="25" t="str">
        <f>VLOOKUP(E139,[1]TIPOLOGIAS!$A:$G,4,0)</f>
        <v>BOGOTA</v>
      </c>
      <c r="O139" s="25" t="str">
        <f>VLOOKUP(N139,'BASE TARIFA 2025'!E:F,2,0)</f>
        <v>WOMPI CENTRO</v>
      </c>
      <c r="P139" s="40">
        <f>VLOOKUP(M139,'BASE TARIFA 2025'!A:C,3,0)</f>
        <v>46451</v>
      </c>
      <c r="Q139" s="26" t="str">
        <f t="shared" si="4"/>
        <v>100%</v>
      </c>
      <c r="R139" s="41">
        <f t="shared" si="5"/>
        <v>92902</v>
      </c>
    </row>
    <row r="140" spans="1:18" ht="15" customHeight="1" x14ac:dyDescent="0.3">
      <c r="A140" s="25">
        <v>56777</v>
      </c>
      <c r="B140" s="25" t="s">
        <v>470</v>
      </c>
      <c r="C140" s="25" t="s">
        <v>63</v>
      </c>
      <c r="D140" s="25" t="s">
        <v>64</v>
      </c>
      <c r="E140" s="25">
        <v>11001</v>
      </c>
      <c r="F140" s="25" t="s">
        <v>615</v>
      </c>
      <c r="G140" s="25">
        <v>2</v>
      </c>
      <c r="H140" s="25" t="s">
        <v>247</v>
      </c>
      <c r="I140" s="25" t="s">
        <v>65</v>
      </c>
      <c r="J140" s="25" t="s">
        <v>66</v>
      </c>
      <c r="K140" s="38">
        <v>45986.369444444441</v>
      </c>
      <c r="L140" s="25" t="s">
        <v>67</v>
      </c>
      <c r="M140" s="25" t="str">
        <f>VLOOKUP(E140,[1]TIPOLOGIAS!$A:$G,5,0)</f>
        <v>PRINCIPAL</v>
      </c>
      <c r="N140" s="25" t="str">
        <f>VLOOKUP(E140,[1]TIPOLOGIAS!$A:$G,4,0)</f>
        <v>BOGOTA</v>
      </c>
      <c r="O140" s="25" t="str">
        <f>VLOOKUP(N140,'BASE TARIFA 2025'!E:F,2,0)</f>
        <v>WOMPI CENTRO</v>
      </c>
      <c r="P140" s="40">
        <f>VLOOKUP(M140,'BASE TARIFA 2025'!A:C,3,0)</f>
        <v>46451</v>
      </c>
      <c r="Q140" s="26" t="str">
        <f t="shared" si="4"/>
        <v>100%</v>
      </c>
      <c r="R140" s="41">
        <f t="shared" si="5"/>
        <v>92902</v>
      </c>
    </row>
    <row r="141" spans="1:18" ht="15" customHeight="1" x14ac:dyDescent="0.3">
      <c r="A141" s="25">
        <v>57291</v>
      </c>
      <c r="B141" s="25" t="s">
        <v>476</v>
      </c>
      <c r="C141" s="25" t="s">
        <v>77</v>
      </c>
      <c r="D141" s="25" t="s">
        <v>26</v>
      </c>
      <c r="E141" s="25">
        <v>68001</v>
      </c>
      <c r="F141" s="25" t="s">
        <v>616</v>
      </c>
      <c r="G141" s="25">
        <v>3</v>
      </c>
      <c r="H141" s="25" t="s">
        <v>248</v>
      </c>
      <c r="I141" s="25" t="s">
        <v>65</v>
      </c>
      <c r="J141" s="25" t="s">
        <v>66</v>
      </c>
      <c r="K141" s="38">
        <v>45987.381249999999</v>
      </c>
      <c r="L141" s="25" t="s">
        <v>67</v>
      </c>
      <c r="M141" s="25" t="str">
        <f>VLOOKUP(E141,[1]TIPOLOGIAS!$A:$G,5,0)</f>
        <v>PRINCIPAL</v>
      </c>
      <c r="N141" s="25" t="str">
        <f>VLOOKUP(E141,[1]TIPOLOGIAS!$A:$G,4,0)</f>
        <v>BUCARAMANGA</v>
      </c>
      <c r="O141" s="25" t="str">
        <f>VLOOKUP(N141,'BASE TARIFA 2025'!E:F,2,0)</f>
        <v>WOMPI SANTANDERES</v>
      </c>
      <c r="P141" s="40">
        <f>VLOOKUP(M141,'BASE TARIFA 2025'!A:C,3,0)</f>
        <v>46451</v>
      </c>
      <c r="Q141" s="26" t="str">
        <f t="shared" si="4"/>
        <v>100%</v>
      </c>
      <c r="R141" s="41">
        <f t="shared" si="5"/>
        <v>139353</v>
      </c>
    </row>
    <row r="142" spans="1:18" ht="15" customHeight="1" x14ac:dyDescent="0.3">
      <c r="A142" s="25">
        <v>57425</v>
      </c>
      <c r="B142" s="25" t="s">
        <v>90</v>
      </c>
      <c r="C142" s="25" t="s">
        <v>90</v>
      </c>
      <c r="D142" s="25" t="s">
        <v>547</v>
      </c>
      <c r="E142" s="25">
        <v>5308</v>
      </c>
      <c r="F142" s="25" t="s">
        <v>617</v>
      </c>
      <c r="G142" s="25">
        <v>2</v>
      </c>
      <c r="H142" s="25" t="s">
        <v>249</v>
      </c>
      <c r="I142" s="25" t="s">
        <v>65</v>
      </c>
      <c r="J142" s="25" t="s">
        <v>66</v>
      </c>
      <c r="K142" s="38">
        <v>45980.609027777777</v>
      </c>
      <c r="L142" s="25" t="s">
        <v>67</v>
      </c>
      <c r="M142" s="25" t="str">
        <f>VLOOKUP(E142,[1]TIPOLOGIAS!$A:$G,5,0)</f>
        <v>PRINCIPAL</v>
      </c>
      <c r="N142" s="25" t="str">
        <f>VLOOKUP(E142,[1]TIPOLOGIAS!$A:$G,4,0)</f>
        <v>MEDELLIN</v>
      </c>
      <c r="O142" s="25" t="str">
        <f>VLOOKUP(N142,'BASE TARIFA 2025'!E:F,2,0)</f>
        <v>WOMPI NOROCCIDENTE</v>
      </c>
      <c r="P142" s="40">
        <f>VLOOKUP(M142,'BASE TARIFA 2025'!A:C,3,0)</f>
        <v>46451</v>
      </c>
      <c r="Q142" s="26" t="str">
        <f t="shared" si="4"/>
        <v>100%</v>
      </c>
      <c r="R142" s="41">
        <f t="shared" si="5"/>
        <v>92902</v>
      </c>
    </row>
    <row r="143" spans="1:18" ht="15" customHeight="1" x14ac:dyDescent="0.3">
      <c r="A143" s="25">
        <v>59284</v>
      </c>
      <c r="B143" s="25" t="s">
        <v>476</v>
      </c>
      <c r="C143" s="25" t="s">
        <v>77</v>
      </c>
      <c r="D143" s="25" t="s">
        <v>26</v>
      </c>
      <c r="E143" s="25">
        <v>68001</v>
      </c>
      <c r="F143" s="25" t="s">
        <v>618</v>
      </c>
      <c r="G143" s="25">
        <v>2</v>
      </c>
      <c r="H143" s="25" t="s">
        <v>250</v>
      </c>
      <c r="I143" s="25" t="s">
        <v>65</v>
      </c>
      <c r="J143" s="25" t="s">
        <v>66</v>
      </c>
      <c r="K143" s="38">
        <v>45987.412499999999</v>
      </c>
      <c r="L143" s="25" t="s">
        <v>67</v>
      </c>
      <c r="M143" s="25" t="str">
        <f>VLOOKUP(E143,[1]TIPOLOGIAS!$A:$G,5,0)</f>
        <v>PRINCIPAL</v>
      </c>
      <c r="N143" s="25" t="str">
        <f>VLOOKUP(E143,[1]TIPOLOGIAS!$A:$G,4,0)</f>
        <v>BUCARAMANGA</v>
      </c>
      <c r="O143" s="25" t="str">
        <f>VLOOKUP(N143,'BASE TARIFA 2025'!E:F,2,0)</f>
        <v>WOMPI SANTANDERES</v>
      </c>
      <c r="P143" s="40">
        <f>VLOOKUP(M143,'BASE TARIFA 2025'!A:C,3,0)</f>
        <v>46451</v>
      </c>
      <c r="Q143" s="26" t="str">
        <f t="shared" si="4"/>
        <v>100%</v>
      </c>
      <c r="R143" s="41">
        <f t="shared" si="5"/>
        <v>92902</v>
      </c>
    </row>
    <row r="144" spans="1:18" ht="15" customHeight="1" x14ac:dyDescent="0.3">
      <c r="A144" s="25">
        <v>59748</v>
      </c>
      <c r="B144" s="25" t="s">
        <v>470</v>
      </c>
      <c r="C144" s="25" t="s">
        <v>63</v>
      </c>
      <c r="D144" s="25" t="s">
        <v>64</v>
      </c>
      <c r="E144" s="25">
        <v>11001</v>
      </c>
      <c r="F144" s="25" t="s">
        <v>619</v>
      </c>
      <c r="G144" s="25">
        <v>2</v>
      </c>
      <c r="H144" s="25" t="s">
        <v>251</v>
      </c>
      <c r="I144" s="25" t="s">
        <v>65</v>
      </c>
      <c r="J144" s="25" t="s">
        <v>66</v>
      </c>
      <c r="K144" s="38">
        <v>45982.642361111109</v>
      </c>
      <c r="L144" s="25" t="s">
        <v>67</v>
      </c>
      <c r="M144" s="25" t="str">
        <f>VLOOKUP(E144,[1]TIPOLOGIAS!$A:$G,5,0)</f>
        <v>PRINCIPAL</v>
      </c>
      <c r="N144" s="25" t="str">
        <f>VLOOKUP(E144,[1]TIPOLOGIAS!$A:$G,4,0)</f>
        <v>BOGOTA</v>
      </c>
      <c r="O144" s="25" t="str">
        <f>VLOOKUP(N144,'BASE TARIFA 2025'!E:F,2,0)</f>
        <v>WOMPI CENTRO</v>
      </c>
      <c r="P144" s="40">
        <f>VLOOKUP(M144,'BASE TARIFA 2025'!A:C,3,0)</f>
        <v>46451</v>
      </c>
      <c r="Q144" s="26" t="str">
        <f t="shared" si="4"/>
        <v>100%</v>
      </c>
      <c r="R144" s="41">
        <f t="shared" si="5"/>
        <v>92902</v>
      </c>
    </row>
    <row r="145" spans="1:18" ht="15" customHeight="1" x14ac:dyDescent="0.3">
      <c r="A145" s="25">
        <v>60045</v>
      </c>
      <c r="B145" s="25" t="s">
        <v>90</v>
      </c>
      <c r="C145" s="25" t="s">
        <v>90</v>
      </c>
      <c r="D145" s="25" t="s">
        <v>101</v>
      </c>
      <c r="E145" s="25">
        <v>5360</v>
      </c>
      <c r="F145" s="25" t="s">
        <v>620</v>
      </c>
      <c r="G145" s="25">
        <v>3</v>
      </c>
      <c r="H145" s="25" t="s">
        <v>252</v>
      </c>
      <c r="I145" s="25" t="s">
        <v>65</v>
      </c>
      <c r="J145" s="25" t="s">
        <v>66</v>
      </c>
      <c r="K145" s="38">
        <v>45980.640277777777</v>
      </c>
      <c r="L145" s="25" t="s">
        <v>67</v>
      </c>
      <c r="M145" s="25" t="str">
        <f>VLOOKUP(E145,[1]TIPOLOGIAS!$A:$G,5,0)</f>
        <v>PRINCIPAL</v>
      </c>
      <c r="N145" s="25" t="str">
        <f>VLOOKUP(E145,[1]TIPOLOGIAS!$A:$G,4,0)</f>
        <v>MEDELLIN</v>
      </c>
      <c r="O145" s="25" t="str">
        <f>VLOOKUP(N145,'BASE TARIFA 2025'!E:F,2,0)</f>
        <v>WOMPI NOROCCIDENTE</v>
      </c>
      <c r="P145" s="40">
        <f>VLOOKUP(M145,'BASE TARIFA 2025'!A:C,3,0)</f>
        <v>46451</v>
      </c>
      <c r="Q145" s="26" t="str">
        <f t="shared" si="4"/>
        <v>100%</v>
      </c>
      <c r="R145" s="41">
        <f t="shared" si="5"/>
        <v>139353</v>
      </c>
    </row>
    <row r="146" spans="1:18" ht="15" customHeight="1" x14ac:dyDescent="0.3">
      <c r="A146" s="25">
        <v>60270</v>
      </c>
      <c r="B146" s="25" t="s">
        <v>470</v>
      </c>
      <c r="C146" s="25" t="s">
        <v>63</v>
      </c>
      <c r="D146" s="25" t="s">
        <v>64</v>
      </c>
      <c r="E146" s="25">
        <v>11001</v>
      </c>
      <c r="F146" s="25" t="s">
        <v>621</v>
      </c>
      <c r="G146" s="25">
        <v>3</v>
      </c>
      <c r="H146" s="25" t="s">
        <v>253</v>
      </c>
      <c r="I146" s="25" t="s">
        <v>65</v>
      </c>
      <c r="J146" s="25" t="s">
        <v>66</v>
      </c>
      <c r="K146" s="38">
        <v>45982.494444444441</v>
      </c>
      <c r="L146" s="25" t="s">
        <v>67</v>
      </c>
      <c r="M146" s="25" t="str">
        <f>VLOOKUP(E146,[1]TIPOLOGIAS!$A:$G,5,0)</f>
        <v>PRINCIPAL</v>
      </c>
      <c r="N146" s="25" t="str">
        <f>VLOOKUP(E146,[1]TIPOLOGIAS!$A:$G,4,0)</f>
        <v>BOGOTA</v>
      </c>
      <c r="O146" s="25" t="str">
        <f>VLOOKUP(N146,'BASE TARIFA 2025'!E:F,2,0)</f>
        <v>WOMPI CENTRO</v>
      </c>
      <c r="P146" s="40">
        <f>VLOOKUP(M146,'BASE TARIFA 2025'!A:C,3,0)</f>
        <v>46451</v>
      </c>
      <c r="Q146" s="26" t="str">
        <f t="shared" si="4"/>
        <v>100%</v>
      </c>
      <c r="R146" s="41">
        <f t="shared" si="5"/>
        <v>139353</v>
      </c>
    </row>
    <row r="147" spans="1:18" ht="15" customHeight="1" x14ac:dyDescent="0.3">
      <c r="A147" s="25">
        <v>60996</v>
      </c>
      <c r="B147" s="25" t="s">
        <v>476</v>
      </c>
      <c r="C147" s="25" t="s">
        <v>75</v>
      </c>
      <c r="D147" s="25" t="s">
        <v>76</v>
      </c>
      <c r="E147" s="25">
        <v>73001</v>
      </c>
      <c r="F147" s="25" t="s">
        <v>622</v>
      </c>
      <c r="G147" s="25">
        <v>2</v>
      </c>
      <c r="H147" s="25" t="s">
        <v>254</v>
      </c>
      <c r="I147" s="25" t="s">
        <v>65</v>
      </c>
      <c r="J147" s="25" t="s">
        <v>66</v>
      </c>
      <c r="K147" s="38">
        <v>45986.59652777778</v>
      </c>
      <c r="L147" s="25" t="s">
        <v>67</v>
      </c>
      <c r="M147" s="25" t="str">
        <f>VLOOKUP(E147,[1]TIPOLOGIAS!$A:$G,5,0)</f>
        <v>PRINCIPAL</v>
      </c>
      <c r="N147" s="25" t="str">
        <f>VLOOKUP(E147,[1]TIPOLOGIAS!$A:$G,4,0)</f>
        <v>IBAGUE</v>
      </c>
      <c r="O147" s="25" t="str">
        <f>VLOOKUP(N147,'BASE TARIFA 2025'!E:F,2,0)</f>
        <v>WOMPI ORIENTE</v>
      </c>
      <c r="P147" s="40">
        <f>VLOOKUP(M147,'BASE TARIFA 2025'!A:C,3,0)</f>
        <v>46451</v>
      </c>
      <c r="Q147" s="26" t="str">
        <f t="shared" si="4"/>
        <v>100%</v>
      </c>
      <c r="R147" s="41">
        <f t="shared" si="5"/>
        <v>92902</v>
      </c>
    </row>
    <row r="148" spans="1:18" ht="15" customHeight="1" x14ac:dyDescent="0.3">
      <c r="A148" s="25">
        <v>61151</v>
      </c>
      <c r="B148" s="25" t="s">
        <v>470</v>
      </c>
      <c r="C148" s="25" t="s">
        <v>63</v>
      </c>
      <c r="D148" s="25" t="s">
        <v>64</v>
      </c>
      <c r="E148" s="25">
        <v>11001</v>
      </c>
      <c r="F148" s="25" t="s">
        <v>623</v>
      </c>
      <c r="G148" s="25">
        <v>2</v>
      </c>
      <c r="H148" s="25" t="s">
        <v>255</v>
      </c>
      <c r="I148" s="25" t="s">
        <v>65</v>
      </c>
      <c r="J148" s="25" t="s">
        <v>66</v>
      </c>
      <c r="K148" s="38">
        <v>45986.455555555556</v>
      </c>
      <c r="L148" s="25" t="s">
        <v>67</v>
      </c>
      <c r="M148" s="25" t="str">
        <f>VLOOKUP(E148,[1]TIPOLOGIAS!$A:$G,5,0)</f>
        <v>PRINCIPAL</v>
      </c>
      <c r="N148" s="25" t="str">
        <f>VLOOKUP(E148,[1]TIPOLOGIAS!$A:$G,4,0)</f>
        <v>BOGOTA</v>
      </c>
      <c r="O148" s="25" t="str">
        <f>VLOOKUP(N148,'BASE TARIFA 2025'!E:F,2,0)</f>
        <v>WOMPI CENTRO</v>
      </c>
      <c r="P148" s="40">
        <f>VLOOKUP(M148,'BASE TARIFA 2025'!A:C,3,0)</f>
        <v>46451</v>
      </c>
      <c r="Q148" s="26" t="str">
        <f t="shared" si="4"/>
        <v>100%</v>
      </c>
      <c r="R148" s="41">
        <f t="shared" si="5"/>
        <v>92902</v>
      </c>
    </row>
    <row r="149" spans="1:18" ht="15" customHeight="1" x14ac:dyDescent="0.3">
      <c r="A149" s="25">
        <v>61474</v>
      </c>
      <c r="B149" s="25" t="s">
        <v>470</v>
      </c>
      <c r="C149" s="25" t="s">
        <v>63</v>
      </c>
      <c r="D149" s="25" t="s">
        <v>64</v>
      </c>
      <c r="E149" s="25">
        <v>11001</v>
      </c>
      <c r="F149" s="25" t="s">
        <v>624</v>
      </c>
      <c r="G149" s="25">
        <v>2</v>
      </c>
      <c r="H149" s="25" t="s">
        <v>256</v>
      </c>
      <c r="I149" s="25" t="s">
        <v>65</v>
      </c>
      <c r="J149" s="25" t="s">
        <v>66</v>
      </c>
      <c r="K149" s="38">
        <v>45985.636111111111</v>
      </c>
      <c r="L149" s="25" t="s">
        <v>67</v>
      </c>
      <c r="M149" s="25" t="str">
        <f>VLOOKUP(E149,[1]TIPOLOGIAS!$A:$G,5,0)</f>
        <v>PRINCIPAL</v>
      </c>
      <c r="N149" s="25" t="str">
        <f>VLOOKUP(E149,[1]TIPOLOGIAS!$A:$G,4,0)</f>
        <v>BOGOTA</v>
      </c>
      <c r="O149" s="25" t="str">
        <f>VLOOKUP(N149,'BASE TARIFA 2025'!E:F,2,0)</f>
        <v>WOMPI CENTRO</v>
      </c>
      <c r="P149" s="40">
        <f>VLOOKUP(M149,'BASE TARIFA 2025'!A:C,3,0)</f>
        <v>46451</v>
      </c>
      <c r="Q149" s="26" t="str">
        <f t="shared" si="4"/>
        <v>100%</v>
      </c>
      <c r="R149" s="41">
        <f t="shared" si="5"/>
        <v>92902</v>
      </c>
    </row>
    <row r="150" spans="1:18" ht="15" customHeight="1" x14ac:dyDescent="0.3">
      <c r="A150" s="25">
        <v>61477</v>
      </c>
      <c r="B150" s="25" t="s">
        <v>470</v>
      </c>
      <c r="C150" s="25" t="s">
        <v>63</v>
      </c>
      <c r="D150" s="25" t="s">
        <v>64</v>
      </c>
      <c r="E150" s="25">
        <v>11001</v>
      </c>
      <c r="F150" s="25" t="s">
        <v>625</v>
      </c>
      <c r="G150" s="25">
        <v>3</v>
      </c>
      <c r="H150" s="25" t="s">
        <v>257</v>
      </c>
      <c r="I150" s="25" t="s">
        <v>65</v>
      </c>
      <c r="J150" s="25" t="s">
        <v>66</v>
      </c>
      <c r="K150" s="38">
        <v>45983.38958333333</v>
      </c>
      <c r="L150" s="25" t="s">
        <v>67</v>
      </c>
      <c r="M150" s="25" t="str">
        <f>VLOOKUP(E150,[1]TIPOLOGIAS!$A:$G,5,0)</f>
        <v>PRINCIPAL</v>
      </c>
      <c r="N150" s="25" t="str">
        <f>VLOOKUP(E150,[1]TIPOLOGIAS!$A:$G,4,0)</f>
        <v>BOGOTA</v>
      </c>
      <c r="O150" s="25" t="str">
        <f>VLOOKUP(N150,'BASE TARIFA 2025'!E:F,2,0)</f>
        <v>WOMPI CENTRO</v>
      </c>
      <c r="P150" s="40">
        <f>VLOOKUP(M150,'BASE TARIFA 2025'!A:C,3,0)</f>
        <v>46451</v>
      </c>
      <c r="Q150" s="26" t="str">
        <f t="shared" si="4"/>
        <v>100%</v>
      </c>
      <c r="R150" s="41">
        <f t="shared" si="5"/>
        <v>139353</v>
      </c>
    </row>
    <row r="151" spans="1:18" ht="15" customHeight="1" x14ac:dyDescent="0.3">
      <c r="A151" s="25">
        <v>61605</v>
      </c>
      <c r="B151" s="25" t="s">
        <v>476</v>
      </c>
      <c r="C151" s="25" t="s">
        <v>77</v>
      </c>
      <c r="D151" s="25" t="s">
        <v>26</v>
      </c>
      <c r="E151" s="25">
        <v>68001</v>
      </c>
      <c r="F151" s="25" t="s">
        <v>626</v>
      </c>
      <c r="G151" s="25">
        <v>2</v>
      </c>
      <c r="H151" s="25" t="s">
        <v>258</v>
      </c>
      <c r="I151" s="25" t="s">
        <v>65</v>
      </c>
      <c r="J151" s="25" t="s">
        <v>66</v>
      </c>
      <c r="K151" s="38">
        <v>45985.605555555558</v>
      </c>
      <c r="L151" s="25" t="s">
        <v>67</v>
      </c>
      <c r="M151" s="25" t="str">
        <f>VLOOKUP(E151,[1]TIPOLOGIAS!$A:$G,5,0)</f>
        <v>PRINCIPAL</v>
      </c>
      <c r="N151" s="25" t="str">
        <f>VLOOKUP(E151,[1]TIPOLOGIAS!$A:$G,4,0)</f>
        <v>BUCARAMANGA</v>
      </c>
      <c r="O151" s="25" t="str">
        <f>VLOOKUP(N151,'BASE TARIFA 2025'!E:F,2,0)</f>
        <v>WOMPI SANTANDERES</v>
      </c>
      <c r="P151" s="40">
        <f>VLOOKUP(M151,'BASE TARIFA 2025'!A:C,3,0)</f>
        <v>46451</v>
      </c>
      <c r="Q151" s="26" t="str">
        <f t="shared" si="4"/>
        <v>100%</v>
      </c>
      <c r="R151" s="41">
        <f t="shared" si="5"/>
        <v>92902</v>
      </c>
    </row>
    <row r="152" spans="1:18" ht="15" customHeight="1" x14ac:dyDescent="0.3">
      <c r="A152" s="25">
        <v>62037</v>
      </c>
      <c r="B152" s="25" t="s">
        <v>491</v>
      </c>
      <c r="C152" s="25" t="s">
        <v>81</v>
      </c>
      <c r="D152" s="25" t="s">
        <v>43</v>
      </c>
      <c r="E152" s="25">
        <v>20001</v>
      </c>
      <c r="F152" s="25" t="s">
        <v>627</v>
      </c>
      <c r="G152" s="25">
        <v>2</v>
      </c>
      <c r="H152" s="25" t="s">
        <v>259</v>
      </c>
      <c r="I152" s="25" t="s">
        <v>65</v>
      </c>
      <c r="J152" s="25" t="s">
        <v>66</v>
      </c>
      <c r="K152" s="38">
        <v>45987.454861111109</v>
      </c>
      <c r="L152" s="25" t="s">
        <v>67</v>
      </c>
      <c r="M152" s="25" t="str">
        <f>VLOOKUP(E152,[1]TIPOLOGIAS!$A:$G,5,0)</f>
        <v>PRINCIPAL</v>
      </c>
      <c r="N152" s="25" t="str">
        <f>VLOOKUP(E152,[1]TIPOLOGIAS!$A:$G,4,0)</f>
        <v>VALLEDUPAR</v>
      </c>
      <c r="O152" s="25" t="str">
        <f>VLOOKUP(N152,'BASE TARIFA 2025'!E:F,2,0)</f>
        <v>WOMPI COSTA</v>
      </c>
      <c r="P152" s="40">
        <f>VLOOKUP(M152,'BASE TARIFA 2025'!A:C,3,0)</f>
        <v>46451</v>
      </c>
      <c r="Q152" s="26" t="str">
        <f t="shared" si="4"/>
        <v>100%</v>
      </c>
      <c r="R152" s="41">
        <f t="shared" si="5"/>
        <v>92902</v>
      </c>
    </row>
    <row r="153" spans="1:18" ht="15" customHeight="1" x14ac:dyDescent="0.3">
      <c r="A153" s="25">
        <v>62357</v>
      </c>
      <c r="B153" s="25" t="s">
        <v>470</v>
      </c>
      <c r="C153" s="25" t="s">
        <v>63</v>
      </c>
      <c r="D153" s="25" t="s">
        <v>64</v>
      </c>
      <c r="E153" s="25">
        <v>11001</v>
      </c>
      <c r="F153" s="25" t="s">
        <v>628</v>
      </c>
      <c r="G153" s="25">
        <v>2</v>
      </c>
      <c r="H153" s="25" t="s">
        <v>260</v>
      </c>
      <c r="I153" s="25" t="s">
        <v>65</v>
      </c>
      <c r="J153" s="25" t="s">
        <v>66</v>
      </c>
      <c r="K153" s="38">
        <v>45983.510416666664</v>
      </c>
      <c r="L153" s="25" t="s">
        <v>67</v>
      </c>
      <c r="M153" s="25" t="str">
        <f>VLOOKUP(E153,[1]TIPOLOGIAS!$A:$G,5,0)</f>
        <v>PRINCIPAL</v>
      </c>
      <c r="N153" s="25" t="str">
        <f>VLOOKUP(E153,[1]TIPOLOGIAS!$A:$G,4,0)</f>
        <v>BOGOTA</v>
      </c>
      <c r="O153" s="25" t="str">
        <f>VLOOKUP(N153,'BASE TARIFA 2025'!E:F,2,0)</f>
        <v>WOMPI CENTRO</v>
      </c>
      <c r="P153" s="40">
        <f>VLOOKUP(M153,'BASE TARIFA 2025'!A:C,3,0)</f>
        <v>46451</v>
      </c>
      <c r="Q153" s="26" t="str">
        <f t="shared" si="4"/>
        <v>100%</v>
      </c>
      <c r="R153" s="41">
        <f t="shared" si="5"/>
        <v>92902</v>
      </c>
    </row>
    <row r="154" spans="1:18" ht="15" customHeight="1" x14ac:dyDescent="0.3">
      <c r="A154" s="25">
        <v>63050</v>
      </c>
      <c r="B154" s="25" t="s">
        <v>470</v>
      </c>
      <c r="C154" s="25" t="s">
        <v>63</v>
      </c>
      <c r="D154" s="25" t="s">
        <v>64</v>
      </c>
      <c r="E154" s="25">
        <v>11001</v>
      </c>
      <c r="F154" s="25" t="s">
        <v>629</v>
      </c>
      <c r="G154" s="25">
        <v>2</v>
      </c>
      <c r="H154" s="25" t="s">
        <v>261</v>
      </c>
      <c r="I154" s="25" t="s">
        <v>65</v>
      </c>
      <c r="J154" s="25" t="s">
        <v>66</v>
      </c>
      <c r="K154" s="38">
        <v>45985.51458333333</v>
      </c>
      <c r="L154" s="25" t="s">
        <v>67</v>
      </c>
      <c r="M154" s="25" t="str">
        <f>VLOOKUP(E154,[1]TIPOLOGIAS!$A:$G,5,0)</f>
        <v>PRINCIPAL</v>
      </c>
      <c r="N154" s="25" t="str">
        <f>VLOOKUP(E154,[1]TIPOLOGIAS!$A:$G,4,0)</f>
        <v>BOGOTA</v>
      </c>
      <c r="O154" s="25" t="str">
        <f>VLOOKUP(N154,'BASE TARIFA 2025'!E:F,2,0)</f>
        <v>WOMPI CENTRO</v>
      </c>
      <c r="P154" s="40">
        <f>VLOOKUP(M154,'BASE TARIFA 2025'!A:C,3,0)</f>
        <v>46451</v>
      </c>
      <c r="Q154" s="26" t="str">
        <f t="shared" si="4"/>
        <v>100%</v>
      </c>
      <c r="R154" s="41">
        <f t="shared" si="5"/>
        <v>92902</v>
      </c>
    </row>
    <row r="155" spans="1:18" ht="15" customHeight="1" x14ac:dyDescent="0.3">
      <c r="A155" s="25">
        <v>63575</v>
      </c>
      <c r="B155" s="25" t="s">
        <v>470</v>
      </c>
      <c r="C155" s="25" t="s">
        <v>63</v>
      </c>
      <c r="D155" s="25" t="s">
        <v>64</v>
      </c>
      <c r="E155" s="25">
        <v>11001</v>
      </c>
      <c r="F155" s="25" t="s">
        <v>630</v>
      </c>
      <c r="G155" s="25">
        <v>2</v>
      </c>
      <c r="H155" s="25" t="s">
        <v>262</v>
      </c>
      <c r="I155" s="25" t="s">
        <v>65</v>
      </c>
      <c r="J155" s="25" t="s">
        <v>66</v>
      </c>
      <c r="K155" s="38">
        <v>45986.560416666667</v>
      </c>
      <c r="L155" s="25" t="s">
        <v>67</v>
      </c>
      <c r="M155" s="25" t="str">
        <f>VLOOKUP(E155,[1]TIPOLOGIAS!$A:$G,5,0)</f>
        <v>PRINCIPAL</v>
      </c>
      <c r="N155" s="25" t="str">
        <f>VLOOKUP(E155,[1]TIPOLOGIAS!$A:$G,4,0)</f>
        <v>BOGOTA</v>
      </c>
      <c r="O155" s="25" t="str">
        <f>VLOOKUP(N155,'BASE TARIFA 2025'!E:F,2,0)</f>
        <v>WOMPI CENTRO</v>
      </c>
      <c r="P155" s="40">
        <f>VLOOKUP(M155,'BASE TARIFA 2025'!A:C,3,0)</f>
        <v>46451</v>
      </c>
      <c r="Q155" s="26" t="str">
        <f t="shared" si="4"/>
        <v>100%</v>
      </c>
      <c r="R155" s="41">
        <f t="shared" si="5"/>
        <v>92902</v>
      </c>
    </row>
    <row r="156" spans="1:18" ht="15" customHeight="1" x14ac:dyDescent="0.3">
      <c r="A156" s="25">
        <v>63933</v>
      </c>
      <c r="B156" s="25" t="s">
        <v>476</v>
      </c>
      <c r="C156" s="25" t="s">
        <v>77</v>
      </c>
      <c r="D156" s="25" t="s">
        <v>26</v>
      </c>
      <c r="E156" s="25">
        <v>68001</v>
      </c>
      <c r="F156" s="25" t="s">
        <v>631</v>
      </c>
      <c r="G156" s="25">
        <v>3</v>
      </c>
      <c r="H156" s="25" t="s">
        <v>263</v>
      </c>
      <c r="I156" s="25" t="s">
        <v>65</v>
      </c>
      <c r="J156" s="25" t="s">
        <v>66</v>
      </c>
      <c r="K156" s="38">
        <v>45986.384027777778</v>
      </c>
      <c r="L156" s="25" t="s">
        <v>67</v>
      </c>
      <c r="M156" s="25" t="str">
        <f>VLOOKUP(E156,[1]TIPOLOGIAS!$A:$G,5,0)</f>
        <v>PRINCIPAL</v>
      </c>
      <c r="N156" s="25" t="str">
        <f>VLOOKUP(E156,[1]TIPOLOGIAS!$A:$G,4,0)</f>
        <v>BUCARAMANGA</v>
      </c>
      <c r="O156" s="25" t="str">
        <f>VLOOKUP(N156,'BASE TARIFA 2025'!E:F,2,0)</f>
        <v>WOMPI SANTANDERES</v>
      </c>
      <c r="P156" s="40">
        <f>VLOOKUP(M156,'BASE TARIFA 2025'!A:C,3,0)</f>
        <v>46451</v>
      </c>
      <c r="Q156" s="26" t="str">
        <f t="shared" si="4"/>
        <v>100%</v>
      </c>
      <c r="R156" s="41">
        <f t="shared" si="5"/>
        <v>139353</v>
      </c>
    </row>
    <row r="157" spans="1:18" ht="15" customHeight="1" x14ac:dyDescent="0.3">
      <c r="A157" s="25">
        <v>64464</v>
      </c>
      <c r="B157" s="25" t="s">
        <v>476</v>
      </c>
      <c r="C157" s="25" t="s">
        <v>77</v>
      </c>
      <c r="D157" s="25" t="s">
        <v>26</v>
      </c>
      <c r="E157" s="25">
        <v>68001</v>
      </c>
      <c r="F157" s="25" t="s">
        <v>632</v>
      </c>
      <c r="G157" s="25">
        <v>2</v>
      </c>
      <c r="H157" s="25" t="s">
        <v>264</v>
      </c>
      <c r="I157" s="25" t="s">
        <v>65</v>
      </c>
      <c r="J157" s="25" t="s">
        <v>66</v>
      </c>
      <c r="K157" s="38">
        <v>45986.344444444447</v>
      </c>
      <c r="L157" s="25" t="s">
        <v>67</v>
      </c>
      <c r="M157" s="25" t="str">
        <f>VLOOKUP(E157,[1]TIPOLOGIAS!$A:$G,5,0)</f>
        <v>PRINCIPAL</v>
      </c>
      <c r="N157" s="25" t="str">
        <f>VLOOKUP(E157,[1]TIPOLOGIAS!$A:$G,4,0)</f>
        <v>BUCARAMANGA</v>
      </c>
      <c r="O157" s="25" t="str">
        <f>VLOOKUP(N157,'BASE TARIFA 2025'!E:F,2,0)</f>
        <v>WOMPI SANTANDERES</v>
      </c>
      <c r="P157" s="40">
        <f>VLOOKUP(M157,'BASE TARIFA 2025'!A:C,3,0)</f>
        <v>46451</v>
      </c>
      <c r="Q157" s="26" t="str">
        <f t="shared" si="4"/>
        <v>100%</v>
      </c>
      <c r="R157" s="41">
        <f t="shared" si="5"/>
        <v>92902</v>
      </c>
    </row>
    <row r="158" spans="1:18" ht="15" customHeight="1" x14ac:dyDescent="0.3">
      <c r="A158" s="25">
        <v>65331</v>
      </c>
      <c r="B158" s="25" t="s">
        <v>470</v>
      </c>
      <c r="C158" s="25" t="s">
        <v>63</v>
      </c>
      <c r="D158" s="25" t="s">
        <v>64</v>
      </c>
      <c r="E158" s="25">
        <v>11001</v>
      </c>
      <c r="F158" s="25" t="s">
        <v>633</v>
      </c>
      <c r="G158" s="25">
        <v>2</v>
      </c>
      <c r="H158" s="25" t="s">
        <v>265</v>
      </c>
      <c r="I158" s="25" t="s">
        <v>65</v>
      </c>
      <c r="J158" s="25" t="s">
        <v>66</v>
      </c>
      <c r="K158" s="38">
        <v>45986.499305555553</v>
      </c>
      <c r="L158" s="25" t="s">
        <v>67</v>
      </c>
      <c r="M158" s="25" t="str">
        <f>VLOOKUP(E158,[1]TIPOLOGIAS!$A:$G,5,0)</f>
        <v>PRINCIPAL</v>
      </c>
      <c r="N158" s="25" t="str">
        <f>VLOOKUP(E158,[1]TIPOLOGIAS!$A:$G,4,0)</f>
        <v>BOGOTA</v>
      </c>
      <c r="O158" s="25" t="str">
        <f>VLOOKUP(N158,'BASE TARIFA 2025'!E:F,2,0)</f>
        <v>WOMPI CENTRO</v>
      </c>
      <c r="P158" s="40">
        <f>VLOOKUP(M158,'BASE TARIFA 2025'!A:C,3,0)</f>
        <v>46451</v>
      </c>
      <c r="Q158" s="26" t="str">
        <f t="shared" si="4"/>
        <v>100%</v>
      </c>
      <c r="R158" s="41">
        <f t="shared" si="5"/>
        <v>92902</v>
      </c>
    </row>
    <row r="159" spans="1:18" ht="15" customHeight="1" x14ac:dyDescent="0.3">
      <c r="A159" s="25">
        <v>65771</v>
      </c>
      <c r="B159" s="25" t="s">
        <v>470</v>
      </c>
      <c r="C159" s="25" t="s">
        <v>63</v>
      </c>
      <c r="D159" s="25" t="s">
        <v>64</v>
      </c>
      <c r="E159" s="25">
        <v>11001</v>
      </c>
      <c r="F159" s="25" t="s">
        <v>634</v>
      </c>
      <c r="G159" s="25">
        <v>2</v>
      </c>
      <c r="H159" s="25" t="s">
        <v>266</v>
      </c>
      <c r="I159" s="25" t="s">
        <v>65</v>
      </c>
      <c r="J159" s="25" t="s">
        <v>66</v>
      </c>
      <c r="K159" s="38">
        <v>45983.525694444441</v>
      </c>
      <c r="L159" s="25" t="s">
        <v>67</v>
      </c>
      <c r="M159" s="25" t="str">
        <f>VLOOKUP(E159,[1]TIPOLOGIAS!$A:$G,5,0)</f>
        <v>PRINCIPAL</v>
      </c>
      <c r="N159" s="25" t="str">
        <f>VLOOKUP(E159,[1]TIPOLOGIAS!$A:$G,4,0)</f>
        <v>BOGOTA</v>
      </c>
      <c r="O159" s="25" t="str">
        <f>VLOOKUP(N159,'BASE TARIFA 2025'!E:F,2,0)</f>
        <v>WOMPI CENTRO</v>
      </c>
      <c r="P159" s="40">
        <f>VLOOKUP(M159,'BASE TARIFA 2025'!A:C,3,0)</f>
        <v>46451</v>
      </c>
      <c r="Q159" s="26" t="str">
        <f t="shared" si="4"/>
        <v>100%</v>
      </c>
      <c r="R159" s="41">
        <f t="shared" si="5"/>
        <v>92902</v>
      </c>
    </row>
    <row r="160" spans="1:18" ht="15" customHeight="1" x14ac:dyDescent="0.3">
      <c r="A160" s="25">
        <v>66168</v>
      </c>
      <c r="B160" s="25" t="s">
        <v>470</v>
      </c>
      <c r="C160" s="25" t="s">
        <v>63</v>
      </c>
      <c r="D160" s="25" t="s">
        <v>64</v>
      </c>
      <c r="E160" s="25">
        <v>11001</v>
      </c>
      <c r="F160" s="25" t="s">
        <v>635</v>
      </c>
      <c r="G160" s="25">
        <v>2</v>
      </c>
      <c r="H160" s="25" t="s">
        <v>267</v>
      </c>
      <c r="I160" s="25" t="s">
        <v>65</v>
      </c>
      <c r="J160" s="25" t="s">
        <v>66</v>
      </c>
      <c r="K160" s="38">
        <v>45985.786111111112</v>
      </c>
      <c r="L160" s="25" t="s">
        <v>67</v>
      </c>
      <c r="M160" s="25" t="str">
        <f>VLOOKUP(E160,[1]TIPOLOGIAS!$A:$G,5,0)</f>
        <v>PRINCIPAL</v>
      </c>
      <c r="N160" s="25" t="str">
        <f>VLOOKUP(E160,[1]TIPOLOGIAS!$A:$G,4,0)</f>
        <v>BOGOTA</v>
      </c>
      <c r="O160" s="25" t="str">
        <f>VLOOKUP(N160,'BASE TARIFA 2025'!E:F,2,0)</f>
        <v>WOMPI CENTRO</v>
      </c>
      <c r="P160" s="40">
        <f>VLOOKUP(M160,'BASE TARIFA 2025'!A:C,3,0)</f>
        <v>46451</v>
      </c>
      <c r="Q160" s="26" t="str">
        <f t="shared" si="4"/>
        <v>100%</v>
      </c>
      <c r="R160" s="41">
        <f t="shared" si="5"/>
        <v>92902</v>
      </c>
    </row>
    <row r="161" spans="1:18" ht="15" customHeight="1" x14ac:dyDescent="0.3">
      <c r="A161" s="25">
        <v>66172</v>
      </c>
      <c r="B161" s="25" t="s">
        <v>470</v>
      </c>
      <c r="C161" s="25" t="s">
        <v>63</v>
      </c>
      <c r="D161" s="25" t="s">
        <v>64</v>
      </c>
      <c r="E161" s="25">
        <v>11001</v>
      </c>
      <c r="F161" s="25" t="s">
        <v>636</v>
      </c>
      <c r="G161" s="25">
        <v>2</v>
      </c>
      <c r="H161" s="25" t="s">
        <v>268</v>
      </c>
      <c r="I161" s="25" t="s">
        <v>65</v>
      </c>
      <c r="J161" s="25" t="s">
        <v>66</v>
      </c>
      <c r="K161" s="38">
        <v>45985.429861111108</v>
      </c>
      <c r="L161" s="25" t="s">
        <v>67</v>
      </c>
      <c r="M161" s="25" t="str">
        <f>VLOOKUP(E161,[1]TIPOLOGIAS!$A:$G,5,0)</f>
        <v>PRINCIPAL</v>
      </c>
      <c r="N161" s="25" t="str">
        <f>VLOOKUP(E161,[1]TIPOLOGIAS!$A:$G,4,0)</f>
        <v>BOGOTA</v>
      </c>
      <c r="O161" s="25" t="str">
        <f>VLOOKUP(N161,'BASE TARIFA 2025'!E:F,2,0)</f>
        <v>WOMPI CENTRO</v>
      </c>
      <c r="P161" s="40">
        <f>VLOOKUP(M161,'BASE TARIFA 2025'!A:C,3,0)</f>
        <v>46451</v>
      </c>
      <c r="Q161" s="26" t="str">
        <f t="shared" si="4"/>
        <v>100%</v>
      </c>
      <c r="R161" s="41">
        <f t="shared" si="5"/>
        <v>92902</v>
      </c>
    </row>
    <row r="162" spans="1:18" ht="15" customHeight="1" x14ac:dyDescent="0.3">
      <c r="A162" s="25">
        <v>66271</v>
      </c>
      <c r="B162" s="25" t="s">
        <v>90</v>
      </c>
      <c r="C162" s="25" t="s">
        <v>90</v>
      </c>
      <c r="D162" s="25" t="s">
        <v>91</v>
      </c>
      <c r="E162" s="25">
        <v>5001</v>
      </c>
      <c r="F162" s="25" t="s">
        <v>637</v>
      </c>
      <c r="G162" s="25">
        <v>2</v>
      </c>
      <c r="H162" s="25" t="s">
        <v>269</v>
      </c>
      <c r="I162" s="25" t="s">
        <v>65</v>
      </c>
      <c r="J162" s="25" t="s">
        <v>66</v>
      </c>
      <c r="K162" s="38">
        <v>45985.620138888888</v>
      </c>
      <c r="L162" s="25" t="s">
        <v>67</v>
      </c>
      <c r="M162" s="25" t="str">
        <f>VLOOKUP(E162,[1]TIPOLOGIAS!$A:$G,5,0)</f>
        <v>PRINCIPAL</v>
      </c>
      <c r="N162" s="25" t="str">
        <f>VLOOKUP(E162,[1]TIPOLOGIAS!$A:$G,4,0)</f>
        <v>MEDELLIN</v>
      </c>
      <c r="O162" s="25" t="str">
        <f>VLOOKUP(N162,'BASE TARIFA 2025'!E:F,2,0)</f>
        <v>WOMPI NOROCCIDENTE</v>
      </c>
      <c r="P162" s="40">
        <f>VLOOKUP(M162,'BASE TARIFA 2025'!A:C,3,0)</f>
        <v>46451</v>
      </c>
      <c r="Q162" s="26" t="str">
        <f t="shared" si="4"/>
        <v>100%</v>
      </c>
      <c r="R162" s="41">
        <f t="shared" si="5"/>
        <v>92902</v>
      </c>
    </row>
    <row r="163" spans="1:18" ht="15" customHeight="1" x14ac:dyDescent="0.3">
      <c r="A163" s="25">
        <v>66613</v>
      </c>
      <c r="B163" s="25" t="s">
        <v>470</v>
      </c>
      <c r="C163" s="25" t="s">
        <v>63</v>
      </c>
      <c r="D163" s="25" t="s">
        <v>64</v>
      </c>
      <c r="E163" s="25">
        <v>11001</v>
      </c>
      <c r="F163" s="25" t="s">
        <v>638</v>
      </c>
      <c r="G163" s="25">
        <v>2</v>
      </c>
      <c r="H163" s="25" t="s">
        <v>270</v>
      </c>
      <c r="I163" s="25" t="s">
        <v>65</v>
      </c>
      <c r="J163" s="25" t="s">
        <v>66</v>
      </c>
      <c r="K163" s="38">
        <v>45983.555555555555</v>
      </c>
      <c r="L163" s="25" t="s">
        <v>67</v>
      </c>
      <c r="M163" s="25" t="str">
        <f>VLOOKUP(E163,[1]TIPOLOGIAS!$A:$G,5,0)</f>
        <v>PRINCIPAL</v>
      </c>
      <c r="N163" s="25" t="str">
        <f>VLOOKUP(E163,[1]TIPOLOGIAS!$A:$G,4,0)</f>
        <v>BOGOTA</v>
      </c>
      <c r="O163" s="25" t="str">
        <f>VLOOKUP(N163,'BASE TARIFA 2025'!E:F,2,0)</f>
        <v>WOMPI CENTRO</v>
      </c>
      <c r="P163" s="40">
        <f>VLOOKUP(M163,'BASE TARIFA 2025'!A:C,3,0)</f>
        <v>46451</v>
      </c>
      <c r="Q163" s="26" t="str">
        <f t="shared" si="4"/>
        <v>100%</v>
      </c>
      <c r="R163" s="41">
        <f t="shared" si="5"/>
        <v>92902</v>
      </c>
    </row>
    <row r="164" spans="1:18" ht="15" customHeight="1" x14ac:dyDescent="0.3">
      <c r="A164" s="25">
        <v>66949</v>
      </c>
      <c r="B164" s="25" t="s">
        <v>470</v>
      </c>
      <c r="C164" s="25" t="s">
        <v>63</v>
      </c>
      <c r="D164" s="25" t="s">
        <v>64</v>
      </c>
      <c r="E164" s="25">
        <v>11001</v>
      </c>
      <c r="F164" s="25" t="s">
        <v>639</v>
      </c>
      <c r="G164" s="25">
        <v>2</v>
      </c>
      <c r="H164" s="25" t="s">
        <v>271</v>
      </c>
      <c r="I164" s="25" t="s">
        <v>65</v>
      </c>
      <c r="J164" s="25" t="s">
        <v>66</v>
      </c>
      <c r="K164" s="38">
        <v>45983.65625</v>
      </c>
      <c r="L164" s="25" t="s">
        <v>67</v>
      </c>
      <c r="M164" s="25" t="str">
        <f>VLOOKUP(E164,[1]TIPOLOGIAS!$A:$G,5,0)</f>
        <v>PRINCIPAL</v>
      </c>
      <c r="N164" s="25" t="str">
        <f>VLOOKUP(E164,[1]TIPOLOGIAS!$A:$G,4,0)</f>
        <v>BOGOTA</v>
      </c>
      <c r="O164" s="25" t="str">
        <f>VLOOKUP(N164,'BASE TARIFA 2025'!E:F,2,0)</f>
        <v>WOMPI CENTRO</v>
      </c>
      <c r="P164" s="40">
        <f>VLOOKUP(M164,'BASE TARIFA 2025'!A:C,3,0)</f>
        <v>46451</v>
      </c>
      <c r="Q164" s="26" t="str">
        <f t="shared" si="4"/>
        <v>100%</v>
      </c>
      <c r="R164" s="41">
        <f t="shared" si="5"/>
        <v>92902</v>
      </c>
    </row>
    <row r="165" spans="1:18" ht="15" customHeight="1" x14ac:dyDescent="0.3">
      <c r="A165" s="25">
        <v>66954</v>
      </c>
      <c r="B165" s="25" t="s">
        <v>470</v>
      </c>
      <c r="C165" s="25" t="s">
        <v>63</v>
      </c>
      <c r="D165" s="25" t="s">
        <v>64</v>
      </c>
      <c r="E165" s="25">
        <v>11001</v>
      </c>
      <c r="F165" s="25" t="s">
        <v>640</v>
      </c>
      <c r="G165" s="25">
        <v>2</v>
      </c>
      <c r="H165" s="25" t="s">
        <v>272</v>
      </c>
      <c r="I165" s="25" t="s">
        <v>65</v>
      </c>
      <c r="J165" s="25" t="s">
        <v>66</v>
      </c>
      <c r="K165" s="38">
        <v>45986.481944444444</v>
      </c>
      <c r="L165" s="25" t="s">
        <v>67</v>
      </c>
      <c r="M165" s="25" t="str">
        <f>VLOOKUP(E165,[1]TIPOLOGIAS!$A:$G,5,0)</f>
        <v>PRINCIPAL</v>
      </c>
      <c r="N165" s="25" t="str">
        <f>VLOOKUP(E165,[1]TIPOLOGIAS!$A:$G,4,0)</f>
        <v>BOGOTA</v>
      </c>
      <c r="O165" s="25" t="str">
        <f>VLOOKUP(N165,'BASE TARIFA 2025'!E:F,2,0)</f>
        <v>WOMPI CENTRO</v>
      </c>
      <c r="P165" s="40">
        <f>VLOOKUP(M165,'BASE TARIFA 2025'!A:C,3,0)</f>
        <v>46451</v>
      </c>
      <c r="Q165" s="26" t="str">
        <f t="shared" si="4"/>
        <v>100%</v>
      </c>
      <c r="R165" s="41">
        <f t="shared" si="5"/>
        <v>92902</v>
      </c>
    </row>
    <row r="166" spans="1:18" ht="15" customHeight="1" x14ac:dyDescent="0.3">
      <c r="A166" s="25">
        <v>67828</v>
      </c>
      <c r="B166" s="25" t="s">
        <v>476</v>
      </c>
      <c r="C166" s="25" t="s">
        <v>77</v>
      </c>
      <c r="D166" s="25" t="s">
        <v>26</v>
      </c>
      <c r="E166" s="25">
        <v>68001</v>
      </c>
      <c r="F166" s="25" t="s">
        <v>641</v>
      </c>
      <c r="G166" s="25">
        <v>2</v>
      </c>
      <c r="H166" s="25" t="s">
        <v>273</v>
      </c>
      <c r="I166" s="25" t="s">
        <v>65</v>
      </c>
      <c r="J166" s="25" t="s">
        <v>66</v>
      </c>
      <c r="K166" s="38">
        <v>45986.341666666667</v>
      </c>
      <c r="L166" s="25" t="s">
        <v>67</v>
      </c>
      <c r="M166" s="25" t="str">
        <f>VLOOKUP(E166,[1]TIPOLOGIAS!$A:$G,5,0)</f>
        <v>PRINCIPAL</v>
      </c>
      <c r="N166" s="25" t="str">
        <f>VLOOKUP(E166,[1]TIPOLOGIAS!$A:$G,4,0)</f>
        <v>BUCARAMANGA</v>
      </c>
      <c r="O166" s="25" t="str">
        <f>VLOOKUP(N166,'BASE TARIFA 2025'!E:F,2,0)</f>
        <v>WOMPI SANTANDERES</v>
      </c>
      <c r="P166" s="40">
        <f>VLOOKUP(M166,'BASE TARIFA 2025'!A:C,3,0)</f>
        <v>46451</v>
      </c>
      <c r="Q166" s="26" t="str">
        <f t="shared" si="4"/>
        <v>100%</v>
      </c>
      <c r="R166" s="41">
        <f t="shared" si="5"/>
        <v>92902</v>
      </c>
    </row>
    <row r="167" spans="1:18" ht="15" customHeight="1" x14ac:dyDescent="0.3">
      <c r="A167" s="25">
        <v>68011</v>
      </c>
      <c r="B167" s="25" t="s">
        <v>470</v>
      </c>
      <c r="C167" s="25" t="s">
        <v>63</v>
      </c>
      <c r="D167" s="25" t="s">
        <v>64</v>
      </c>
      <c r="E167" s="25">
        <v>11001</v>
      </c>
      <c r="F167" s="25" t="s">
        <v>642</v>
      </c>
      <c r="G167" s="25">
        <v>2</v>
      </c>
      <c r="H167" s="25" t="s">
        <v>274</v>
      </c>
      <c r="I167" s="25" t="s">
        <v>65</v>
      </c>
      <c r="J167" s="25" t="s">
        <v>66</v>
      </c>
      <c r="K167" s="38">
        <v>45985.601388888892</v>
      </c>
      <c r="L167" s="25" t="s">
        <v>67</v>
      </c>
      <c r="M167" s="25" t="str">
        <f>VLOOKUP(E167,[1]TIPOLOGIAS!$A:$G,5,0)</f>
        <v>PRINCIPAL</v>
      </c>
      <c r="N167" s="25" t="str">
        <f>VLOOKUP(E167,[1]TIPOLOGIAS!$A:$G,4,0)</f>
        <v>BOGOTA</v>
      </c>
      <c r="O167" s="25" t="str">
        <f>VLOOKUP(N167,'BASE TARIFA 2025'!E:F,2,0)</f>
        <v>WOMPI CENTRO</v>
      </c>
      <c r="P167" s="40">
        <f>VLOOKUP(M167,'BASE TARIFA 2025'!A:C,3,0)</f>
        <v>46451</v>
      </c>
      <c r="Q167" s="26" t="str">
        <f t="shared" si="4"/>
        <v>100%</v>
      </c>
      <c r="R167" s="41">
        <f t="shared" si="5"/>
        <v>92902</v>
      </c>
    </row>
    <row r="168" spans="1:18" ht="15" customHeight="1" x14ac:dyDescent="0.3">
      <c r="A168" s="25">
        <v>68181</v>
      </c>
      <c r="B168" s="25" t="s">
        <v>470</v>
      </c>
      <c r="C168" s="25" t="s">
        <v>63</v>
      </c>
      <c r="D168" s="25" t="s">
        <v>64</v>
      </c>
      <c r="E168" s="25">
        <v>11001</v>
      </c>
      <c r="F168" s="25" t="s">
        <v>643</v>
      </c>
      <c r="G168" s="25">
        <v>2</v>
      </c>
      <c r="H168" s="25" t="s">
        <v>275</v>
      </c>
      <c r="I168" s="25" t="s">
        <v>65</v>
      </c>
      <c r="J168" s="25" t="s">
        <v>66</v>
      </c>
      <c r="K168" s="38">
        <v>45982.486805555556</v>
      </c>
      <c r="L168" s="25" t="s">
        <v>67</v>
      </c>
      <c r="M168" s="25" t="str">
        <f>VLOOKUP(E168,[1]TIPOLOGIAS!$A:$G,5,0)</f>
        <v>PRINCIPAL</v>
      </c>
      <c r="N168" s="25" t="str">
        <f>VLOOKUP(E168,[1]TIPOLOGIAS!$A:$G,4,0)</f>
        <v>BOGOTA</v>
      </c>
      <c r="O168" s="25" t="str">
        <f>VLOOKUP(N168,'BASE TARIFA 2025'!E:F,2,0)</f>
        <v>WOMPI CENTRO</v>
      </c>
      <c r="P168" s="40">
        <f>VLOOKUP(M168,'BASE TARIFA 2025'!A:C,3,0)</f>
        <v>46451</v>
      </c>
      <c r="Q168" s="26" t="str">
        <f t="shared" si="4"/>
        <v>100%</v>
      </c>
      <c r="R168" s="41">
        <f t="shared" si="5"/>
        <v>92902</v>
      </c>
    </row>
    <row r="169" spans="1:18" ht="15" customHeight="1" x14ac:dyDescent="0.3">
      <c r="A169" s="25">
        <v>68575</v>
      </c>
      <c r="B169" s="25" t="s">
        <v>470</v>
      </c>
      <c r="C169" s="25" t="s">
        <v>63</v>
      </c>
      <c r="D169" s="25" t="s">
        <v>64</v>
      </c>
      <c r="E169" s="25">
        <v>11001</v>
      </c>
      <c r="F169" s="25" t="s">
        <v>644</v>
      </c>
      <c r="G169" s="25">
        <v>2</v>
      </c>
      <c r="H169" s="25" t="s">
        <v>276</v>
      </c>
      <c r="I169" s="25" t="s">
        <v>65</v>
      </c>
      <c r="J169" s="25" t="s">
        <v>66</v>
      </c>
      <c r="K169" s="38">
        <v>45987.574999999997</v>
      </c>
      <c r="L169" s="25" t="s">
        <v>67</v>
      </c>
      <c r="M169" s="25" t="str">
        <f>VLOOKUP(E169,[1]TIPOLOGIAS!$A:$G,5,0)</f>
        <v>PRINCIPAL</v>
      </c>
      <c r="N169" s="25" t="str">
        <f>VLOOKUP(E169,[1]TIPOLOGIAS!$A:$G,4,0)</f>
        <v>BOGOTA</v>
      </c>
      <c r="O169" s="25" t="str">
        <f>VLOOKUP(N169,'BASE TARIFA 2025'!E:F,2,0)</f>
        <v>WOMPI CENTRO</v>
      </c>
      <c r="P169" s="40">
        <f>VLOOKUP(M169,'BASE TARIFA 2025'!A:C,3,0)</f>
        <v>46451</v>
      </c>
      <c r="Q169" s="26" t="str">
        <f t="shared" si="4"/>
        <v>100%</v>
      </c>
      <c r="R169" s="41">
        <f t="shared" si="5"/>
        <v>92902</v>
      </c>
    </row>
    <row r="170" spans="1:18" ht="15" customHeight="1" x14ac:dyDescent="0.3">
      <c r="A170" s="25">
        <v>68851</v>
      </c>
      <c r="B170" s="25" t="s">
        <v>470</v>
      </c>
      <c r="C170" s="25" t="s">
        <v>63</v>
      </c>
      <c r="D170" s="25" t="s">
        <v>64</v>
      </c>
      <c r="E170" s="25">
        <v>11001</v>
      </c>
      <c r="F170" s="25" t="s">
        <v>645</v>
      </c>
      <c r="G170" s="25">
        <v>2</v>
      </c>
      <c r="H170" s="25" t="s">
        <v>277</v>
      </c>
      <c r="I170" s="25" t="s">
        <v>65</v>
      </c>
      <c r="J170" s="25" t="s">
        <v>66</v>
      </c>
      <c r="K170" s="38">
        <v>45985.502083333333</v>
      </c>
      <c r="L170" s="25" t="s">
        <v>67</v>
      </c>
      <c r="M170" s="25" t="str">
        <f>VLOOKUP(E170,[1]TIPOLOGIAS!$A:$G,5,0)</f>
        <v>PRINCIPAL</v>
      </c>
      <c r="N170" s="25" t="str">
        <f>VLOOKUP(E170,[1]TIPOLOGIAS!$A:$G,4,0)</f>
        <v>BOGOTA</v>
      </c>
      <c r="O170" s="25" t="str">
        <f>VLOOKUP(N170,'BASE TARIFA 2025'!E:F,2,0)</f>
        <v>WOMPI CENTRO</v>
      </c>
      <c r="P170" s="40">
        <f>VLOOKUP(M170,'BASE TARIFA 2025'!A:C,3,0)</f>
        <v>46451</v>
      </c>
      <c r="Q170" s="26" t="str">
        <f t="shared" si="4"/>
        <v>100%</v>
      </c>
      <c r="R170" s="41">
        <f t="shared" si="5"/>
        <v>92902</v>
      </c>
    </row>
    <row r="171" spans="1:18" ht="15" customHeight="1" x14ac:dyDescent="0.3">
      <c r="A171" s="25">
        <v>68976</v>
      </c>
      <c r="B171" s="25" t="s">
        <v>470</v>
      </c>
      <c r="C171" s="25" t="s">
        <v>63</v>
      </c>
      <c r="D171" s="25" t="s">
        <v>64</v>
      </c>
      <c r="E171" s="25">
        <v>11001</v>
      </c>
      <c r="F171" s="25" t="s">
        <v>646</v>
      </c>
      <c r="G171" s="25">
        <v>2</v>
      </c>
      <c r="H171" s="25" t="s">
        <v>278</v>
      </c>
      <c r="I171" s="25" t="s">
        <v>65</v>
      </c>
      <c r="J171" s="25" t="s">
        <v>66</v>
      </c>
      <c r="K171" s="38">
        <v>45985.48333333333</v>
      </c>
      <c r="L171" s="25" t="s">
        <v>67</v>
      </c>
      <c r="M171" s="25" t="str">
        <f>VLOOKUP(E171,[1]TIPOLOGIAS!$A:$G,5,0)</f>
        <v>PRINCIPAL</v>
      </c>
      <c r="N171" s="25" t="str">
        <f>VLOOKUP(E171,[1]TIPOLOGIAS!$A:$G,4,0)</f>
        <v>BOGOTA</v>
      </c>
      <c r="O171" s="25" t="str">
        <f>VLOOKUP(N171,'BASE TARIFA 2025'!E:F,2,0)</f>
        <v>WOMPI CENTRO</v>
      </c>
      <c r="P171" s="40">
        <f>VLOOKUP(M171,'BASE TARIFA 2025'!A:C,3,0)</f>
        <v>46451</v>
      </c>
      <c r="Q171" s="26" t="str">
        <f t="shared" si="4"/>
        <v>100%</v>
      </c>
      <c r="R171" s="41">
        <f t="shared" si="5"/>
        <v>92902</v>
      </c>
    </row>
    <row r="172" spans="1:18" ht="15" customHeight="1" x14ac:dyDescent="0.3">
      <c r="A172" s="25">
        <v>69058</v>
      </c>
      <c r="B172" s="25" t="s">
        <v>481</v>
      </c>
      <c r="C172" s="25" t="s">
        <v>82</v>
      </c>
      <c r="D172" s="25" t="s">
        <v>20</v>
      </c>
      <c r="E172" s="25">
        <v>76001</v>
      </c>
      <c r="F172" s="25" t="s">
        <v>647</v>
      </c>
      <c r="G172" s="25">
        <v>2</v>
      </c>
      <c r="H172" s="25" t="s">
        <v>279</v>
      </c>
      <c r="I172" s="25" t="s">
        <v>65</v>
      </c>
      <c r="J172" s="25" t="s">
        <v>66</v>
      </c>
      <c r="K172" s="38">
        <v>45985.609722222223</v>
      </c>
      <c r="L172" s="25" t="s">
        <v>67</v>
      </c>
      <c r="M172" s="25" t="str">
        <f>VLOOKUP(E172,[1]TIPOLOGIAS!$A:$G,5,0)</f>
        <v>PRINCIPAL</v>
      </c>
      <c r="N172" s="25" t="str">
        <f>VLOOKUP(E172,[1]TIPOLOGIAS!$A:$G,4,0)</f>
        <v>CALI</v>
      </c>
      <c r="O172" s="25" t="str">
        <f>VLOOKUP(N172,'BASE TARIFA 2025'!E:F,2,0)</f>
        <v>WOMPI SUROCCIDENTE</v>
      </c>
      <c r="P172" s="40">
        <f>VLOOKUP(M172,'BASE TARIFA 2025'!A:C,3,0)</f>
        <v>46451</v>
      </c>
      <c r="Q172" s="26" t="str">
        <f t="shared" si="4"/>
        <v>100%</v>
      </c>
      <c r="R172" s="41">
        <f t="shared" si="5"/>
        <v>92902</v>
      </c>
    </row>
    <row r="173" spans="1:18" ht="15" customHeight="1" x14ac:dyDescent="0.3">
      <c r="A173" s="25">
        <v>69154</v>
      </c>
      <c r="B173" s="25" t="s">
        <v>90</v>
      </c>
      <c r="C173" s="25" t="s">
        <v>90</v>
      </c>
      <c r="D173" s="25" t="s">
        <v>91</v>
      </c>
      <c r="E173" s="25">
        <v>5001</v>
      </c>
      <c r="F173" s="25" t="s">
        <v>648</v>
      </c>
      <c r="G173" s="25">
        <v>2</v>
      </c>
      <c r="H173" s="25" t="s">
        <v>280</v>
      </c>
      <c r="I173" s="25" t="s">
        <v>65</v>
      </c>
      <c r="J173" s="25" t="s">
        <v>66</v>
      </c>
      <c r="K173" s="38">
        <v>45982.45416666667</v>
      </c>
      <c r="L173" s="25" t="s">
        <v>67</v>
      </c>
      <c r="M173" s="25" t="str">
        <f>VLOOKUP(E173,[1]TIPOLOGIAS!$A:$G,5,0)</f>
        <v>PRINCIPAL</v>
      </c>
      <c r="N173" s="25" t="str">
        <f>VLOOKUP(E173,[1]TIPOLOGIAS!$A:$G,4,0)</f>
        <v>MEDELLIN</v>
      </c>
      <c r="O173" s="25" t="str">
        <f>VLOOKUP(N173,'BASE TARIFA 2025'!E:F,2,0)</f>
        <v>WOMPI NOROCCIDENTE</v>
      </c>
      <c r="P173" s="40">
        <f>VLOOKUP(M173,'BASE TARIFA 2025'!A:C,3,0)</f>
        <v>46451</v>
      </c>
      <c r="Q173" s="26" t="str">
        <f t="shared" si="4"/>
        <v>100%</v>
      </c>
      <c r="R173" s="41">
        <f t="shared" si="5"/>
        <v>92902</v>
      </c>
    </row>
    <row r="174" spans="1:18" ht="15" customHeight="1" x14ac:dyDescent="0.3">
      <c r="A174" s="25">
        <v>69514</v>
      </c>
      <c r="B174" s="25" t="s">
        <v>90</v>
      </c>
      <c r="C174" s="25" t="s">
        <v>90</v>
      </c>
      <c r="D174" s="25" t="s">
        <v>91</v>
      </c>
      <c r="E174" s="25">
        <v>5001</v>
      </c>
      <c r="F174" s="25" t="s">
        <v>649</v>
      </c>
      <c r="G174" s="25">
        <v>2</v>
      </c>
      <c r="H174" s="25" t="s">
        <v>281</v>
      </c>
      <c r="I174" s="25" t="s">
        <v>65</v>
      </c>
      <c r="J174" s="25" t="s">
        <v>66</v>
      </c>
      <c r="K174" s="38">
        <v>45985.385416666664</v>
      </c>
      <c r="L174" s="25" t="s">
        <v>67</v>
      </c>
      <c r="M174" s="25" t="str">
        <f>VLOOKUP(E174,[1]TIPOLOGIAS!$A:$G,5,0)</f>
        <v>PRINCIPAL</v>
      </c>
      <c r="N174" s="25" t="str">
        <f>VLOOKUP(E174,[1]TIPOLOGIAS!$A:$G,4,0)</f>
        <v>MEDELLIN</v>
      </c>
      <c r="O174" s="25" t="str">
        <f>VLOOKUP(N174,'BASE TARIFA 2025'!E:F,2,0)</f>
        <v>WOMPI NOROCCIDENTE</v>
      </c>
      <c r="P174" s="40">
        <f>VLOOKUP(M174,'BASE TARIFA 2025'!A:C,3,0)</f>
        <v>46451</v>
      </c>
      <c r="Q174" s="26" t="str">
        <f t="shared" si="4"/>
        <v>100%</v>
      </c>
      <c r="R174" s="41">
        <f t="shared" si="5"/>
        <v>92902</v>
      </c>
    </row>
    <row r="175" spans="1:18" ht="15" customHeight="1" x14ac:dyDescent="0.3">
      <c r="A175" s="25">
        <v>70543</v>
      </c>
      <c r="B175" s="25" t="s">
        <v>470</v>
      </c>
      <c r="C175" s="25" t="s">
        <v>63</v>
      </c>
      <c r="D175" s="25" t="s">
        <v>64</v>
      </c>
      <c r="E175" s="25">
        <v>11001</v>
      </c>
      <c r="F175" s="25" t="s">
        <v>650</v>
      </c>
      <c r="G175" s="25">
        <v>2</v>
      </c>
      <c r="H175" s="25" t="s">
        <v>282</v>
      </c>
      <c r="I175" s="25" t="s">
        <v>65</v>
      </c>
      <c r="J175" s="25" t="s">
        <v>66</v>
      </c>
      <c r="K175" s="38">
        <v>45983.463194444441</v>
      </c>
      <c r="L175" s="25" t="s">
        <v>67</v>
      </c>
      <c r="M175" s="25" t="str">
        <f>VLOOKUP(E175,[1]TIPOLOGIAS!$A:$G,5,0)</f>
        <v>PRINCIPAL</v>
      </c>
      <c r="N175" s="25" t="str">
        <f>VLOOKUP(E175,[1]TIPOLOGIAS!$A:$G,4,0)</f>
        <v>BOGOTA</v>
      </c>
      <c r="O175" s="25" t="str">
        <f>VLOOKUP(N175,'BASE TARIFA 2025'!E:F,2,0)</f>
        <v>WOMPI CENTRO</v>
      </c>
      <c r="P175" s="40">
        <f>VLOOKUP(M175,'BASE TARIFA 2025'!A:C,3,0)</f>
        <v>46451</v>
      </c>
      <c r="Q175" s="26" t="str">
        <f t="shared" si="4"/>
        <v>100%</v>
      </c>
      <c r="R175" s="41">
        <f t="shared" si="5"/>
        <v>92902</v>
      </c>
    </row>
    <row r="176" spans="1:18" ht="15" customHeight="1" x14ac:dyDescent="0.3">
      <c r="A176" s="25">
        <v>70616</v>
      </c>
      <c r="B176" s="25" t="s">
        <v>476</v>
      </c>
      <c r="C176" s="25" t="s">
        <v>79</v>
      </c>
      <c r="D176" s="25" t="s">
        <v>33</v>
      </c>
      <c r="E176" s="25">
        <v>15001</v>
      </c>
      <c r="F176" s="25" t="s">
        <v>651</v>
      </c>
      <c r="G176" s="25">
        <v>2</v>
      </c>
      <c r="H176" s="25" t="s">
        <v>283</v>
      </c>
      <c r="I176" s="25" t="s">
        <v>65</v>
      </c>
      <c r="J176" s="25" t="s">
        <v>66</v>
      </c>
      <c r="K176" s="38">
        <v>45985.627083333333</v>
      </c>
      <c r="L176" s="25" t="s">
        <v>67</v>
      </c>
      <c r="M176" s="25" t="str">
        <f>VLOOKUP(E176,[1]TIPOLOGIAS!$A:$G,5,0)</f>
        <v>PRINCIPAL</v>
      </c>
      <c r="N176" s="25" t="str">
        <f>VLOOKUP(E176,[1]TIPOLOGIAS!$A:$G,4,0)</f>
        <v>TUNJA</v>
      </c>
      <c r="O176" s="25" t="str">
        <f>VLOOKUP(N176,'BASE TARIFA 2025'!E:F,2,0)</f>
        <v>WOMPI SANTANDERES</v>
      </c>
      <c r="P176" s="40">
        <f>VLOOKUP(M176,'BASE TARIFA 2025'!A:C,3,0)</f>
        <v>46451</v>
      </c>
      <c r="Q176" s="26" t="str">
        <f t="shared" si="4"/>
        <v>100%</v>
      </c>
      <c r="R176" s="41">
        <f t="shared" si="5"/>
        <v>92902</v>
      </c>
    </row>
    <row r="177" spans="1:18" ht="15" customHeight="1" x14ac:dyDescent="0.3">
      <c r="A177" s="25">
        <v>70986</v>
      </c>
      <c r="B177" s="25" t="s">
        <v>90</v>
      </c>
      <c r="C177" s="25" t="s">
        <v>90</v>
      </c>
      <c r="D177" s="25" t="s">
        <v>100</v>
      </c>
      <c r="E177" s="25">
        <v>5266</v>
      </c>
      <c r="F177" s="25" t="s">
        <v>652</v>
      </c>
      <c r="G177" s="25">
        <v>2</v>
      </c>
      <c r="H177" s="25" t="s">
        <v>284</v>
      </c>
      <c r="I177" s="25" t="s">
        <v>65</v>
      </c>
      <c r="J177" s="25" t="s">
        <v>66</v>
      </c>
      <c r="K177" s="38">
        <v>45980.438888888886</v>
      </c>
      <c r="L177" s="25" t="s">
        <v>67</v>
      </c>
      <c r="M177" s="25" t="str">
        <f>VLOOKUP(E177,[1]TIPOLOGIAS!$A:$G,5,0)</f>
        <v>PRINCIPAL</v>
      </c>
      <c r="N177" s="25" t="str">
        <f>VLOOKUP(E177,[1]TIPOLOGIAS!$A:$G,4,0)</f>
        <v>MEDELLIN</v>
      </c>
      <c r="O177" s="25" t="str">
        <f>VLOOKUP(N177,'BASE TARIFA 2025'!E:F,2,0)</f>
        <v>WOMPI NOROCCIDENTE</v>
      </c>
      <c r="P177" s="40">
        <f>VLOOKUP(M177,'BASE TARIFA 2025'!A:C,3,0)</f>
        <v>46451</v>
      </c>
      <c r="Q177" s="26" t="str">
        <f t="shared" si="4"/>
        <v>100%</v>
      </c>
      <c r="R177" s="41">
        <f t="shared" si="5"/>
        <v>92902</v>
      </c>
    </row>
    <row r="178" spans="1:18" ht="15" customHeight="1" x14ac:dyDescent="0.3">
      <c r="A178" s="25">
        <v>71030</v>
      </c>
      <c r="B178" s="25" t="s">
        <v>476</v>
      </c>
      <c r="C178" s="25" t="s">
        <v>77</v>
      </c>
      <c r="D178" s="25" t="s">
        <v>26</v>
      </c>
      <c r="E178" s="25">
        <v>68001</v>
      </c>
      <c r="F178" s="25" t="s">
        <v>653</v>
      </c>
      <c r="G178" s="25">
        <v>2</v>
      </c>
      <c r="H178" s="25" t="s">
        <v>285</v>
      </c>
      <c r="I178" s="25" t="s">
        <v>65</v>
      </c>
      <c r="J178" s="25" t="s">
        <v>66</v>
      </c>
      <c r="K178" s="38">
        <v>45985.575694444444</v>
      </c>
      <c r="L178" s="25" t="s">
        <v>67</v>
      </c>
      <c r="M178" s="25" t="str">
        <f>VLOOKUP(E178,[1]TIPOLOGIAS!$A:$G,5,0)</f>
        <v>PRINCIPAL</v>
      </c>
      <c r="N178" s="25" t="str">
        <f>VLOOKUP(E178,[1]TIPOLOGIAS!$A:$G,4,0)</f>
        <v>BUCARAMANGA</v>
      </c>
      <c r="O178" s="25" t="str">
        <f>VLOOKUP(N178,'BASE TARIFA 2025'!E:F,2,0)</f>
        <v>WOMPI SANTANDERES</v>
      </c>
      <c r="P178" s="40">
        <f>VLOOKUP(M178,'BASE TARIFA 2025'!A:C,3,0)</f>
        <v>46451</v>
      </c>
      <c r="Q178" s="26" t="str">
        <f t="shared" si="4"/>
        <v>100%</v>
      </c>
      <c r="R178" s="41">
        <f t="shared" si="5"/>
        <v>92902</v>
      </c>
    </row>
    <row r="179" spans="1:18" ht="15" customHeight="1" x14ac:dyDescent="0.3">
      <c r="A179" s="25">
        <v>71157</v>
      </c>
      <c r="B179" s="25" t="s">
        <v>470</v>
      </c>
      <c r="C179" s="25" t="s">
        <v>63</v>
      </c>
      <c r="D179" s="25" t="s">
        <v>64</v>
      </c>
      <c r="E179" s="25">
        <v>11001</v>
      </c>
      <c r="F179" s="25" t="s">
        <v>654</v>
      </c>
      <c r="G179" s="25">
        <v>2</v>
      </c>
      <c r="H179" s="25" t="s">
        <v>286</v>
      </c>
      <c r="I179" s="25" t="s">
        <v>65</v>
      </c>
      <c r="J179" s="25" t="s">
        <v>66</v>
      </c>
      <c r="K179" s="38">
        <v>45982.470138888886</v>
      </c>
      <c r="L179" s="25" t="s">
        <v>67</v>
      </c>
      <c r="M179" s="25" t="str">
        <f>VLOOKUP(E179,[1]TIPOLOGIAS!$A:$G,5,0)</f>
        <v>PRINCIPAL</v>
      </c>
      <c r="N179" s="25" t="str">
        <f>VLOOKUP(E179,[1]TIPOLOGIAS!$A:$G,4,0)</f>
        <v>BOGOTA</v>
      </c>
      <c r="O179" s="25" t="str">
        <f>VLOOKUP(N179,'BASE TARIFA 2025'!E:F,2,0)</f>
        <v>WOMPI CENTRO</v>
      </c>
      <c r="P179" s="40">
        <f>VLOOKUP(M179,'BASE TARIFA 2025'!A:C,3,0)</f>
        <v>46451</v>
      </c>
      <c r="Q179" s="26" t="str">
        <f t="shared" si="4"/>
        <v>100%</v>
      </c>
      <c r="R179" s="41">
        <f t="shared" si="5"/>
        <v>92902</v>
      </c>
    </row>
    <row r="180" spans="1:18" ht="15" customHeight="1" x14ac:dyDescent="0.3">
      <c r="A180" s="25">
        <v>71161</v>
      </c>
      <c r="B180" s="25" t="s">
        <v>470</v>
      </c>
      <c r="C180" s="25" t="s">
        <v>63</v>
      </c>
      <c r="D180" s="25" t="s">
        <v>64</v>
      </c>
      <c r="E180" s="25">
        <v>11001</v>
      </c>
      <c r="F180" s="25" t="s">
        <v>655</v>
      </c>
      <c r="G180" s="25">
        <v>2</v>
      </c>
      <c r="H180" s="25" t="s">
        <v>287</v>
      </c>
      <c r="I180" s="25" t="s">
        <v>65</v>
      </c>
      <c r="J180" s="25" t="s">
        <v>66</v>
      </c>
      <c r="K180" s="38">
        <v>45982.650694444441</v>
      </c>
      <c r="L180" s="25" t="s">
        <v>67</v>
      </c>
      <c r="M180" s="25" t="str">
        <f>VLOOKUP(E180,[1]TIPOLOGIAS!$A:$G,5,0)</f>
        <v>PRINCIPAL</v>
      </c>
      <c r="N180" s="25" t="str">
        <f>VLOOKUP(E180,[1]TIPOLOGIAS!$A:$G,4,0)</f>
        <v>BOGOTA</v>
      </c>
      <c r="O180" s="25" t="str">
        <f>VLOOKUP(N180,'BASE TARIFA 2025'!E:F,2,0)</f>
        <v>WOMPI CENTRO</v>
      </c>
      <c r="P180" s="40">
        <f>VLOOKUP(M180,'BASE TARIFA 2025'!A:C,3,0)</f>
        <v>46451</v>
      </c>
      <c r="Q180" s="26" t="str">
        <f t="shared" si="4"/>
        <v>100%</v>
      </c>
      <c r="R180" s="41">
        <f t="shared" si="5"/>
        <v>92902</v>
      </c>
    </row>
    <row r="181" spans="1:18" ht="15" customHeight="1" x14ac:dyDescent="0.3">
      <c r="A181" s="25">
        <v>71793</v>
      </c>
      <c r="B181" s="25" t="s">
        <v>470</v>
      </c>
      <c r="C181" s="25" t="s">
        <v>63</v>
      </c>
      <c r="D181" s="25" t="s">
        <v>64</v>
      </c>
      <c r="E181" s="25">
        <v>11001</v>
      </c>
      <c r="F181" s="25" t="s">
        <v>656</v>
      </c>
      <c r="G181" s="25">
        <v>2</v>
      </c>
      <c r="H181" s="25" t="s">
        <v>288</v>
      </c>
      <c r="I181" s="25" t="s">
        <v>65</v>
      </c>
      <c r="J181" s="25" t="s">
        <v>66</v>
      </c>
      <c r="K181" s="38">
        <v>45982.544444444444</v>
      </c>
      <c r="L181" s="25" t="s">
        <v>67</v>
      </c>
      <c r="M181" s="25" t="str">
        <f>VLOOKUP(E181,[1]TIPOLOGIAS!$A:$G,5,0)</f>
        <v>PRINCIPAL</v>
      </c>
      <c r="N181" s="25" t="str">
        <f>VLOOKUP(E181,[1]TIPOLOGIAS!$A:$G,4,0)</f>
        <v>BOGOTA</v>
      </c>
      <c r="O181" s="25" t="str">
        <f>VLOOKUP(N181,'BASE TARIFA 2025'!E:F,2,0)</f>
        <v>WOMPI CENTRO</v>
      </c>
      <c r="P181" s="40">
        <f>VLOOKUP(M181,'BASE TARIFA 2025'!A:C,3,0)</f>
        <v>46451</v>
      </c>
      <c r="Q181" s="26" t="str">
        <f t="shared" si="4"/>
        <v>100%</v>
      </c>
      <c r="R181" s="41">
        <f t="shared" si="5"/>
        <v>92902</v>
      </c>
    </row>
    <row r="182" spans="1:18" ht="15" customHeight="1" x14ac:dyDescent="0.3">
      <c r="A182" s="25">
        <v>73349</v>
      </c>
      <c r="B182" s="25" t="s">
        <v>470</v>
      </c>
      <c r="C182" s="25" t="s">
        <v>63</v>
      </c>
      <c r="D182" s="25" t="s">
        <v>64</v>
      </c>
      <c r="E182" s="25">
        <v>11001</v>
      </c>
      <c r="F182" s="25" t="s">
        <v>657</v>
      </c>
      <c r="G182" s="25">
        <v>2</v>
      </c>
      <c r="H182" s="25" t="s">
        <v>289</v>
      </c>
      <c r="I182" s="25" t="s">
        <v>65</v>
      </c>
      <c r="J182" s="25" t="s">
        <v>66</v>
      </c>
      <c r="K182" s="38">
        <v>45982.561805555553</v>
      </c>
      <c r="L182" s="25" t="s">
        <v>67</v>
      </c>
      <c r="M182" s="25" t="str">
        <f>VLOOKUP(E182,[1]TIPOLOGIAS!$A:$G,5,0)</f>
        <v>PRINCIPAL</v>
      </c>
      <c r="N182" s="25" t="str">
        <f>VLOOKUP(E182,[1]TIPOLOGIAS!$A:$G,4,0)</f>
        <v>BOGOTA</v>
      </c>
      <c r="O182" s="25" t="str">
        <f>VLOOKUP(N182,'BASE TARIFA 2025'!E:F,2,0)</f>
        <v>WOMPI CENTRO</v>
      </c>
      <c r="P182" s="40">
        <f>VLOOKUP(M182,'BASE TARIFA 2025'!A:C,3,0)</f>
        <v>46451</v>
      </c>
      <c r="Q182" s="26" t="str">
        <f t="shared" si="4"/>
        <v>100%</v>
      </c>
      <c r="R182" s="41">
        <f t="shared" si="5"/>
        <v>92902</v>
      </c>
    </row>
    <row r="183" spans="1:18" ht="15" customHeight="1" x14ac:dyDescent="0.3">
      <c r="A183" s="25">
        <v>73410</v>
      </c>
      <c r="B183" s="25" t="s">
        <v>90</v>
      </c>
      <c r="C183" s="25" t="s">
        <v>90</v>
      </c>
      <c r="D183" s="25" t="s">
        <v>91</v>
      </c>
      <c r="E183" s="25">
        <v>5001</v>
      </c>
      <c r="F183" s="25" t="s">
        <v>658</v>
      </c>
      <c r="G183" s="25">
        <v>4</v>
      </c>
      <c r="H183" s="25" t="s">
        <v>290</v>
      </c>
      <c r="I183" s="25" t="s">
        <v>65</v>
      </c>
      <c r="J183" s="25" t="s">
        <v>66</v>
      </c>
      <c r="K183" s="38">
        <v>45985.554166666669</v>
      </c>
      <c r="L183" s="25" t="s">
        <v>67</v>
      </c>
      <c r="M183" s="25" t="str">
        <f>VLOOKUP(E183,[1]TIPOLOGIAS!$A:$G,5,0)</f>
        <v>PRINCIPAL</v>
      </c>
      <c r="N183" s="25" t="str">
        <f>VLOOKUP(E183,[1]TIPOLOGIAS!$A:$G,4,0)</f>
        <v>MEDELLIN</v>
      </c>
      <c r="O183" s="25" t="str">
        <f>VLOOKUP(N183,'BASE TARIFA 2025'!E:F,2,0)</f>
        <v>WOMPI NOROCCIDENTE</v>
      </c>
      <c r="P183" s="40">
        <f>VLOOKUP(M183,'BASE TARIFA 2025'!A:C,3,0)</f>
        <v>46451</v>
      </c>
      <c r="Q183" s="26" t="str">
        <f t="shared" si="4"/>
        <v>100%</v>
      </c>
      <c r="R183" s="41">
        <f t="shared" si="5"/>
        <v>185804</v>
      </c>
    </row>
    <row r="184" spans="1:18" ht="15" customHeight="1" x14ac:dyDescent="0.3">
      <c r="A184" s="25">
        <v>74390</v>
      </c>
      <c r="B184" s="25" t="s">
        <v>470</v>
      </c>
      <c r="C184" s="25" t="s">
        <v>63</v>
      </c>
      <c r="D184" s="25" t="s">
        <v>64</v>
      </c>
      <c r="E184" s="25">
        <v>11001</v>
      </c>
      <c r="F184" s="25" t="s">
        <v>659</v>
      </c>
      <c r="G184" s="25">
        <v>2</v>
      </c>
      <c r="H184" s="25" t="s">
        <v>291</v>
      </c>
      <c r="I184" s="25" t="s">
        <v>65</v>
      </c>
      <c r="J184" s="25" t="s">
        <v>66</v>
      </c>
      <c r="K184" s="38">
        <v>45982.466666666667</v>
      </c>
      <c r="L184" s="25" t="s">
        <v>67</v>
      </c>
      <c r="M184" s="25" t="str">
        <f>VLOOKUP(E184,[1]TIPOLOGIAS!$A:$G,5,0)</f>
        <v>PRINCIPAL</v>
      </c>
      <c r="N184" s="25" t="str">
        <f>VLOOKUP(E184,[1]TIPOLOGIAS!$A:$G,4,0)</f>
        <v>BOGOTA</v>
      </c>
      <c r="O184" s="25" t="str">
        <f>VLOOKUP(N184,'BASE TARIFA 2025'!E:F,2,0)</f>
        <v>WOMPI CENTRO</v>
      </c>
      <c r="P184" s="40">
        <f>VLOOKUP(M184,'BASE TARIFA 2025'!A:C,3,0)</f>
        <v>46451</v>
      </c>
      <c r="Q184" s="26" t="str">
        <f t="shared" si="4"/>
        <v>100%</v>
      </c>
      <c r="R184" s="41">
        <f t="shared" si="5"/>
        <v>92902</v>
      </c>
    </row>
    <row r="185" spans="1:18" ht="15" customHeight="1" x14ac:dyDescent="0.3">
      <c r="A185" s="25">
        <v>74711</v>
      </c>
      <c r="B185" s="25" t="s">
        <v>90</v>
      </c>
      <c r="C185" s="25" t="s">
        <v>90</v>
      </c>
      <c r="D185" s="25" t="s">
        <v>91</v>
      </c>
      <c r="E185" s="25">
        <v>5001</v>
      </c>
      <c r="F185" s="25" t="s">
        <v>660</v>
      </c>
      <c r="G185" s="25">
        <v>3</v>
      </c>
      <c r="H185" s="25" t="s">
        <v>292</v>
      </c>
      <c r="I185" s="25" t="s">
        <v>65</v>
      </c>
      <c r="J185" s="25" t="s">
        <v>66</v>
      </c>
      <c r="K185" s="38">
        <v>45985.577777777777</v>
      </c>
      <c r="L185" s="25" t="s">
        <v>67</v>
      </c>
      <c r="M185" s="25" t="str">
        <f>VLOOKUP(E185,[1]TIPOLOGIAS!$A:$G,5,0)</f>
        <v>PRINCIPAL</v>
      </c>
      <c r="N185" s="25" t="str">
        <f>VLOOKUP(E185,[1]TIPOLOGIAS!$A:$G,4,0)</f>
        <v>MEDELLIN</v>
      </c>
      <c r="O185" s="25" t="str">
        <f>VLOOKUP(N185,'BASE TARIFA 2025'!E:F,2,0)</f>
        <v>WOMPI NOROCCIDENTE</v>
      </c>
      <c r="P185" s="40">
        <f>VLOOKUP(M185,'BASE TARIFA 2025'!A:C,3,0)</f>
        <v>46451</v>
      </c>
      <c r="Q185" s="26" t="str">
        <f t="shared" si="4"/>
        <v>100%</v>
      </c>
      <c r="R185" s="41">
        <f t="shared" si="5"/>
        <v>139353</v>
      </c>
    </row>
    <row r="186" spans="1:18" ht="15" customHeight="1" x14ac:dyDescent="0.3">
      <c r="A186" s="25">
        <v>74826</v>
      </c>
      <c r="B186" s="25" t="s">
        <v>470</v>
      </c>
      <c r="C186" s="25" t="s">
        <v>63</v>
      </c>
      <c r="D186" s="25" t="s">
        <v>64</v>
      </c>
      <c r="E186" s="25">
        <v>11001</v>
      </c>
      <c r="F186" s="25" t="s">
        <v>661</v>
      </c>
      <c r="G186" s="25">
        <v>2</v>
      </c>
      <c r="H186" s="25" t="s">
        <v>293</v>
      </c>
      <c r="I186" s="25" t="s">
        <v>65</v>
      </c>
      <c r="J186" s="25" t="s">
        <v>66</v>
      </c>
      <c r="K186" s="38">
        <v>45986.502083333333</v>
      </c>
      <c r="L186" s="25" t="s">
        <v>67</v>
      </c>
      <c r="M186" s="25" t="str">
        <f>VLOOKUP(E186,[1]TIPOLOGIAS!$A:$G,5,0)</f>
        <v>PRINCIPAL</v>
      </c>
      <c r="N186" s="25" t="str">
        <f>VLOOKUP(E186,[1]TIPOLOGIAS!$A:$G,4,0)</f>
        <v>BOGOTA</v>
      </c>
      <c r="O186" s="25" t="str">
        <f>VLOOKUP(N186,'BASE TARIFA 2025'!E:F,2,0)</f>
        <v>WOMPI CENTRO</v>
      </c>
      <c r="P186" s="40">
        <f>VLOOKUP(M186,'BASE TARIFA 2025'!A:C,3,0)</f>
        <v>46451</v>
      </c>
      <c r="Q186" s="26" t="str">
        <f t="shared" si="4"/>
        <v>100%</v>
      </c>
      <c r="R186" s="41">
        <f t="shared" si="5"/>
        <v>92902</v>
      </c>
    </row>
    <row r="187" spans="1:18" ht="15" customHeight="1" x14ac:dyDescent="0.3">
      <c r="A187" s="25">
        <v>74950</v>
      </c>
      <c r="B187" s="25" t="s">
        <v>90</v>
      </c>
      <c r="C187" s="25" t="s">
        <v>90</v>
      </c>
      <c r="D187" s="25" t="s">
        <v>91</v>
      </c>
      <c r="E187" s="25">
        <v>5001</v>
      </c>
      <c r="F187" s="25" t="s">
        <v>662</v>
      </c>
      <c r="G187" s="25">
        <v>3</v>
      </c>
      <c r="H187" s="25" t="s">
        <v>294</v>
      </c>
      <c r="I187" s="25" t="s">
        <v>65</v>
      </c>
      <c r="J187" s="25" t="s">
        <v>66</v>
      </c>
      <c r="K187" s="38">
        <v>45986.364583333336</v>
      </c>
      <c r="L187" s="25" t="s">
        <v>67</v>
      </c>
      <c r="M187" s="25" t="str">
        <f>VLOOKUP(E187,[1]TIPOLOGIAS!$A:$G,5,0)</f>
        <v>PRINCIPAL</v>
      </c>
      <c r="N187" s="25" t="str">
        <f>VLOOKUP(E187,[1]TIPOLOGIAS!$A:$G,4,0)</f>
        <v>MEDELLIN</v>
      </c>
      <c r="O187" s="25" t="str">
        <f>VLOOKUP(N187,'BASE TARIFA 2025'!E:F,2,0)</f>
        <v>WOMPI NOROCCIDENTE</v>
      </c>
      <c r="P187" s="40">
        <f>VLOOKUP(M187,'BASE TARIFA 2025'!A:C,3,0)</f>
        <v>46451</v>
      </c>
      <c r="Q187" s="26" t="str">
        <f t="shared" si="4"/>
        <v>100%</v>
      </c>
      <c r="R187" s="41">
        <f t="shared" si="5"/>
        <v>139353</v>
      </c>
    </row>
    <row r="188" spans="1:18" ht="15" customHeight="1" x14ac:dyDescent="0.3">
      <c r="A188" s="25">
        <v>77149</v>
      </c>
      <c r="B188" s="25" t="s">
        <v>476</v>
      </c>
      <c r="C188" s="25" t="s">
        <v>79</v>
      </c>
      <c r="D188" s="25" t="s">
        <v>33</v>
      </c>
      <c r="E188" s="25">
        <v>15001</v>
      </c>
      <c r="F188" s="25" t="s">
        <v>663</v>
      </c>
      <c r="G188" s="25">
        <v>2</v>
      </c>
      <c r="H188" s="25" t="s">
        <v>295</v>
      </c>
      <c r="I188" s="25" t="s">
        <v>65</v>
      </c>
      <c r="J188" s="25" t="s">
        <v>66</v>
      </c>
      <c r="K188" s="38">
        <v>45985.666666666664</v>
      </c>
      <c r="L188" s="25" t="s">
        <v>67</v>
      </c>
      <c r="M188" s="25" t="str">
        <f>VLOOKUP(E188,[1]TIPOLOGIAS!$A:$G,5,0)</f>
        <v>PRINCIPAL</v>
      </c>
      <c r="N188" s="25" t="str">
        <f>VLOOKUP(E188,[1]TIPOLOGIAS!$A:$G,4,0)</f>
        <v>TUNJA</v>
      </c>
      <c r="O188" s="25" t="str">
        <f>VLOOKUP(N188,'BASE TARIFA 2025'!E:F,2,0)</f>
        <v>WOMPI SANTANDERES</v>
      </c>
      <c r="P188" s="40">
        <f>VLOOKUP(M188,'BASE TARIFA 2025'!A:C,3,0)</f>
        <v>46451</v>
      </c>
      <c r="Q188" s="26" t="str">
        <f t="shared" si="4"/>
        <v>100%</v>
      </c>
      <c r="R188" s="41">
        <f t="shared" si="5"/>
        <v>92902</v>
      </c>
    </row>
    <row r="189" spans="1:18" ht="15" customHeight="1" x14ac:dyDescent="0.3">
      <c r="A189" s="25">
        <v>77440</v>
      </c>
      <c r="B189" s="25" t="s">
        <v>470</v>
      </c>
      <c r="C189" s="25" t="s">
        <v>63</v>
      </c>
      <c r="D189" s="25" t="s">
        <v>64</v>
      </c>
      <c r="E189" s="25">
        <v>11001</v>
      </c>
      <c r="F189" s="25" t="s">
        <v>664</v>
      </c>
      <c r="G189" s="25">
        <v>2</v>
      </c>
      <c r="H189" s="25" t="s">
        <v>296</v>
      </c>
      <c r="I189" s="25" t="s">
        <v>65</v>
      </c>
      <c r="J189" s="25" t="s">
        <v>66</v>
      </c>
      <c r="K189" s="38">
        <v>45982.668055555558</v>
      </c>
      <c r="L189" s="25" t="s">
        <v>67</v>
      </c>
      <c r="M189" s="25" t="str">
        <f>VLOOKUP(E189,[1]TIPOLOGIAS!$A:$G,5,0)</f>
        <v>PRINCIPAL</v>
      </c>
      <c r="N189" s="25" t="str">
        <f>VLOOKUP(E189,[1]TIPOLOGIAS!$A:$G,4,0)</f>
        <v>BOGOTA</v>
      </c>
      <c r="O189" s="25" t="str">
        <f>VLOOKUP(N189,'BASE TARIFA 2025'!E:F,2,0)</f>
        <v>WOMPI CENTRO</v>
      </c>
      <c r="P189" s="40">
        <f>VLOOKUP(M189,'BASE TARIFA 2025'!A:C,3,0)</f>
        <v>46451</v>
      </c>
      <c r="Q189" s="26" t="str">
        <f t="shared" si="4"/>
        <v>100%</v>
      </c>
      <c r="R189" s="41">
        <f t="shared" si="5"/>
        <v>92902</v>
      </c>
    </row>
    <row r="190" spans="1:18" ht="15" customHeight="1" x14ac:dyDescent="0.3">
      <c r="A190" s="25">
        <v>77931</v>
      </c>
      <c r="B190" s="25" t="s">
        <v>491</v>
      </c>
      <c r="C190" s="25" t="s">
        <v>72</v>
      </c>
      <c r="D190" s="25" t="s">
        <v>73</v>
      </c>
      <c r="E190" s="25">
        <v>23001</v>
      </c>
      <c r="F190" s="25" t="s">
        <v>665</v>
      </c>
      <c r="G190" s="25">
        <v>2</v>
      </c>
      <c r="H190" s="25" t="s">
        <v>297</v>
      </c>
      <c r="I190" s="25" t="s">
        <v>65</v>
      </c>
      <c r="J190" s="25" t="s">
        <v>66</v>
      </c>
      <c r="K190" s="38">
        <v>45986.583333333336</v>
      </c>
      <c r="L190" s="25" t="s">
        <v>67</v>
      </c>
      <c r="M190" s="25" t="str">
        <f>VLOOKUP(E190,[1]TIPOLOGIAS!$A:$G,5,0)</f>
        <v>PRINCIPAL</v>
      </c>
      <c r="N190" s="25" t="str">
        <f>VLOOKUP(E190,[1]TIPOLOGIAS!$A:$G,4,0)</f>
        <v>MONTERIA</v>
      </c>
      <c r="O190" s="25" t="str">
        <f>VLOOKUP(N190,'BASE TARIFA 2025'!E:F,2,0)</f>
        <v>WOMPI COSTA</v>
      </c>
      <c r="P190" s="40">
        <f>VLOOKUP(M190,'BASE TARIFA 2025'!A:C,3,0)</f>
        <v>46451</v>
      </c>
      <c r="Q190" s="26" t="str">
        <f t="shared" si="4"/>
        <v>100%</v>
      </c>
      <c r="R190" s="41">
        <f t="shared" si="5"/>
        <v>92902</v>
      </c>
    </row>
    <row r="191" spans="1:18" ht="15" customHeight="1" x14ac:dyDescent="0.3">
      <c r="A191" s="25">
        <v>78401</v>
      </c>
      <c r="B191" s="25" t="s">
        <v>90</v>
      </c>
      <c r="C191" s="25" t="s">
        <v>90</v>
      </c>
      <c r="D191" s="25" t="s">
        <v>91</v>
      </c>
      <c r="E191" s="25">
        <v>5001</v>
      </c>
      <c r="F191" s="25" t="s">
        <v>666</v>
      </c>
      <c r="G191" s="25">
        <v>2</v>
      </c>
      <c r="H191" s="25" t="s">
        <v>298</v>
      </c>
      <c r="I191" s="25" t="s">
        <v>65</v>
      </c>
      <c r="J191" s="25" t="s">
        <v>66</v>
      </c>
      <c r="K191" s="38">
        <v>45985.393750000003</v>
      </c>
      <c r="L191" s="25" t="s">
        <v>67</v>
      </c>
      <c r="M191" s="25" t="str">
        <f>VLOOKUP(E191,[1]TIPOLOGIAS!$A:$G,5,0)</f>
        <v>PRINCIPAL</v>
      </c>
      <c r="N191" s="25" t="str">
        <f>VLOOKUP(E191,[1]TIPOLOGIAS!$A:$G,4,0)</f>
        <v>MEDELLIN</v>
      </c>
      <c r="O191" s="25" t="str">
        <f>VLOOKUP(N191,'BASE TARIFA 2025'!E:F,2,0)</f>
        <v>WOMPI NOROCCIDENTE</v>
      </c>
      <c r="P191" s="40">
        <f>VLOOKUP(M191,'BASE TARIFA 2025'!A:C,3,0)</f>
        <v>46451</v>
      </c>
      <c r="Q191" s="26" t="str">
        <f t="shared" si="4"/>
        <v>100%</v>
      </c>
      <c r="R191" s="41">
        <f t="shared" si="5"/>
        <v>92902</v>
      </c>
    </row>
    <row r="192" spans="1:18" ht="15" customHeight="1" x14ac:dyDescent="0.3">
      <c r="A192" s="25">
        <v>78402</v>
      </c>
      <c r="B192" s="25" t="s">
        <v>90</v>
      </c>
      <c r="C192" s="25" t="s">
        <v>90</v>
      </c>
      <c r="D192" s="25" t="s">
        <v>91</v>
      </c>
      <c r="E192" s="25">
        <v>5001</v>
      </c>
      <c r="F192" s="25" t="s">
        <v>667</v>
      </c>
      <c r="G192" s="25">
        <v>2</v>
      </c>
      <c r="H192" s="25" t="s">
        <v>299</v>
      </c>
      <c r="I192" s="25" t="s">
        <v>65</v>
      </c>
      <c r="J192" s="25" t="s">
        <v>66</v>
      </c>
      <c r="K192" s="38">
        <v>45983.484722222223</v>
      </c>
      <c r="L192" s="25" t="s">
        <v>67</v>
      </c>
      <c r="M192" s="25" t="str">
        <f>VLOOKUP(E192,[1]TIPOLOGIAS!$A:$G,5,0)</f>
        <v>PRINCIPAL</v>
      </c>
      <c r="N192" s="25" t="str">
        <f>VLOOKUP(E192,[1]TIPOLOGIAS!$A:$G,4,0)</f>
        <v>MEDELLIN</v>
      </c>
      <c r="O192" s="25" t="str">
        <f>VLOOKUP(N192,'BASE TARIFA 2025'!E:F,2,0)</f>
        <v>WOMPI NOROCCIDENTE</v>
      </c>
      <c r="P192" s="40">
        <f>VLOOKUP(M192,'BASE TARIFA 2025'!A:C,3,0)</f>
        <v>46451</v>
      </c>
      <c r="Q192" s="26" t="str">
        <f t="shared" si="4"/>
        <v>100%</v>
      </c>
      <c r="R192" s="41">
        <f t="shared" si="5"/>
        <v>92902</v>
      </c>
    </row>
    <row r="193" spans="1:18" ht="15" customHeight="1" x14ac:dyDescent="0.3">
      <c r="A193" s="25">
        <v>78504</v>
      </c>
      <c r="B193" s="25" t="s">
        <v>470</v>
      </c>
      <c r="C193" s="25" t="s">
        <v>63</v>
      </c>
      <c r="D193" s="25" t="s">
        <v>64</v>
      </c>
      <c r="E193" s="25">
        <v>11001</v>
      </c>
      <c r="F193" s="25" t="s">
        <v>668</v>
      </c>
      <c r="G193" s="25">
        <v>3</v>
      </c>
      <c r="H193" s="25" t="s">
        <v>300</v>
      </c>
      <c r="I193" s="25" t="s">
        <v>65</v>
      </c>
      <c r="J193" s="25" t="s">
        <v>66</v>
      </c>
      <c r="K193" s="38">
        <v>45983.422222222223</v>
      </c>
      <c r="L193" s="25" t="s">
        <v>67</v>
      </c>
      <c r="M193" s="25" t="str">
        <f>VLOOKUP(E193,[1]TIPOLOGIAS!$A:$G,5,0)</f>
        <v>PRINCIPAL</v>
      </c>
      <c r="N193" s="25" t="str">
        <f>VLOOKUP(E193,[1]TIPOLOGIAS!$A:$G,4,0)</f>
        <v>BOGOTA</v>
      </c>
      <c r="O193" s="25" t="str">
        <f>VLOOKUP(N193,'BASE TARIFA 2025'!E:F,2,0)</f>
        <v>WOMPI CENTRO</v>
      </c>
      <c r="P193" s="40">
        <f>VLOOKUP(M193,'BASE TARIFA 2025'!A:C,3,0)</f>
        <v>46451</v>
      </c>
      <c r="Q193" s="26" t="str">
        <f t="shared" si="4"/>
        <v>100%</v>
      </c>
      <c r="R193" s="41">
        <f t="shared" si="5"/>
        <v>139353</v>
      </c>
    </row>
    <row r="194" spans="1:18" ht="15" customHeight="1" x14ac:dyDescent="0.3">
      <c r="A194" s="25">
        <v>78788</v>
      </c>
      <c r="B194" s="25" t="s">
        <v>470</v>
      </c>
      <c r="C194" s="25" t="s">
        <v>63</v>
      </c>
      <c r="D194" s="25" t="s">
        <v>64</v>
      </c>
      <c r="E194" s="25">
        <v>11001</v>
      </c>
      <c r="F194" s="25" t="s">
        <v>669</v>
      </c>
      <c r="G194" s="25">
        <v>3</v>
      </c>
      <c r="H194" s="25" t="s">
        <v>301</v>
      </c>
      <c r="I194" s="25" t="s">
        <v>65</v>
      </c>
      <c r="J194" s="25" t="s">
        <v>66</v>
      </c>
      <c r="K194" s="38">
        <v>45982.445138888892</v>
      </c>
      <c r="L194" s="25" t="s">
        <v>67</v>
      </c>
      <c r="M194" s="25" t="str">
        <f>VLOOKUP(E194,[1]TIPOLOGIAS!$A:$G,5,0)</f>
        <v>PRINCIPAL</v>
      </c>
      <c r="N194" s="25" t="str">
        <f>VLOOKUP(E194,[1]TIPOLOGIAS!$A:$G,4,0)</f>
        <v>BOGOTA</v>
      </c>
      <c r="O194" s="25" t="str">
        <f>VLOOKUP(N194,'BASE TARIFA 2025'!E:F,2,0)</f>
        <v>WOMPI CENTRO</v>
      </c>
      <c r="P194" s="40">
        <f>VLOOKUP(M194,'BASE TARIFA 2025'!A:C,3,0)</f>
        <v>46451</v>
      </c>
      <c r="Q194" s="26" t="str">
        <f t="shared" si="4"/>
        <v>100%</v>
      </c>
      <c r="R194" s="41">
        <f t="shared" si="5"/>
        <v>139353</v>
      </c>
    </row>
    <row r="195" spans="1:18" ht="15" customHeight="1" x14ac:dyDescent="0.3">
      <c r="A195" s="25">
        <v>79353</v>
      </c>
      <c r="B195" s="25" t="s">
        <v>470</v>
      </c>
      <c r="C195" s="25" t="s">
        <v>63</v>
      </c>
      <c r="D195" s="25" t="s">
        <v>64</v>
      </c>
      <c r="E195" s="25">
        <v>11001</v>
      </c>
      <c r="F195" s="25" t="s">
        <v>670</v>
      </c>
      <c r="G195" s="25">
        <v>2</v>
      </c>
      <c r="H195" s="25" t="s">
        <v>302</v>
      </c>
      <c r="I195" s="25" t="s">
        <v>65</v>
      </c>
      <c r="J195" s="25" t="s">
        <v>66</v>
      </c>
      <c r="K195" s="38">
        <v>45982.427777777775</v>
      </c>
      <c r="L195" s="25" t="s">
        <v>67</v>
      </c>
      <c r="M195" s="25" t="str">
        <f>VLOOKUP(E195,[1]TIPOLOGIAS!$A:$G,5,0)</f>
        <v>PRINCIPAL</v>
      </c>
      <c r="N195" s="25" t="str">
        <f>VLOOKUP(E195,[1]TIPOLOGIAS!$A:$G,4,0)</f>
        <v>BOGOTA</v>
      </c>
      <c r="O195" s="25" t="str">
        <f>VLOOKUP(N195,'BASE TARIFA 2025'!E:F,2,0)</f>
        <v>WOMPI CENTRO</v>
      </c>
      <c r="P195" s="40">
        <f>VLOOKUP(M195,'BASE TARIFA 2025'!A:C,3,0)</f>
        <v>46451</v>
      </c>
      <c r="Q195" s="26" t="str">
        <f t="shared" ref="Q195:Q258" si="6">IF(L195="EJECUTADO","100%", "75%")</f>
        <v>100%</v>
      </c>
      <c r="R195" s="41">
        <f t="shared" ref="R195:R258" si="7">G195*P195*Q195</f>
        <v>92902</v>
      </c>
    </row>
    <row r="196" spans="1:18" ht="15" customHeight="1" x14ac:dyDescent="0.3">
      <c r="A196" s="25">
        <v>79539</v>
      </c>
      <c r="B196" s="25" t="s">
        <v>470</v>
      </c>
      <c r="C196" s="25" t="s">
        <v>63</v>
      </c>
      <c r="D196" s="25" t="s">
        <v>64</v>
      </c>
      <c r="E196" s="25">
        <v>11001</v>
      </c>
      <c r="F196" s="25" t="s">
        <v>671</v>
      </c>
      <c r="G196" s="25">
        <v>2</v>
      </c>
      <c r="H196" s="25" t="s">
        <v>303</v>
      </c>
      <c r="I196" s="25" t="s">
        <v>65</v>
      </c>
      <c r="J196" s="25" t="s">
        <v>66</v>
      </c>
      <c r="K196" s="38">
        <v>45982.438194444447</v>
      </c>
      <c r="L196" s="25" t="s">
        <v>67</v>
      </c>
      <c r="M196" s="25" t="str">
        <f>VLOOKUP(E196,[1]TIPOLOGIAS!$A:$G,5,0)</f>
        <v>PRINCIPAL</v>
      </c>
      <c r="N196" s="25" t="str">
        <f>VLOOKUP(E196,[1]TIPOLOGIAS!$A:$G,4,0)</f>
        <v>BOGOTA</v>
      </c>
      <c r="O196" s="25" t="str">
        <f>VLOOKUP(N196,'BASE TARIFA 2025'!E:F,2,0)</f>
        <v>WOMPI CENTRO</v>
      </c>
      <c r="P196" s="40">
        <f>VLOOKUP(M196,'BASE TARIFA 2025'!A:C,3,0)</f>
        <v>46451</v>
      </c>
      <c r="Q196" s="26" t="str">
        <f t="shared" si="6"/>
        <v>100%</v>
      </c>
      <c r="R196" s="41">
        <f t="shared" si="7"/>
        <v>92902</v>
      </c>
    </row>
    <row r="197" spans="1:18" ht="15" customHeight="1" x14ac:dyDescent="0.3">
      <c r="A197" s="25">
        <v>79610</v>
      </c>
      <c r="B197" s="25" t="s">
        <v>470</v>
      </c>
      <c r="C197" s="25" t="s">
        <v>63</v>
      </c>
      <c r="D197" s="25" t="s">
        <v>64</v>
      </c>
      <c r="E197" s="25">
        <v>11001</v>
      </c>
      <c r="F197" s="25" t="s">
        <v>672</v>
      </c>
      <c r="G197" s="25">
        <v>3</v>
      </c>
      <c r="H197" s="25" t="s">
        <v>304</v>
      </c>
      <c r="I197" s="25" t="s">
        <v>65</v>
      </c>
      <c r="J197" s="25" t="s">
        <v>66</v>
      </c>
      <c r="K197" s="38">
        <v>45982.504166666666</v>
      </c>
      <c r="L197" s="25" t="s">
        <v>67</v>
      </c>
      <c r="M197" s="25" t="str">
        <f>VLOOKUP(E197,[1]TIPOLOGIAS!$A:$G,5,0)</f>
        <v>PRINCIPAL</v>
      </c>
      <c r="N197" s="25" t="str">
        <f>VLOOKUP(E197,[1]TIPOLOGIAS!$A:$G,4,0)</f>
        <v>BOGOTA</v>
      </c>
      <c r="O197" s="25" t="str">
        <f>VLOOKUP(N197,'BASE TARIFA 2025'!E:F,2,0)</f>
        <v>WOMPI CENTRO</v>
      </c>
      <c r="P197" s="40">
        <f>VLOOKUP(M197,'BASE TARIFA 2025'!A:C,3,0)</f>
        <v>46451</v>
      </c>
      <c r="Q197" s="26" t="str">
        <f t="shared" si="6"/>
        <v>100%</v>
      </c>
      <c r="R197" s="41">
        <f t="shared" si="7"/>
        <v>139353</v>
      </c>
    </row>
    <row r="198" spans="1:18" ht="15" customHeight="1" x14ac:dyDescent="0.3">
      <c r="A198" s="25">
        <v>79670</v>
      </c>
      <c r="B198" s="25" t="s">
        <v>90</v>
      </c>
      <c r="C198" s="25" t="s">
        <v>90</v>
      </c>
      <c r="D198" s="25" t="s">
        <v>91</v>
      </c>
      <c r="E198" s="25">
        <v>5001</v>
      </c>
      <c r="F198" s="25" t="s">
        <v>673</v>
      </c>
      <c r="G198" s="25">
        <v>2</v>
      </c>
      <c r="H198" s="25" t="s">
        <v>305</v>
      </c>
      <c r="I198" s="25" t="s">
        <v>65</v>
      </c>
      <c r="J198" s="25" t="s">
        <v>66</v>
      </c>
      <c r="K198" s="38">
        <v>45986.478472222225</v>
      </c>
      <c r="L198" s="25" t="s">
        <v>67</v>
      </c>
      <c r="M198" s="25" t="str">
        <f>VLOOKUP(E198,[1]TIPOLOGIAS!$A:$G,5,0)</f>
        <v>PRINCIPAL</v>
      </c>
      <c r="N198" s="25" t="str">
        <f>VLOOKUP(E198,[1]TIPOLOGIAS!$A:$G,4,0)</f>
        <v>MEDELLIN</v>
      </c>
      <c r="O198" s="25" t="str">
        <f>VLOOKUP(N198,'BASE TARIFA 2025'!E:F,2,0)</f>
        <v>WOMPI NOROCCIDENTE</v>
      </c>
      <c r="P198" s="40">
        <f>VLOOKUP(M198,'BASE TARIFA 2025'!A:C,3,0)</f>
        <v>46451</v>
      </c>
      <c r="Q198" s="26" t="str">
        <f t="shared" si="6"/>
        <v>100%</v>
      </c>
      <c r="R198" s="41">
        <f t="shared" si="7"/>
        <v>92902</v>
      </c>
    </row>
    <row r="199" spans="1:18" ht="15" customHeight="1" x14ac:dyDescent="0.3">
      <c r="A199" s="25">
        <v>80241</v>
      </c>
      <c r="B199" s="25" t="s">
        <v>470</v>
      </c>
      <c r="C199" s="25" t="s">
        <v>63</v>
      </c>
      <c r="D199" s="25" t="s">
        <v>64</v>
      </c>
      <c r="E199" s="25">
        <v>11001</v>
      </c>
      <c r="F199" s="25" t="s">
        <v>674</v>
      </c>
      <c r="G199" s="25">
        <v>3</v>
      </c>
      <c r="H199" s="25" t="s">
        <v>306</v>
      </c>
      <c r="I199" s="25" t="s">
        <v>65</v>
      </c>
      <c r="J199" s="25" t="s">
        <v>66</v>
      </c>
      <c r="K199" s="38">
        <v>45982.708333333336</v>
      </c>
      <c r="L199" s="25" t="s">
        <v>67</v>
      </c>
      <c r="M199" s="25" t="str">
        <f>VLOOKUP(E199,[1]TIPOLOGIAS!$A:$G,5,0)</f>
        <v>PRINCIPAL</v>
      </c>
      <c r="N199" s="25" t="str">
        <f>VLOOKUP(E199,[1]TIPOLOGIAS!$A:$G,4,0)</f>
        <v>BOGOTA</v>
      </c>
      <c r="O199" s="25" t="str">
        <f>VLOOKUP(N199,'BASE TARIFA 2025'!E:F,2,0)</f>
        <v>WOMPI CENTRO</v>
      </c>
      <c r="P199" s="40">
        <f>VLOOKUP(M199,'BASE TARIFA 2025'!A:C,3,0)</f>
        <v>46451</v>
      </c>
      <c r="Q199" s="26" t="str">
        <f t="shared" si="6"/>
        <v>100%</v>
      </c>
      <c r="R199" s="41">
        <f t="shared" si="7"/>
        <v>139353</v>
      </c>
    </row>
    <row r="200" spans="1:18" ht="15" customHeight="1" x14ac:dyDescent="0.3">
      <c r="A200" s="25">
        <v>80343</v>
      </c>
      <c r="B200" s="25" t="s">
        <v>470</v>
      </c>
      <c r="C200" s="25" t="s">
        <v>63</v>
      </c>
      <c r="D200" s="25" t="s">
        <v>64</v>
      </c>
      <c r="E200" s="25">
        <v>11001</v>
      </c>
      <c r="F200" s="25" t="s">
        <v>675</v>
      </c>
      <c r="G200" s="25">
        <v>3</v>
      </c>
      <c r="H200" s="25" t="s">
        <v>307</v>
      </c>
      <c r="I200" s="25" t="s">
        <v>65</v>
      </c>
      <c r="J200" s="25" t="s">
        <v>66</v>
      </c>
      <c r="K200" s="38">
        <v>45982.51458333333</v>
      </c>
      <c r="L200" s="25" t="s">
        <v>67</v>
      </c>
      <c r="M200" s="25" t="str">
        <f>VLOOKUP(E200,[1]TIPOLOGIAS!$A:$G,5,0)</f>
        <v>PRINCIPAL</v>
      </c>
      <c r="N200" s="25" t="str">
        <f>VLOOKUP(E200,[1]TIPOLOGIAS!$A:$G,4,0)</f>
        <v>BOGOTA</v>
      </c>
      <c r="O200" s="25" t="str">
        <f>VLOOKUP(N200,'BASE TARIFA 2025'!E:F,2,0)</f>
        <v>WOMPI CENTRO</v>
      </c>
      <c r="P200" s="40">
        <f>VLOOKUP(M200,'BASE TARIFA 2025'!A:C,3,0)</f>
        <v>46451</v>
      </c>
      <c r="Q200" s="26" t="str">
        <f t="shared" si="6"/>
        <v>100%</v>
      </c>
      <c r="R200" s="41">
        <f t="shared" si="7"/>
        <v>139353</v>
      </c>
    </row>
    <row r="201" spans="1:18" ht="15" customHeight="1" x14ac:dyDescent="0.3">
      <c r="A201" s="25">
        <v>80349</v>
      </c>
      <c r="B201" s="25" t="s">
        <v>470</v>
      </c>
      <c r="C201" s="25" t="s">
        <v>63</v>
      </c>
      <c r="D201" s="25" t="s">
        <v>64</v>
      </c>
      <c r="E201" s="25">
        <v>11001</v>
      </c>
      <c r="F201" s="25" t="s">
        <v>676</v>
      </c>
      <c r="G201" s="25">
        <v>3</v>
      </c>
      <c r="H201" s="25" t="s">
        <v>308</v>
      </c>
      <c r="I201" s="25" t="s">
        <v>65</v>
      </c>
      <c r="J201" s="25" t="s">
        <v>66</v>
      </c>
      <c r="K201" s="38">
        <v>45982.479861111111</v>
      </c>
      <c r="L201" s="25" t="s">
        <v>67</v>
      </c>
      <c r="M201" s="25" t="str">
        <f>VLOOKUP(E201,[1]TIPOLOGIAS!$A:$G,5,0)</f>
        <v>PRINCIPAL</v>
      </c>
      <c r="N201" s="25" t="str">
        <f>VLOOKUP(E201,[1]TIPOLOGIAS!$A:$G,4,0)</f>
        <v>BOGOTA</v>
      </c>
      <c r="O201" s="25" t="str">
        <f>VLOOKUP(N201,'BASE TARIFA 2025'!E:F,2,0)</f>
        <v>WOMPI CENTRO</v>
      </c>
      <c r="P201" s="40">
        <f>VLOOKUP(M201,'BASE TARIFA 2025'!A:C,3,0)</f>
        <v>46451</v>
      </c>
      <c r="Q201" s="26" t="str">
        <f t="shared" si="6"/>
        <v>100%</v>
      </c>
      <c r="R201" s="41">
        <f t="shared" si="7"/>
        <v>139353</v>
      </c>
    </row>
    <row r="202" spans="1:18" ht="15" customHeight="1" x14ac:dyDescent="0.3">
      <c r="A202" s="25">
        <v>80429</v>
      </c>
      <c r="B202" s="25" t="s">
        <v>470</v>
      </c>
      <c r="C202" s="25" t="s">
        <v>63</v>
      </c>
      <c r="D202" s="25" t="s">
        <v>64</v>
      </c>
      <c r="E202" s="25">
        <v>11001</v>
      </c>
      <c r="F202" s="25" t="s">
        <v>677</v>
      </c>
      <c r="G202" s="25">
        <v>3</v>
      </c>
      <c r="H202" s="25" t="s">
        <v>309</v>
      </c>
      <c r="I202" s="25" t="s">
        <v>65</v>
      </c>
      <c r="J202" s="25" t="s">
        <v>66</v>
      </c>
      <c r="K202" s="38">
        <v>45982.568055555559</v>
      </c>
      <c r="L202" s="25" t="s">
        <v>67</v>
      </c>
      <c r="M202" s="25" t="str">
        <f>VLOOKUP(E202,[1]TIPOLOGIAS!$A:$G,5,0)</f>
        <v>PRINCIPAL</v>
      </c>
      <c r="N202" s="25" t="str">
        <f>VLOOKUP(E202,[1]TIPOLOGIAS!$A:$G,4,0)</f>
        <v>BOGOTA</v>
      </c>
      <c r="O202" s="25" t="str">
        <f>VLOOKUP(N202,'BASE TARIFA 2025'!E:F,2,0)</f>
        <v>WOMPI CENTRO</v>
      </c>
      <c r="P202" s="40">
        <f>VLOOKUP(M202,'BASE TARIFA 2025'!A:C,3,0)</f>
        <v>46451</v>
      </c>
      <c r="Q202" s="26" t="str">
        <f t="shared" si="6"/>
        <v>100%</v>
      </c>
      <c r="R202" s="41">
        <f t="shared" si="7"/>
        <v>139353</v>
      </c>
    </row>
    <row r="203" spans="1:18" ht="15" customHeight="1" x14ac:dyDescent="0.3">
      <c r="A203" s="25">
        <v>80516</v>
      </c>
      <c r="B203" s="25" t="s">
        <v>470</v>
      </c>
      <c r="C203" s="25" t="s">
        <v>63</v>
      </c>
      <c r="D203" s="25" t="s">
        <v>64</v>
      </c>
      <c r="E203" s="25">
        <v>11001</v>
      </c>
      <c r="F203" s="25" t="s">
        <v>678</v>
      </c>
      <c r="G203" s="25">
        <v>3</v>
      </c>
      <c r="H203" s="25" t="s">
        <v>310</v>
      </c>
      <c r="I203" s="25" t="s">
        <v>65</v>
      </c>
      <c r="J203" s="25" t="s">
        <v>66</v>
      </c>
      <c r="K203" s="38">
        <v>45987.446527777778</v>
      </c>
      <c r="L203" s="25" t="s">
        <v>67</v>
      </c>
      <c r="M203" s="25" t="str">
        <f>VLOOKUP(E203,[1]TIPOLOGIAS!$A:$G,5,0)</f>
        <v>PRINCIPAL</v>
      </c>
      <c r="N203" s="25" t="str">
        <f>VLOOKUP(E203,[1]TIPOLOGIAS!$A:$G,4,0)</f>
        <v>BOGOTA</v>
      </c>
      <c r="O203" s="25" t="str">
        <f>VLOOKUP(N203,'BASE TARIFA 2025'!E:F,2,0)</f>
        <v>WOMPI CENTRO</v>
      </c>
      <c r="P203" s="40">
        <f>VLOOKUP(M203,'BASE TARIFA 2025'!A:C,3,0)</f>
        <v>46451</v>
      </c>
      <c r="Q203" s="26" t="str">
        <f t="shared" si="6"/>
        <v>100%</v>
      </c>
      <c r="R203" s="41">
        <f t="shared" si="7"/>
        <v>139353</v>
      </c>
    </row>
    <row r="204" spans="1:18" ht="15" customHeight="1" x14ac:dyDescent="0.3">
      <c r="A204" s="25">
        <v>14461</v>
      </c>
      <c r="B204" s="25" t="s">
        <v>476</v>
      </c>
      <c r="C204" s="25" t="s">
        <v>77</v>
      </c>
      <c r="D204" s="25" t="s">
        <v>80</v>
      </c>
      <c r="E204" s="25">
        <v>68276</v>
      </c>
      <c r="F204" s="25" t="s">
        <v>679</v>
      </c>
      <c r="G204" s="25">
        <v>3</v>
      </c>
      <c r="H204" s="25" t="s">
        <v>311</v>
      </c>
      <c r="I204" s="25" t="s">
        <v>65</v>
      </c>
      <c r="J204" s="25" t="s">
        <v>66</v>
      </c>
      <c r="K204" s="38">
        <v>45986.569444444445</v>
      </c>
      <c r="L204" s="25" t="s">
        <v>67</v>
      </c>
      <c r="M204" s="25" t="str">
        <f>VLOOKUP(E204,[1]TIPOLOGIAS!$A:$G,5,0)</f>
        <v>PRINCIPAL</v>
      </c>
      <c r="N204" s="25" t="str">
        <f>VLOOKUP(E204,[1]TIPOLOGIAS!$A:$G,4,0)</f>
        <v>BUCARAMANGA</v>
      </c>
      <c r="O204" s="25" t="str">
        <f>VLOOKUP(N204,'BASE TARIFA 2025'!E:F,2,0)</f>
        <v>WOMPI SANTANDERES</v>
      </c>
      <c r="P204" s="40">
        <f>VLOOKUP(M204,'BASE TARIFA 2025'!A:C,3,0)</f>
        <v>46451</v>
      </c>
      <c r="Q204" s="26" t="str">
        <f t="shared" si="6"/>
        <v>100%</v>
      </c>
      <c r="R204" s="41">
        <f t="shared" si="7"/>
        <v>139353</v>
      </c>
    </row>
    <row r="205" spans="1:18" ht="15" customHeight="1" x14ac:dyDescent="0.3">
      <c r="A205" s="25">
        <v>17084</v>
      </c>
      <c r="B205" s="25" t="s">
        <v>476</v>
      </c>
      <c r="C205" s="25" t="s">
        <v>77</v>
      </c>
      <c r="D205" s="25" t="s">
        <v>80</v>
      </c>
      <c r="E205" s="25">
        <v>68276</v>
      </c>
      <c r="F205" s="25" t="s">
        <v>680</v>
      </c>
      <c r="G205" s="25">
        <v>2</v>
      </c>
      <c r="H205" s="25" t="s">
        <v>312</v>
      </c>
      <c r="I205" s="25" t="s">
        <v>65</v>
      </c>
      <c r="J205" s="25" t="s">
        <v>66</v>
      </c>
      <c r="K205" s="38">
        <v>45987.401388888888</v>
      </c>
      <c r="L205" s="25" t="s">
        <v>67</v>
      </c>
      <c r="M205" s="25" t="str">
        <f>VLOOKUP(E205,[1]TIPOLOGIAS!$A:$G,5,0)</f>
        <v>PRINCIPAL</v>
      </c>
      <c r="N205" s="25" t="str">
        <f>VLOOKUP(E205,[1]TIPOLOGIAS!$A:$G,4,0)</f>
        <v>BUCARAMANGA</v>
      </c>
      <c r="O205" s="25" t="str">
        <f>VLOOKUP(N205,'BASE TARIFA 2025'!E:F,2,0)</f>
        <v>WOMPI SANTANDERES</v>
      </c>
      <c r="P205" s="40">
        <f>VLOOKUP(M205,'BASE TARIFA 2025'!A:C,3,0)</f>
        <v>46451</v>
      </c>
      <c r="Q205" s="26" t="str">
        <f t="shared" si="6"/>
        <v>100%</v>
      </c>
      <c r="R205" s="41">
        <f t="shared" si="7"/>
        <v>92902</v>
      </c>
    </row>
    <row r="206" spans="1:18" ht="15" customHeight="1" x14ac:dyDescent="0.3">
      <c r="A206" s="25">
        <v>38161</v>
      </c>
      <c r="B206" s="25" t="s">
        <v>481</v>
      </c>
      <c r="C206" s="25" t="s">
        <v>85</v>
      </c>
      <c r="D206" s="25" t="s">
        <v>22</v>
      </c>
      <c r="E206" s="25">
        <v>66001</v>
      </c>
      <c r="F206" s="25" t="s">
        <v>681</v>
      </c>
      <c r="G206" s="25">
        <v>2</v>
      </c>
      <c r="H206" s="25" t="s">
        <v>313</v>
      </c>
      <c r="I206" s="25" t="s">
        <v>65</v>
      </c>
      <c r="J206" s="25" t="s">
        <v>66</v>
      </c>
      <c r="K206" s="38">
        <v>45985.6875</v>
      </c>
      <c r="L206" s="25" t="s">
        <v>67</v>
      </c>
      <c r="M206" s="25" t="str">
        <f>VLOOKUP(E206,[1]TIPOLOGIAS!$A:$G,5,0)</f>
        <v>PRINCIPAL</v>
      </c>
      <c r="N206" s="25" t="str">
        <f>VLOOKUP(E206,[1]TIPOLOGIAS!$A:$G,4,0)</f>
        <v>PEREIRA</v>
      </c>
      <c r="O206" s="25" t="str">
        <f>VLOOKUP(N206,'BASE TARIFA 2025'!E:F,2,0)</f>
        <v>WOMPI EJE CAFETERO</v>
      </c>
      <c r="P206" s="40">
        <f>VLOOKUP(M206,'BASE TARIFA 2025'!A:C,3,0)</f>
        <v>46451</v>
      </c>
      <c r="Q206" s="26" t="str">
        <f t="shared" si="6"/>
        <v>100%</v>
      </c>
      <c r="R206" s="41">
        <f t="shared" si="7"/>
        <v>92902</v>
      </c>
    </row>
    <row r="207" spans="1:18" ht="15" customHeight="1" x14ac:dyDescent="0.3">
      <c r="A207" s="25">
        <v>38182</v>
      </c>
      <c r="B207" s="25" t="s">
        <v>470</v>
      </c>
      <c r="C207" s="25" t="s">
        <v>63</v>
      </c>
      <c r="D207" s="25" t="s">
        <v>64</v>
      </c>
      <c r="E207" s="25">
        <v>11001</v>
      </c>
      <c r="F207" s="25" t="s">
        <v>682</v>
      </c>
      <c r="G207" s="25">
        <v>2</v>
      </c>
      <c r="H207" s="25" t="s">
        <v>314</v>
      </c>
      <c r="I207" s="25" t="s">
        <v>65</v>
      </c>
      <c r="J207" s="25" t="s">
        <v>66</v>
      </c>
      <c r="K207" s="38">
        <v>45983.691666666666</v>
      </c>
      <c r="L207" s="25" t="s">
        <v>67</v>
      </c>
      <c r="M207" s="25" t="str">
        <f>VLOOKUP(E207,[1]TIPOLOGIAS!$A:$G,5,0)</f>
        <v>PRINCIPAL</v>
      </c>
      <c r="N207" s="25" t="str">
        <f>VLOOKUP(E207,[1]TIPOLOGIAS!$A:$G,4,0)</f>
        <v>BOGOTA</v>
      </c>
      <c r="O207" s="25" t="str">
        <f>VLOOKUP(N207,'BASE TARIFA 2025'!E:F,2,0)</f>
        <v>WOMPI CENTRO</v>
      </c>
      <c r="P207" s="40">
        <f>VLOOKUP(M207,'BASE TARIFA 2025'!A:C,3,0)</f>
        <v>46451</v>
      </c>
      <c r="Q207" s="26" t="str">
        <f t="shared" si="6"/>
        <v>100%</v>
      </c>
      <c r="R207" s="41">
        <f t="shared" si="7"/>
        <v>92902</v>
      </c>
    </row>
    <row r="208" spans="1:18" ht="15" customHeight="1" x14ac:dyDescent="0.3">
      <c r="A208" s="25">
        <v>38231</v>
      </c>
      <c r="B208" s="25" t="s">
        <v>90</v>
      </c>
      <c r="C208" s="25" t="s">
        <v>90</v>
      </c>
      <c r="D208" s="25" t="s">
        <v>91</v>
      </c>
      <c r="E208" s="25">
        <v>5001</v>
      </c>
      <c r="F208" s="25" t="s">
        <v>683</v>
      </c>
      <c r="G208" s="25">
        <v>2</v>
      </c>
      <c r="H208" s="25" t="s">
        <v>315</v>
      </c>
      <c r="I208" s="25" t="s">
        <v>65</v>
      </c>
      <c r="J208" s="25" t="s">
        <v>66</v>
      </c>
      <c r="K208" s="38">
        <v>45986.402083333334</v>
      </c>
      <c r="L208" s="25" t="s">
        <v>67</v>
      </c>
      <c r="M208" s="25" t="str">
        <f>VLOOKUP(E208,[1]TIPOLOGIAS!$A:$G,5,0)</f>
        <v>PRINCIPAL</v>
      </c>
      <c r="N208" s="25" t="str">
        <f>VLOOKUP(E208,[1]TIPOLOGIAS!$A:$G,4,0)</f>
        <v>MEDELLIN</v>
      </c>
      <c r="O208" s="25" t="str">
        <f>VLOOKUP(N208,'BASE TARIFA 2025'!E:F,2,0)</f>
        <v>WOMPI NOROCCIDENTE</v>
      </c>
      <c r="P208" s="40">
        <f>VLOOKUP(M208,'BASE TARIFA 2025'!A:C,3,0)</f>
        <v>46451</v>
      </c>
      <c r="Q208" s="26" t="str">
        <f t="shared" si="6"/>
        <v>100%</v>
      </c>
      <c r="R208" s="41">
        <f t="shared" si="7"/>
        <v>92902</v>
      </c>
    </row>
    <row r="209" spans="1:18" ht="15" customHeight="1" x14ac:dyDescent="0.3">
      <c r="A209" s="25">
        <v>38424</v>
      </c>
      <c r="B209" s="25" t="s">
        <v>90</v>
      </c>
      <c r="C209" s="25" t="s">
        <v>90</v>
      </c>
      <c r="D209" s="25" t="s">
        <v>91</v>
      </c>
      <c r="E209" s="25">
        <v>5001</v>
      </c>
      <c r="F209" s="25" t="s">
        <v>684</v>
      </c>
      <c r="G209" s="25">
        <v>4</v>
      </c>
      <c r="H209" s="25" t="s">
        <v>316</v>
      </c>
      <c r="I209" s="25" t="s">
        <v>65</v>
      </c>
      <c r="J209" s="25" t="s">
        <v>66</v>
      </c>
      <c r="K209" s="38">
        <v>45981.473611111112</v>
      </c>
      <c r="L209" s="25" t="s">
        <v>67</v>
      </c>
      <c r="M209" s="25" t="str">
        <f>VLOOKUP(E209,[1]TIPOLOGIAS!$A:$G,5,0)</f>
        <v>PRINCIPAL</v>
      </c>
      <c r="N209" s="25" t="str">
        <f>VLOOKUP(E209,[1]TIPOLOGIAS!$A:$G,4,0)</f>
        <v>MEDELLIN</v>
      </c>
      <c r="O209" s="25" t="str">
        <f>VLOOKUP(N209,'BASE TARIFA 2025'!E:F,2,0)</f>
        <v>WOMPI NOROCCIDENTE</v>
      </c>
      <c r="P209" s="40">
        <f>VLOOKUP(M209,'BASE TARIFA 2025'!A:C,3,0)</f>
        <v>46451</v>
      </c>
      <c r="Q209" s="26" t="str">
        <f t="shared" si="6"/>
        <v>100%</v>
      </c>
      <c r="R209" s="41">
        <f t="shared" si="7"/>
        <v>185804</v>
      </c>
    </row>
    <row r="210" spans="1:18" ht="15" customHeight="1" x14ac:dyDescent="0.3">
      <c r="A210" s="25">
        <v>38505</v>
      </c>
      <c r="B210" s="25" t="s">
        <v>476</v>
      </c>
      <c r="C210" s="25" t="s">
        <v>77</v>
      </c>
      <c r="D210" s="25" t="s">
        <v>26</v>
      </c>
      <c r="E210" s="25">
        <v>68001</v>
      </c>
      <c r="F210" s="25" t="s">
        <v>685</v>
      </c>
      <c r="G210" s="25">
        <v>2</v>
      </c>
      <c r="H210" s="25" t="s">
        <v>317</v>
      </c>
      <c r="I210" s="25" t="s">
        <v>65</v>
      </c>
      <c r="J210" s="25" t="s">
        <v>66</v>
      </c>
      <c r="K210" s="38">
        <v>45987.394444444442</v>
      </c>
      <c r="L210" s="25" t="s">
        <v>67</v>
      </c>
      <c r="M210" s="25" t="str">
        <f>VLOOKUP(E210,[1]TIPOLOGIAS!$A:$G,5,0)</f>
        <v>PRINCIPAL</v>
      </c>
      <c r="N210" s="25" t="str">
        <f>VLOOKUP(E210,[1]TIPOLOGIAS!$A:$G,4,0)</f>
        <v>BUCARAMANGA</v>
      </c>
      <c r="O210" s="25" t="str">
        <f>VLOOKUP(N210,'BASE TARIFA 2025'!E:F,2,0)</f>
        <v>WOMPI SANTANDERES</v>
      </c>
      <c r="P210" s="40">
        <f>VLOOKUP(M210,'BASE TARIFA 2025'!A:C,3,0)</f>
        <v>46451</v>
      </c>
      <c r="Q210" s="26" t="str">
        <f t="shared" si="6"/>
        <v>100%</v>
      </c>
      <c r="R210" s="41">
        <f t="shared" si="7"/>
        <v>92902</v>
      </c>
    </row>
    <row r="211" spans="1:18" ht="15" customHeight="1" x14ac:dyDescent="0.3">
      <c r="A211" s="25">
        <v>38685</v>
      </c>
      <c r="B211" s="25" t="s">
        <v>470</v>
      </c>
      <c r="C211" s="25" t="s">
        <v>63</v>
      </c>
      <c r="D211" s="25" t="s">
        <v>89</v>
      </c>
      <c r="E211" s="25">
        <v>25754</v>
      </c>
      <c r="F211" s="25" t="s">
        <v>686</v>
      </c>
      <c r="G211" s="25">
        <v>2</v>
      </c>
      <c r="H211" s="25" t="s">
        <v>318</v>
      </c>
      <c r="I211" s="25" t="s">
        <v>65</v>
      </c>
      <c r="J211" s="25" t="s">
        <v>66</v>
      </c>
      <c r="K211" s="38">
        <v>45987.520138888889</v>
      </c>
      <c r="L211" s="25" t="s">
        <v>67</v>
      </c>
      <c r="M211" s="25" t="str">
        <f>VLOOKUP(E211,[1]TIPOLOGIAS!$A:$G,5,0)</f>
        <v>PRINCIPAL</v>
      </c>
      <c r="N211" s="25" t="str">
        <f>VLOOKUP(E211,[1]TIPOLOGIAS!$A:$G,4,0)</f>
        <v>BOGOTA</v>
      </c>
      <c r="O211" s="25" t="str">
        <f>VLOOKUP(N211,'BASE TARIFA 2025'!E:F,2,0)</f>
        <v>WOMPI CENTRO</v>
      </c>
      <c r="P211" s="40">
        <f>VLOOKUP(M211,'BASE TARIFA 2025'!A:C,3,0)</f>
        <v>46451</v>
      </c>
      <c r="Q211" s="26" t="str">
        <f t="shared" si="6"/>
        <v>100%</v>
      </c>
      <c r="R211" s="41">
        <f t="shared" si="7"/>
        <v>92902</v>
      </c>
    </row>
    <row r="212" spans="1:18" ht="15" customHeight="1" x14ac:dyDescent="0.3">
      <c r="A212" s="25">
        <v>38880</v>
      </c>
      <c r="B212" s="25" t="s">
        <v>476</v>
      </c>
      <c r="C212" s="25" t="s">
        <v>77</v>
      </c>
      <c r="D212" s="25" t="s">
        <v>80</v>
      </c>
      <c r="E212" s="25">
        <v>68276</v>
      </c>
      <c r="F212" s="25" t="s">
        <v>687</v>
      </c>
      <c r="G212" s="25">
        <v>2</v>
      </c>
      <c r="H212" s="25" t="s">
        <v>319</v>
      </c>
      <c r="I212" s="25" t="s">
        <v>65</v>
      </c>
      <c r="J212" s="25" t="s">
        <v>66</v>
      </c>
      <c r="K212" s="38">
        <v>45986.40902777778</v>
      </c>
      <c r="L212" s="25" t="s">
        <v>67</v>
      </c>
      <c r="M212" s="25" t="str">
        <f>VLOOKUP(E212,[1]TIPOLOGIAS!$A:$G,5,0)</f>
        <v>PRINCIPAL</v>
      </c>
      <c r="N212" s="25" t="str">
        <f>VLOOKUP(E212,[1]TIPOLOGIAS!$A:$G,4,0)</f>
        <v>BUCARAMANGA</v>
      </c>
      <c r="O212" s="25" t="str">
        <f>VLOOKUP(N212,'BASE TARIFA 2025'!E:F,2,0)</f>
        <v>WOMPI SANTANDERES</v>
      </c>
      <c r="P212" s="40">
        <f>VLOOKUP(M212,'BASE TARIFA 2025'!A:C,3,0)</f>
        <v>46451</v>
      </c>
      <c r="Q212" s="26" t="str">
        <f t="shared" si="6"/>
        <v>100%</v>
      </c>
      <c r="R212" s="41">
        <f t="shared" si="7"/>
        <v>92902</v>
      </c>
    </row>
    <row r="213" spans="1:18" ht="15" customHeight="1" x14ac:dyDescent="0.3">
      <c r="A213" s="25">
        <v>39128</v>
      </c>
      <c r="B213" s="25" t="s">
        <v>90</v>
      </c>
      <c r="C213" s="25" t="s">
        <v>90</v>
      </c>
      <c r="D213" s="25" t="s">
        <v>91</v>
      </c>
      <c r="E213" s="25">
        <v>5001</v>
      </c>
      <c r="F213" s="25" t="s">
        <v>688</v>
      </c>
      <c r="G213" s="25">
        <v>2</v>
      </c>
      <c r="H213" s="25" t="s">
        <v>320</v>
      </c>
      <c r="I213" s="25" t="s">
        <v>65</v>
      </c>
      <c r="J213" s="25" t="s">
        <v>66</v>
      </c>
      <c r="K213" s="38">
        <v>45982.571527777778</v>
      </c>
      <c r="L213" s="25" t="s">
        <v>67</v>
      </c>
      <c r="M213" s="25" t="str">
        <f>VLOOKUP(E213,[1]TIPOLOGIAS!$A:$G,5,0)</f>
        <v>PRINCIPAL</v>
      </c>
      <c r="N213" s="25" t="str">
        <f>VLOOKUP(E213,[1]TIPOLOGIAS!$A:$G,4,0)</f>
        <v>MEDELLIN</v>
      </c>
      <c r="O213" s="25" t="str">
        <f>VLOOKUP(N213,'BASE TARIFA 2025'!E:F,2,0)</f>
        <v>WOMPI NOROCCIDENTE</v>
      </c>
      <c r="P213" s="40">
        <f>VLOOKUP(M213,'BASE TARIFA 2025'!A:C,3,0)</f>
        <v>46451</v>
      </c>
      <c r="Q213" s="26" t="str">
        <f t="shared" si="6"/>
        <v>100%</v>
      </c>
      <c r="R213" s="41">
        <f t="shared" si="7"/>
        <v>92902</v>
      </c>
    </row>
    <row r="214" spans="1:18" ht="15" customHeight="1" x14ac:dyDescent="0.3">
      <c r="A214" s="25">
        <v>39170</v>
      </c>
      <c r="B214" s="25" t="s">
        <v>470</v>
      </c>
      <c r="C214" s="25" t="s">
        <v>63</v>
      </c>
      <c r="D214" s="25" t="s">
        <v>64</v>
      </c>
      <c r="E214" s="25">
        <v>11001</v>
      </c>
      <c r="F214" s="25" t="s">
        <v>689</v>
      </c>
      <c r="G214" s="25">
        <v>2</v>
      </c>
      <c r="H214" s="25" t="s">
        <v>321</v>
      </c>
      <c r="I214" s="25" t="s">
        <v>65</v>
      </c>
      <c r="J214" s="25" t="s">
        <v>66</v>
      </c>
      <c r="K214" s="38">
        <v>45983.527083333334</v>
      </c>
      <c r="L214" s="25" t="s">
        <v>67</v>
      </c>
      <c r="M214" s="25" t="str">
        <f>VLOOKUP(E214,[1]TIPOLOGIAS!$A:$G,5,0)</f>
        <v>PRINCIPAL</v>
      </c>
      <c r="N214" s="25" t="str">
        <f>VLOOKUP(E214,[1]TIPOLOGIAS!$A:$G,4,0)</f>
        <v>BOGOTA</v>
      </c>
      <c r="O214" s="25" t="str">
        <f>VLOOKUP(N214,'BASE TARIFA 2025'!E:F,2,0)</f>
        <v>WOMPI CENTRO</v>
      </c>
      <c r="P214" s="40">
        <f>VLOOKUP(M214,'BASE TARIFA 2025'!A:C,3,0)</f>
        <v>46451</v>
      </c>
      <c r="Q214" s="26" t="str">
        <f t="shared" si="6"/>
        <v>100%</v>
      </c>
      <c r="R214" s="41">
        <f t="shared" si="7"/>
        <v>92902</v>
      </c>
    </row>
    <row r="215" spans="1:18" ht="15" customHeight="1" x14ac:dyDescent="0.3">
      <c r="A215" s="25">
        <v>39504</v>
      </c>
      <c r="B215" s="25" t="s">
        <v>470</v>
      </c>
      <c r="C215" s="25" t="s">
        <v>63</v>
      </c>
      <c r="D215" s="25" t="s">
        <v>89</v>
      </c>
      <c r="E215" s="25">
        <v>25754</v>
      </c>
      <c r="F215" s="25" t="s">
        <v>690</v>
      </c>
      <c r="G215" s="25">
        <v>3</v>
      </c>
      <c r="H215" s="25" t="s">
        <v>322</v>
      </c>
      <c r="I215" s="25" t="s">
        <v>65</v>
      </c>
      <c r="J215" s="25" t="s">
        <v>66</v>
      </c>
      <c r="K215" s="38">
        <v>45983.65902777778</v>
      </c>
      <c r="L215" s="25" t="s">
        <v>67</v>
      </c>
      <c r="M215" s="25" t="str">
        <f>VLOOKUP(E215,[1]TIPOLOGIAS!$A:$G,5,0)</f>
        <v>PRINCIPAL</v>
      </c>
      <c r="N215" s="25" t="str">
        <f>VLOOKUP(E215,[1]TIPOLOGIAS!$A:$G,4,0)</f>
        <v>BOGOTA</v>
      </c>
      <c r="O215" s="25" t="str">
        <f>VLOOKUP(N215,'BASE TARIFA 2025'!E:F,2,0)</f>
        <v>WOMPI CENTRO</v>
      </c>
      <c r="P215" s="40">
        <f>VLOOKUP(M215,'BASE TARIFA 2025'!A:C,3,0)</f>
        <v>46451</v>
      </c>
      <c r="Q215" s="26" t="str">
        <f t="shared" si="6"/>
        <v>100%</v>
      </c>
      <c r="R215" s="41">
        <f t="shared" si="7"/>
        <v>139353</v>
      </c>
    </row>
    <row r="216" spans="1:18" ht="15" customHeight="1" x14ac:dyDescent="0.3">
      <c r="A216" s="25">
        <v>39644</v>
      </c>
      <c r="B216" s="25" t="s">
        <v>90</v>
      </c>
      <c r="C216" s="25" t="s">
        <v>90</v>
      </c>
      <c r="D216" s="25" t="s">
        <v>100</v>
      </c>
      <c r="E216" s="25">
        <v>5266</v>
      </c>
      <c r="F216" s="25" t="s">
        <v>691</v>
      </c>
      <c r="G216" s="25">
        <v>2</v>
      </c>
      <c r="H216" s="25" t="s">
        <v>323</v>
      </c>
      <c r="I216" s="25" t="s">
        <v>65</v>
      </c>
      <c r="J216" s="25" t="s">
        <v>66</v>
      </c>
      <c r="K216" s="38">
        <v>45980.476388888892</v>
      </c>
      <c r="L216" s="25" t="s">
        <v>67</v>
      </c>
      <c r="M216" s="25" t="str">
        <f>VLOOKUP(E216,[1]TIPOLOGIAS!$A:$G,5,0)</f>
        <v>PRINCIPAL</v>
      </c>
      <c r="N216" s="25" t="str">
        <f>VLOOKUP(E216,[1]TIPOLOGIAS!$A:$G,4,0)</f>
        <v>MEDELLIN</v>
      </c>
      <c r="O216" s="25" t="str">
        <f>VLOOKUP(N216,'BASE TARIFA 2025'!E:F,2,0)</f>
        <v>WOMPI NOROCCIDENTE</v>
      </c>
      <c r="P216" s="40">
        <f>VLOOKUP(M216,'BASE TARIFA 2025'!A:C,3,0)</f>
        <v>46451</v>
      </c>
      <c r="Q216" s="26" t="str">
        <f t="shared" si="6"/>
        <v>100%</v>
      </c>
      <c r="R216" s="41">
        <f t="shared" si="7"/>
        <v>92902</v>
      </c>
    </row>
    <row r="217" spans="1:18" ht="15" customHeight="1" x14ac:dyDescent="0.3">
      <c r="A217" s="25">
        <v>40284</v>
      </c>
      <c r="B217" s="25" t="s">
        <v>90</v>
      </c>
      <c r="C217" s="25" t="s">
        <v>90</v>
      </c>
      <c r="D217" s="25" t="s">
        <v>91</v>
      </c>
      <c r="E217" s="25">
        <v>5001</v>
      </c>
      <c r="F217" s="25" t="s">
        <v>692</v>
      </c>
      <c r="G217" s="25">
        <v>3</v>
      </c>
      <c r="H217" s="25" t="s">
        <v>324</v>
      </c>
      <c r="I217" s="25" t="s">
        <v>65</v>
      </c>
      <c r="J217" s="25" t="s">
        <v>66</v>
      </c>
      <c r="K217" s="38">
        <v>45983.431944444441</v>
      </c>
      <c r="L217" s="25" t="s">
        <v>67</v>
      </c>
      <c r="M217" s="25" t="str">
        <f>VLOOKUP(E217,[1]TIPOLOGIAS!$A:$G,5,0)</f>
        <v>PRINCIPAL</v>
      </c>
      <c r="N217" s="25" t="str">
        <f>VLOOKUP(E217,[1]TIPOLOGIAS!$A:$G,4,0)</f>
        <v>MEDELLIN</v>
      </c>
      <c r="O217" s="25" t="str">
        <f>VLOOKUP(N217,'BASE TARIFA 2025'!E:F,2,0)</f>
        <v>WOMPI NOROCCIDENTE</v>
      </c>
      <c r="P217" s="40">
        <f>VLOOKUP(M217,'BASE TARIFA 2025'!A:C,3,0)</f>
        <v>46451</v>
      </c>
      <c r="Q217" s="26" t="str">
        <f t="shared" si="6"/>
        <v>100%</v>
      </c>
      <c r="R217" s="41">
        <f t="shared" si="7"/>
        <v>139353</v>
      </c>
    </row>
    <row r="218" spans="1:18" ht="15" customHeight="1" x14ac:dyDescent="0.3">
      <c r="A218" s="25">
        <v>40393</v>
      </c>
      <c r="B218" s="25" t="s">
        <v>90</v>
      </c>
      <c r="C218" s="25" t="s">
        <v>90</v>
      </c>
      <c r="D218" s="25" t="s">
        <v>91</v>
      </c>
      <c r="E218" s="25">
        <v>5001</v>
      </c>
      <c r="F218" s="25" t="s">
        <v>693</v>
      </c>
      <c r="G218" s="25">
        <v>3</v>
      </c>
      <c r="H218" s="25" t="s">
        <v>325</v>
      </c>
      <c r="I218" s="25" t="s">
        <v>65</v>
      </c>
      <c r="J218" s="25" t="s">
        <v>66</v>
      </c>
      <c r="K218" s="38">
        <v>45981.489583333336</v>
      </c>
      <c r="L218" s="25" t="s">
        <v>67</v>
      </c>
      <c r="M218" s="25" t="str">
        <f>VLOOKUP(E218,[1]TIPOLOGIAS!$A:$G,5,0)</f>
        <v>PRINCIPAL</v>
      </c>
      <c r="N218" s="25" t="str">
        <f>VLOOKUP(E218,[1]TIPOLOGIAS!$A:$G,4,0)</f>
        <v>MEDELLIN</v>
      </c>
      <c r="O218" s="25" t="str">
        <f>VLOOKUP(N218,'BASE TARIFA 2025'!E:F,2,0)</f>
        <v>WOMPI NOROCCIDENTE</v>
      </c>
      <c r="P218" s="40">
        <f>VLOOKUP(M218,'BASE TARIFA 2025'!A:C,3,0)</f>
        <v>46451</v>
      </c>
      <c r="Q218" s="26" t="str">
        <f t="shared" si="6"/>
        <v>100%</v>
      </c>
      <c r="R218" s="41">
        <f t="shared" si="7"/>
        <v>139353</v>
      </c>
    </row>
    <row r="219" spans="1:18" ht="15" customHeight="1" x14ac:dyDescent="0.3">
      <c r="A219" s="25">
        <v>41440</v>
      </c>
      <c r="B219" s="25" t="s">
        <v>476</v>
      </c>
      <c r="C219" s="25" t="s">
        <v>77</v>
      </c>
      <c r="D219" s="25" t="s">
        <v>26</v>
      </c>
      <c r="E219" s="25">
        <v>68001</v>
      </c>
      <c r="F219" s="25" t="s">
        <v>694</v>
      </c>
      <c r="G219" s="25">
        <v>3</v>
      </c>
      <c r="H219" s="25" t="s">
        <v>326</v>
      </c>
      <c r="I219" s="25" t="s">
        <v>65</v>
      </c>
      <c r="J219" s="25" t="s">
        <v>66</v>
      </c>
      <c r="K219" s="38">
        <v>45985.427777777775</v>
      </c>
      <c r="L219" s="25" t="s">
        <v>67</v>
      </c>
      <c r="M219" s="25" t="str">
        <f>VLOOKUP(E219,[1]TIPOLOGIAS!$A:$G,5,0)</f>
        <v>PRINCIPAL</v>
      </c>
      <c r="N219" s="25" t="str">
        <f>VLOOKUP(E219,[1]TIPOLOGIAS!$A:$G,4,0)</f>
        <v>BUCARAMANGA</v>
      </c>
      <c r="O219" s="25" t="str">
        <f>VLOOKUP(N219,'BASE TARIFA 2025'!E:F,2,0)</f>
        <v>WOMPI SANTANDERES</v>
      </c>
      <c r="P219" s="40">
        <f>VLOOKUP(M219,'BASE TARIFA 2025'!A:C,3,0)</f>
        <v>46451</v>
      </c>
      <c r="Q219" s="26" t="str">
        <f t="shared" si="6"/>
        <v>100%</v>
      </c>
      <c r="R219" s="41">
        <f t="shared" si="7"/>
        <v>139353</v>
      </c>
    </row>
    <row r="220" spans="1:18" ht="15" customHeight="1" x14ac:dyDescent="0.3">
      <c r="A220" s="25">
        <v>41543</v>
      </c>
      <c r="B220" s="25" t="s">
        <v>476</v>
      </c>
      <c r="C220" s="25" t="s">
        <v>79</v>
      </c>
      <c r="D220" s="25" t="s">
        <v>33</v>
      </c>
      <c r="E220" s="25">
        <v>15001</v>
      </c>
      <c r="F220" s="25" t="s">
        <v>695</v>
      </c>
      <c r="G220" s="25">
        <v>2</v>
      </c>
      <c r="H220" s="25" t="s">
        <v>327</v>
      </c>
      <c r="I220" s="25" t="s">
        <v>65</v>
      </c>
      <c r="J220" s="25" t="s">
        <v>66</v>
      </c>
      <c r="K220" s="38">
        <v>45985.472222222219</v>
      </c>
      <c r="L220" s="25" t="s">
        <v>67</v>
      </c>
      <c r="M220" s="25" t="str">
        <f>VLOOKUP(E220,[1]TIPOLOGIAS!$A:$G,5,0)</f>
        <v>PRINCIPAL</v>
      </c>
      <c r="N220" s="25" t="str">
        <f>VLOOKUP(E220,[1]TIPOLOGIAS!$A:$G,4,0)</f>
        <v>TUNJA</v>
      </c>
      <c r="O220" s="25" t="str">
        <f>VLOOKUP(N220,'BASE TARIFA 2025'!E:F,2,0)</f>
        <v>WOMPI SANTANDERES</v>
      </c>
      <c r="P220" s="40">
        <f>VLOOKUP(M220,'BASE TARIFA 2025'!A:C,3,0)</f>
        <v>46451</v>
      </c>
      <c r="Q220" s="26" t="str">
        <f t="shared" si="6"/>
        <v>100%</v>
      </c>
      <c r="R220" s="41">
        <f t="shared" si="7"/>
        <v>92902</v>
      </c>
    </row>
    <row r="221" spans="1:18" ht="15" customHeight="1" x14ac:dyDescent="0.3">
      <c r="A221" s="25">
        <v>41569</v>
      </c>
      <c r="B221" s="25" t="s">
        <v>476</v>
      </c>
      <c r="C221" s="25" t="s">
        <v>77</v>
      </c>
      <c r="D221" s="25" t="s">
        <v>80</v>
      </c>
      <c r="E221" s="25">
        <v>68276</v>
      </c>
      <c r="F221" s="25" t="s">
        <v>696</v>
      </c>
      <c r="G221" s="25">
        <v>2</v>
      </c>
      <c r="H221" s="25" t="s">
        <v>328</v>
      </c>
      <c r="I221" s="25" t="s">
        <v>65</v>
      </c>
      <c r="J221" s="25" t="s">
        <v>66</v>
      </c>
      <c r="K221" s="38">
        <v>45986.650694444441</v>
      </c>
      <c r="L221" s="25" t="s">
        <v>67</v>
      </c>
      <c r="M221" s="25" t="str">
        <f>VLOOKUP(E221,[1]TIPOLOGIAS!$A:$G,5,0)</f>
        <v>PRINCIPAL</v>
      </c>
      <c r="N221" s="25" t="str">
        <f>VLOOKUP(E221,[1]TIPOLOGIAS!$A:$G,4,0)</f>
        <v>BUCARAMANGA</v>
      </c>
      <c r="O221" s="25" t="str">
        <f>VLOOKUP(N221,'BASE TARIFA 2025'!E:F,2,0)</f>
        <v>WOMPI SANTANDERES</v>
      </c>
      <c r="P221" s="40">
        <f>VLOOKUP(M221,'BASE TARIFA 2025'!A:C,3,0)</f>
        <v>46451</v>
      </c>
      <c r="Q221" s="26" t="str">
        <f t="shared" si="6"/>
        <v>100%</v>
      </c>
      <c r="R221" s="41">
        <f t="shared" si="7"/>
        <v>92902</v>
      </c>
    </row>
    <row r="222" spans="1:18" ht="15" customHeight="1" x14ac:dyDescent="0.3">
      <c r="A222" s="25">
        <v>43116</v>
      </c>
      <c r="B222" s="25" t="s">
        <v>470</v>
      </c>
      <c r="C222" s="25" t="s">
        <v>63</v>
      </c>
      <c r="D222" s="25" t="s">
        <v>64</v>
      </c>
      <c r="E222" s="25">
        <v>11001</v>
      </c>
      <c r="F222" s="25" t="s">
        <v>697</v>
      </c>
      <c r="G222" s="25">
        <v>2</v>
      </c>
      <c r="H222" s="25" t="s">
        <v>329</v>
      </c>
      <c r="I222" s="25" t="s">
        <v>65</v>
      </c>
      <c r="J222" s="25" t="s">
        <v>66</v>
      </c>
      <c r="K222" s="38">
        <v>45986.411805555559</v>
      </c>
      <c r="L222" s="25" t="s">
        <v>67</v>
      </c>
      <c r="M222" s="25" t="str">
        <f>VLOOKUP(E222,[1]TIPOLOGIAS!$A:$G,5,0)</f>
        <v>PRINCIPAL</v>
      </c>
      <c r="N222" s="25" t="str">
        <f>VLOOKUP(E222,[1]TIPOLOGIAS!$A:$G,4,0)</f>
        <v>BOGOTA</v>
      </c>
      <c r="O222" s="25" t="str">
        <f>VLOOKUP(N222,'BASE TARIFA 2025'!E:F,2,0)</f>
        <v>WOMPI CENTRO</v>
      </c>
      <c r="P222" s="40">
        <f>VLOOKUP(M222,'BASE TARIFA 2025'!A:C,3,0)</f>
        <v>46451</v>
      </c>
      <c r="Q222" s="26" t="str">
        <f t="shared" si="6"/>
        <v>100%</v>
      </c>
      <c r="R222" s="41">
        <f t="shared" si="7"/>
        <v>92902</v>
      </c>
    </row>
    <row r="223" spans="1:18" ht="15" customHeight="1" x14ac:dyDescent="0.3">
      <c r="A223" s="25">
        <v>45966</v>
      </c>
      <c r="B223" s="25" t="s">
        <v>90</v>
      </c>
      <c r="C223" s="25" t="s">
        <v>90</v>
      </c>
      <c r="D223" s="25" t="s">
        <v>91</v>
      </c>
      <c r="E223" s="25">
        <v>5001</v>
      </c>
      <c r="F223" s="25" t="s">
        <v>698</v>
      </c>
      <c r="G223" s="25">
        <v>2</v>
      </c>
      <c r="H223" s="25" t="s">
        <v>330</v>
      </c>
      <c r="I223" s="25" t="s">
        <v>65</v>
      </c>
      <c r="J223" s="25" t="s">
        <v>66</v>
      </c>
      <c r="K223" s="38">
        <v>45986.38958333333</v>
      </c>
      <c r="L223" s="25" t="s">
        <v>67</v>
      </c>
      <c r="M223" s="25" t="str">
        <f>VLOOKUP(E223,[1]TIPOLOGIAS!$A:$G,5,0)</f>
        <v>PRINCIPAL</v>
      </c>
      <c r="N223" s="25" t="str">
        <f>VLOOKUP(E223,[1]TIPOLOGIAS!$A:$G,4,0)</f>
        <v>MEDELLIN</v>
      </c>
      <c r="O223" s="25" t="str">
        <f>VLOOKUP(N223,'BASE TARIFA 2025'!E:F,2,0)</f>
        <v>WOMPI NOROCCIDENTE</v>
      </c>
      <c r="P223" s="40">
        <f>VLOOKUP(M223,'BASE TARIFA 2025'!A:C,3,0)</f>
        <v>46451</v>
      </c>
      <c r="Q223" s="26" t="str">
        <f t="shared" si="6"/>
        <v>100%</v>
      </c>
      <c r="R223" s="41">
        <f t="shared" si="7"/>
        <v>92902</v>
      </c>
    </row>
    <row r="224" spans="1:18" ht="15" customHeight="1" x14ac:dyDescent="0.3">
      <c r="A224" s="25">
        <v>45993</v>
      </c>
      <c r="B224" s="25" t="s">
        <v>470</v>
      </c>
      <c r="C224" s="25" t="s">
        <v>63</v>
      </c>
      <c r="D224" s="25" t="s">
        <v>64</v>
      </c>
      <c r="E224" s="25">
        <v>11001</v>
      </c>
      <c r="F224" s="25" t="s">
        <v>699</v>
      </c>
      <c r="G224" s="25">
        <v>2</v>
      </c>
      <c r="H224" s="25" t="s">
        <v>331</v>
      </c>
      <c r="I224" s="25" t="s">
        <v>65</v>
      </c>
      <c r="J224" s="25" t="s">
        <v>66</v>
      </c>
      <c r="K224" s="38">
        <v>45985.658333333333</v>
      </c>
      <c r="L224" s="25" t="s">
        <v>67</v>
      </c>
      <c r="M224" s="25" t="str">
        <f>VLOOKUP(E224,[1]TIPOLOGIAS!$A:$G,5,0)</f>
        <v>PRINCIPAL</v>
      </c>
      <c r="N224" s="25" t="str">
        <f>VLOOKUP(E224,[1]TIPOLOGIAS!$A:$G,4,0)</f>
        <v>BOGOTA</v>
      </c>
      <c r="O224" s="25" t="str">
        <f>VLOOKUP(N224,'BASE TARIFA 2025'!E:F,2,0)</f>
        <v>WOMPI CENTRO</v>
      </c>
      <c r="P224" s="40">
        <f>VLOOKUP(M224,'BASE TARIFA 2025'!A:C,3,0)</f>
        <v>46451</v>
      </c>
      <c r="Q224" s="26" t="str">
        <f t="shared" si="6"/>
        <v>100%</v>
      </c>
      <c r="R224" s="41">
        <f t="shared" si="7"/>
        <v>92902</v>
      </c>
    </row>
    <row r="225" spans="1:18" ht="15" customHeight="1" x14ac:dyDescent="0.3">
      <c r="A225" s="25">
        <v>46041</v>
      </c>
      <c r="B225" s="25" t="s">
        <v>476</v>
      </c>
      <c r="C225" s="25" t="s">
        <v>77</v>
      </c>
      <c r="D225" s="25" t="s">
        <v>26</v>
      </c>
      <c r="E225" s="25">
        <v>68001</v>
      </c>
      <c r="F225" s="25" t="s">
        <v>700</v>
      </c>
      <c r="G225" s="25">
        <v>2</v>
      </c>
      <c r="H225" s="25" t="s">
        <v>332</v>
      </c>
      <c r="I225" s="25" t="s">
        <v>65</v>
      </c>
      <c r="J225" s="25" t="s">
        <v>66</v>
      </c>
      <c r="K225" s="38">
        <v>45987.47152777778</v>
      </c>
      <c r="L225" s="25" t="s">
        <v>67</v>
      </c>
      <c r="M225" s="25" t="str">
        <f>VLOOKUP(E225,[1]TIPOLOGIAS!$A:$G,5,0)</f>
        <v>PRINCIPAL</v>
      </c>
      <c r="N225" s="25" t="str">
        <f>VLOOKUP(E225,[1]TIPOLOGIAS!$A:$G,4,0)</f>
        <v>BUCARAMANGA</v>
      </c>
      <c r="O225" s="25" t="str">
        <f>VLOOKUP(N225,'BASE TARIFA 2025'!E:F,2,0)</f>
        <v>WOMPI SANTANDERES</v>
      </c>
      <c r="P225" s="40">
        <f>VLOOKUP(M225,'BASE TARIFA 2025'!A:C,3,0)</f>
        <v>46451</v>
      </c>
      <c r="Q225" s="26" t="str">
        <f t="shared" si="6"/>
        <v>100%</v>
      </c>
      <c r="R225" s="41">
        <f t="shared" si="7"/>
        <v>92902</v>
      </c>
    </row>
    <row r="226" spans="1:18" ht="15" customHeight="1" x14ac:dyDescent="0.3">
      <c r="A226" s="25">
        <v>46491</v>
      </c>
      <c r="B226" s="25" t="s">
        <v>470</v>
      </c>
      <c r="C226" s="25" t="s">
        <v>63</v>
      </c>
      <c r="D226" s="25" t="s">
        <v>64</v>
      </c>
      <c r="E226" s="25">
        <v>11001</v>
      </c>
      <c r="F226" s="25" t="s">
        <v>701</v>
      </c>
      <c r="G226" s="25">
        <v>2</v>
      </c>
      <c r="H226" s="25" t="s">
        <v>333</v>
      </c>
      <c r="I226" s="25" t="s">
        <v>65</v>
      </c>
      <c r="J226" s="25" t="s">
        <v>66</v>
      </c>
      <c r="K226" s="38">
        <v>45985.445138888892</v>
      </c>
      <c r="L226" s="25" t="s">
        <v>67</v>
      </c>
      <c r="M226" s="25" t="str">
        <f>VLOOKUP(E226,[1]TIPOLOGIAS!$A:$G,5,0)</f>
        <v>PRINCIPAL</v>
      </c>
      <c r="N226" s="25" t="str">
        <f>VLOOKUP(E226,[1]TIPOLOGIAS!$A:$G,4,0)</f>
        <v>BOGOTA</v>
      </c>
      <c r="O226" s="25" t="str">
        <f>VLOOKUP(N226,'BASE TARIFA 2025'!E:F,2,0)</f>
        <v>WOMPI CENTRO</v>
      </c>
      <c r="P226" s="40">
        <f>VLOOKUP(M226,'BASE TARIFA 2025'!A:C,3,0)</f>
        <v>46451</v>
      </c>
      <c r="Q226" s="26" t="str">
        <f t="shared" si="6"/>
        <v>100%</v>
      </c>
      <c r="R226" s="41">
        <f t="shared" si="7"/>
        <v>92902</v>
      </c>
    </row>
    <row r="227" spans="1:18" ht="15" customHeight="1" x14ac:dyDescent="0.3">
      <c r="A227" s="25">
        <v>46873</v>
      </c>
      <c r="B227" s="25" t="s">
        <v>481</v>
      </c>
      <c r="C227" s="25" t="s">
        <v>82</v>
      </c>
      <c r="D227" s="25" t="s">
        <v>20</v>
      </c>
      <c r="E227" s="25">
        <v>76001</v>
      </c>
      <c r="F227" s="25" t="s">
        <v>702</v>
      </c>
      <c r="G227" s="25">
        <v>3</v>
      </c>
      <c r="H227" s="25" t="s">
        <v>334</v>
      </c>
      <c r="I227" s="25" t="s">
        <v>65</v>
      </c>
      <c r="J227" s="25" t="s">
        <v>66</v>
      </c>
      <c r="K227" s="38">
        <v>45985.45208333333</v>
      </c>
      <c r="L227" s="25" t="s">
        <v>67</v>
      </c>
      <c r="M227" s="25" t="str">
        <f>VLOOKUP(E227,[1]TIPOLOGIAS!$A:$G,5,0)</f>
        <v>PRINCIPAL</v>
      </c>
      <c r="N227" s="25" t="str">
        <f>VLOOKUP(E227,[1]TIPOLOGIAS!$A:$G,4,0)</f>
        <v>CALI</v>
      </c>
      <c r="O227" s="25" t="str">
        <f>VLOOKUP(N227,'BASE TARIFA 2025'!E:F,2,0)</f>
        <v>WOMPI SUROCCIDENTE</v>
      </c>
      <c r="P227" s="40">
        <f>VLOOKUP(M227,'BASE TARIFA 2025'!A:C,3,0)</f>
        <v>46451</v>
      </c>
      <c r="Q227" s="26" t="str">
        <f t="shared" si="6"/>
        <v>100%</v>
      </c>
      <c r="R227" s="41">
        <f t="shared" si="7"/>
        <v>139353</v>
      </c>
    </row>
    <row r="228" spans="1:18" ht="15" customHeight="1" x14ac:dyDescent="0.3">
      <c r="A228" s="25">
        <v>46936</v>
      </c>
      <c r="B228" s="25" t="s">
        <v>470</v>
      </c>
      <c r="C228" s="25" t="s">
        <v>63</v>
      </c>
      <c r="D228" s="25" t="s">
        <v>64</v>
      </c>
      <c r="E228" s="25">
        <v>11001</v>
      </c>
      <c r="F228" s="25" t="s">
        <v>703</v>
      </c>
      <c r="G228" s="25">
        <v>2</v>
      </c>
      <c r="H228" s="25" t="s">
        <v>335</v>
      </c>
      <c r="I228" s="25" t="s">
        <v>65</v>
      </c>
      <c r="J228" s="25" t="s">
        <v>66</v>
      </c>
      <c r="K228" s="38">
        <v>45986.619444444441</v>
      </c>
      <c r="L228" s="25" t="s">
        <v>67</v>
      </c>
      <c r="M228" s="25" t="str">
        <f>VLOOKUP(E228,[1]TIPOLOGIAS!$A:$G,5,0)</f>
        <v>PRINCIPAL</v>
      </c>
      <c r="N228" s="25" t="str">
        <f>VLOOKUP(E228,[1]TIPOLOGIAS!$A:$G,4,0)</f>
        <v>BOGOTA</v>
      </c>
      <c r="O228" s="25" t="str">
        <f>VLOOKUP(N228,'BASE TARIFA 2025'!E:F,2,0)</f>
        <v>WOMPI CENTRO</v>
      </c>
      <c r="P228" s="40">
        <f>VLOOKUP(M228,'BASE TARIFA 2025'!A:C,3,0)</f>
        <v>46451</v>
      </c>
      <c r="Q228" s="26" t="str">
        <f t="shared" si="6"/>
        <v>100%</v>
      </c>
      <c r="R228" s="41">
        <f t="shared" si="7"/>
        <v>92902</v>
      </c>
    </row>
    <row r="229" spans="1:18" ht="15" customHeight="1" x14ac:dyDescent="0.3">
      <c r="A229" s="25">
        <v>47009</v>
      </c>
      <c r="B229" s="25" t="s">
        <v>90</v>
      </c>
      <c r="C229" s="25" t="s">
        <v>90</v>
      </c>
      <c r="D229" s="25" t="s">
        <v>91</v>
      </c>
      <c r="E229" s="25">
        <v>5001</v>
      </c>
      <c r="F229" s="25" t="s">
        <v>704</v>
      </c>
      <c r="G229" s="25">
        <v>2</v>
      </c>
      <c r="H229" s="25" t="s">
        <v>336</v>
      </c>
      <c r="I229" s="25" t="s">
        <v>65</v>
      </c>
      <c r="J229" s="25" t="s">
        <v>66</v>
      </c>
      <c r="K229" s="38">
        <v>45981.507638888892</v>
      </c>
      <c r="L229" s="25" t="s">
        <v>67</v>
      </c>
      <c r="M229" s="25" t="str">
        <f>VLOOKUP(E229,[1]TIPOLOGIAS!$A:$G,5,0)</f>
        <v>PRINCIPAL</v>
      </c>
      <c r="N229" s="25" t="str">
        <f>VLOOKUP(E229,[1]TIPOLOGIAS!$A:$G,4,0)</f>
        <v>MEDELLIN</v>
      </c>
      <c r="O229" s="25" t="str">
        <f>VLOOKUP(N229,'BASE TARIFA 2025'!E:F,2,0)</f>
        <v>WOMPI NOROCCIDENTE</v>
      </c>
      <c r="P229" s="40">
        <f>VLOOKUP(M229,'BASE TARIFA 2025'!A:C,3,0)</f>
        <v>46451</v>
      </c>
      <c r="Q229" s="26" t="str">
        <f t="shared" si="6"/>
        <v>100%</v>
      </c>
      <c r="R229" s="41">
        <f t="shared" si="7"/>
        <v>92902</v>
      </c>
    </row>
    <row r="230" spans="1:18" ht="15" customHeight="1" x14ac:dyDescent="0.3">
      <c r="A230" s="25">
        <v>47269</v>
      </c>
      <c r="B230" s="25" t="s">
        <v>476</v>
      </c>
      <c r="C230" s="25" t="s">
        <v>79</v>
      </c>
      <c r="D230" s="25" t="s">
        <v>33</v>
      </c>
      <c r="E230" s="25">
        <v>15001</v>
      </c>
      <c r="F230" s="25" t="s">
        <v>705</v>
      </c>
      <c r="G230" s="25">
        <v>2</v>
      </c>
      <c r="H230" s="25" t="s">
        <v>337</v>
      </c>
      <c r="I230" s="25" t="s">
        <v>65</v>
      </c>
      <c r="J230" s="25" t="s">
        <v>66</v>
      </c>
      <c r="K230" s="38">
        <v>45985.472916666666</v>
      </c>
      <c r="L230" s="25" t="s">
        <v>67</v>
      </c>
      <c r="M230" s="25" t="str">
        <f>VLOOKUP(E230,[1]TIPOLOGIAS!$A:$G,5,0)</f>
        <v>PRINCIPAL</v>
      </c>
      <c r="N230" s="25" t="str">
        <f>VLOOKUP(E230,[1]TIPOLOGIAS!$A:$G,4,0)</f>
        <v>TUNJA</v>
      </c>
      <c r="O230" s="25" t="str">
        <f>VLOOKUP(N230,'BASE TARIFA 2025'!E:F,2,0)</f>
        <v>WOMPI SANTANDERES</v>
      </c>
      <c r="P230" s="40">
        <f>VLOOKUP(M230,'BASE TARIFA 2025'!A:C,3,0)</f>
        <v>46451</v>
      </c>
      <c r="Q230" s="26" t="str">
        <f t="shared" si="6"/>
        <v>100%</v>
      </c>
      <c r="R230" s="41">
        <f t="shared" si="7"/>
        <v>92902</v>
      </c>
    </row>
    <row r="231" spans="1:18" ht="15" customHeight="1" x14ac:dyDescent="0.3">
      <c r="A231" s="25">
        <v>48413</v>
      </c>
      <c r="B231" s="25" t="s">
        <v>470</v>
      </c>
      <c r="C231" s="25" t="s">
        <v>63</v>
      </c>
      <c r="D231" s="25" t="s">
        <v>64</v>
      </c>
      <c r="E231" s="25">
        <v>11001</v>
      </c>
      <c r="F231" s="25" t="s">
        <v>706</v>
      </c>
      <c r="G231" s="25">
        <v>2</v>
      </c>
      <c r="H231" s="25" t="s">
        <v>338</v>
      </c>
      <c r="I231" s="25" t="s">
        <v>65</v>
      </c>
      <c r="J231" s="25" t="s">
        <v>66</v>
      </c>
      <c r="K231" s="38">
        <v>45986.585416666669</v>
      </c>
      <c r="L231" s="25" t="s">
        <v>67</v>
      </c>
      <c r="M231" s="25" t="str">
        <f>VLOOKUP(E231,[1]TIPOLOGIAS!$A:$G,5,0)</f>
        <v>PRINCIPAL</v>
      </c>
      <c r="N231" s="25" t="str">
        <f>VLOOKUP(E231,[1]TIPOLOGIAS!$A:$G,4,0)</f>
        <v>BOGOTA</v>
      </c>
      <c r="O231" s="25" t="str">
        <f>VLOOKUP(N231,'BASE TARIFA 2025'!E:F,2,0)</f>
        <v>WOMPI CENTRO</v>
      </c>
      <c r="P231" s="40">
        <f>VLOOKUP(M231,'BASE TARIFA 2025'!A:C,3,0)</f>
        <v>46451</v>
      </c>
      <c r="Q231" s="26" t="str">
        <f t="shared" si="6"/>
        <v>100%</v>
      </c>
      <c r="R231" s="41">
        <f t="shared" si="7"/>
        <v>92902</v>
      </c>
    </row>
    <row r="232" spans="1:18" ht="15" customHeight="1" x14ac:dyDescent="0.3">
      <c r="A232" s="25">
        <v>48424</v>
      </c>
      <c r="B232" s="25" t="s">
        <v>470</v>
      </c>
      <c r="C232" s="25" t="s">
        <v>63</v>
      </c>
      <c r="D232" s="25" t="s">
        <v>64</v>
      </c>
      <c r="E232" s="25">
        <v>11001</v>
      </c>
      <c r="F232" s="25" t="s">
        <v>707</v>
      </c>
      <c r="G232" s="25">
        <v>2</v>
      </c>
      <c r="H232" s="25" t="s">
        <v>339</v>
      </c>
      <c r="I232" s="25" t="s">
        <v>65</v>
      </c>
      <c r="J232" s="25" t="s">
        <v>66</v>
      </c>
      <c r="K232" s="38">
        <v>45986.477083333331</v>
      </c>
      <c r="L232" s="25" t="s">
        <v>67</v>
      </c>
      <c r="M232" s="25" t="str">
        <f>VLOOKUP(E232,[1]TIPOLOGIAS!$A:$G,5,0)</f>
        <v>PRINCIPAL</v>
      </c>
      <c r="N232" s="25" t="str">
        <f>VLOOKUP(E232,[1]TIPOLOGIAS!$A:$G,4,0)</f>
        <v>BOGOTA</v>
      </c>
      <c r="O232" s="25" t="str">
        <f>VLOOKUP(N232,'BASE TARIFA 2025'!E:F,2,0)</f>
        <v>WOMPI CENTRO</v>
      </c>
      <c r="P232" s="40">
        <f>VLOOKUP(M232,'BASE TARIFA 2025'!A:C,3,0)</f>
        <v>46451</v>
      </c>
      <c r="Q232" s="26" t="str">
        <f t="shared" si="6"/>
        <v>100%</v>
      </c>
      <c r="R232" s="41">
        <f t="shared" si="7"/>
        <v>92902</v>
      </c>
    </row>
    <row r="233" spans="1:18" ht="15" customHeight="1" x14ac:dyDescent="0.3">
      <c r="A233" s="25">
        <v>48524</v>
      </c>
      <c r="B233" s="25" t="s">
        <v>470</v>
      </c>
      <c r="C233" s="25" t="s">
        <v>63</v>
      </c>
      <c r="D233" s="25" t="s">
        <v>68</v>
      </c>
      <c r="E233" s="25">
        <v>25473</v>
      </c>
      <c r="F233" s="25" t="s">
        <v>708</v>
      </c>
      <c r="G233" s="25">
        <v>2</v>
      </c>
      <c r="H233" s="25" t="s">
        <v>340</v>
      </c>
      <c r="I233" s="25" t="s">
        <v>65</v>
      </c>
      <c r="J233" s="25" t="s">
        <v>66</v>
      </c>
      <c r="K233" s="38">
        <v>45986.499305555553</v>
      </c>
      <c r="L233" s="25" t="s">
        <v>67</v>
      </c>
      <c r="M233" s="25" t="str">
        <f>VLOOKUP(E233,[1]TIPOLOGIAS!$A:$G,5,0)</f>
        <v>PRINCIPAL</v>
      </c>
      <c r="N233" s="25" t="str">
        <f>VLOOKUP(E233,[1]TIPOLOGIAS!$A:$G,4,0)</f>
        <v>BOGOTA</v>
      </c>
      <c r="O233" s="25" t="str">
        <f>VLOOKUP(N233,'BASE TARIFA 2025'!E:F,2,0)</f>
        <v>WOMPI CENTRO</v>
      </c>
      <c r="P233" s="40">
        <f>VLOOKUP(M233,'BASE TARIFA 2025'!A:C,3,0)</f>
        <v>46451</v>
      </c>
      <c r="Q233" s="26" t="str">
        <f t="shared" si="6"/>
        <v>100%</v>
      </c>
      <c r="R233" s="41">
        <f t="shared" si="7"/>
        <v>92902</v>
      </c>
    </row>
    <row r="234" spans="1:18" ht="15" customHeight="1" x14ac:dyDescent="0.3">
      <c r="A234" s="25">
        <v>48752</v>
      </c>
      <c r="B234" s="25" t="s">
        <v>90</v>
      </c>
      <c r="C234" s="25" t="s">
        <v>90</v>
      </c>
      <c r="D234" s="25" t="s">
        <v>547</v>
      </c>
      <c r="E234" s="25">
        <v>5308</v>
      </c>
      <c r="F234" s="25" t="s">
        <v>709</v>
      </c>
      <c r="G234" s="25">
        <v>2</v>
      </c>
      <c r="H234" s="25" t="s">
        <v>341</v>
      </c>
      <c r="I234" s="25" t="s">
        <v>65</v>
      </c>
      <c r="J234" s="25" t="s">
        <v>66</v>
      </c>
      <c r="K234" s="38">
        <v>45980.5</v>
      </c>
      <c r="L234" s="25" t="s">
        <v>67</v>
      </c>
      <c r="M234" s="25" t="str">
        <f>VLOOKUP(E234,[1]TIPOLOGIAS!$A:$G,5,0)</f>
        <v>PRINCIPAL</v>
      </c>
      <c r="N234" s="25" t="str">
        <f>VLOOKUP(E234,[1]TIPOLOGIAS!$A:$G,4,0)</f>
        <v>MEDELLIN</v>
      </c>
      <c r="O234" s="25" t="str">
        <f>VLOOKUP(N234,'BASE TARIFA 2025'!E:F,2,0)</f>
        <v>WOMPI NOROCCIDENTE</v>
      </c>
      <c r="P234" s="40">
        <f>VLOOKUP(M234,'BASE TARIFA 2025'!A:C,3,0)</f>
        <v>46451</v>
      </c>
      <c r="Q234" s="26" t="str">
        <f t="shared" si="6"/>
        <v>100%</v>
      </c>
      <c r="R234" s="41">
        <f t="shared" si="7"/>
        <v>92902</v>
      </c>
    </row>
    <row r="235" spans="1:18" ht="15" customHeight="1" x14ac:dyDescent="0.3">
      <c r="A235" s="25">
        <v>49211</v>
      </c>
      <c r="B235" s="25" t="s">
        <v>470</v>
      </c>
      <c r="C235" s="25" t="s">
        <v>63</v>
      </c>
      <c r="D235" s="25" t="s">
        <v>68</v>
      </c>
      <c r="E235" s="25">
        <v>25473</v>
      </c>
      <c r="F235" s="25" t="s">
        <v>710</v>
      </c>
      <c r="G235" s="25">
        <v>2</v>
      </c>
      <c r="H235" s="25" t="s">
        <v>342</v>
      </c>
      <c r="I235" s="25" t="s">
        <v>65</v>
      </c>
      <c r="J235" s="25" t="s">
        <v>66</v>
      </c>
      <c r="K235" s="38">
        <v>45986.461805555555</v>
      </c>
      <c r="L235" s="25" t="s">
        <v>67</v>
      </c>
      <c r="M235" s="25" t="str">
        <f>VLOOKUP(E235,[1]TIPOLOGIAS!$A:$G,5,0)</f>
        <v>PRINCIPAL</v>
      </c>
      <c r="N235" s="25" t="str">
        <f>VLOOKUP(E235,[1]TIPOLOGIAS!$A:$G,4,0)</f>
        <v>BOGOTA</v>
      </c>
      <c r="O235" s="25" t="str">
        <f>VLOOKUP(N235,'BASE TARIFA 2025'!E:F,2,0)</f>
        <v>WOMPI CENTRO</v>
      </c>
      <c r="P235" s="40">
        <f>VLOOKUP(M235,'BASE TARIFA 2025'!A:C,3,0)</f>
        <v>46451</v>
      </c>
      <c r="Q235" s="26" t="str">
        <f t="shared" si="6"/>
        <v>100%</v>
      </c>
      <c r="R235" s="41">
        <f t="shared" si="7"/>
        <v>92902</v>
      </c>
    </row>
    <row r="236" spans="1:18" ht="15" customHeight="1" x14ac:dyDescent="0.3">
      <c r="A236" s="25">
        <v>49449</v>
      </c>
      <c r="B236" s="25" t="s">
        <v>470</v>
      </c>
      <c r="C236" s="25" t="s">
        <v>63</v>
      </c>
      <c r="D236" s="25" t="s">
        <v>64</v>
      </c>
      <c r="E236" s="25">
        <v>11001</v>
      </c>
      <c r="F236" s="25" t="s">
        <v>711</v>
      </c>
      <c r="G236" s="25">
        <v>3</v>
      </c>
      <c r="H236" s="25" t="s">
        <v>343</v>
      </c>
      <c r="I236" s="25" t="s">
        <v>65</v>
      </c>
      <c r="J236" s="25" t="s">
        <v>66</v>
      </c>
      <c r="K236" s="38">
        <v>45982.414583333331</v>
      </c>
      <c r="L236" s="25" t="s">
        <v>67</v>
      </c>
      <c r="M236" s="25" t="str">
        <f>VLOOKUP(E236,[1]TIPOLOGIAS!$A:$G,5,0)</f>
        <v>PRINCIPAL</v>
      </c>
      <c r="N236" s="25" t="str">
        <f>VLOOKUP(E236,[1]TIPOLOGIAS!$A:$G,4,0)</f>
        <v>BOGOTA</v>
      </c>
      <c r="O236" s="25" t="str">
        <f>VLOOKUP(N236,'BASE TARIFA 2025'!E:F,2,0)</f>
        <v>WOMPI CENTRO</v>
      </c>
      <c r="P236" s="40">
        <f>VLOOKUP(M236,'BASE TARIFA 2025'!A:C,3,0)</f>
        <v>46451</v>
      </c>
      <c r="Q236" s="26" t="str">
        <f t="shared" si="6"/>
        <v>100%</v>
      </c>
      <c r="R236" s="41">
        <f t="shared" si="7"/>
        <v>139353</v>
      </c>
    </row>
    <row r="237" spans="1:18" ht="15" customHeight="1" x14ac:dyDescent="0.3">
      <c r="A237" s="25">
        <v>50211</v>
      </c>
      <c r="B237" s="25" t="s">
        <v>470</v>
      </c>
      <c r="C237" s="25" t="s">
        <v>63</v>
      </c>
      <c r="D237" s="25" t="s">
        <v>64</v>
      </c>
      <c r="E237" s="25">
        <v>11001</v>
      </c>
      <c r="F237" s="25" t="s">
        <v>712</v>
      </c>
      <c r="G237" s="25">
        <v>2</v>
      </c>
      <c r="H237" s="25" t="s">
        <v>344</v>
      </c>
      <c r="I237" s="25" t="s">
        <v>65</v>
      </c>
      <c r="J237" s="25" t="s">
        <v>66</v>
      </c>
      <c r="K237" s="38">
        <v>45986.561805555553</v>
      </c>
      <c r="L237" s="25" t="s">
        <v>67</v>
      </c>
      <c r="M237" s="25" t="str">
        <f>VLOOKUP(E237,[1]TIPOLOGIAS!$A:$G,5,0)</f>
        <v>PRINCIPAL</v>
      </c>
      <c r="N237" s="25" t="str">
        <f>VLOOKUP(E237,[1]TIPOLOGIAS!$A:$G,4,0)</f>
        <v>BOGOTA</v>
      </c>
      <c r="O237" s="25" t="str">
        <f>VLOOKUP(N237,'BASE TARIFA 2025'!E:F,2,0)</f>
        <v>WOMPI CENTRO</v>
      </c>
      <c r="P237" s="40">
        <f>VLOOKUP(M237,'BASE TARIFA 2025'!A:C,3,0)</f>
        <v>46451</v>
      </c>
      <c r="Q237" s="26" t="str">
        <f t="shared" si="6"/>
        <v>100%</v>
      </c>
      <c r="R237" s="41">
        <f t="shared" si="7"/>
        <v>92902</v>
      </c>
    </row>
    <row r="238" spans="1:18" ht="15" customHeight="1" x14ac:dyDescent="0.3">
      <c r="A238" s="25">
        <v>50775</v>
      </c>
      <c r="B238" s="25" t="s">
        <v>481</v>
      </c>
      <c r="C238" s="25" t="s">
        <v>95</v>
      </c>
      <c r="D238" s="25" t="s">
        <v>40</v>
      </c>
      <c r="E238" s="25">
        <v>52001</v>
      </c>
      <c r="F238" s="25" t="s">
        <v>713</v>
      </c>
      <c r="G238" s="25">
        <v>2</v>
      </c>
      <c r="H238" s="25" t="s">
        <v>345</v>
      </c>
      <c r="I238" s="25" t="s">
        <v>65</v>
      </c>
      <c r="J238" s="25" t="s">
        <v>66</v>
      </c>
      <c r="K238" s="38">
        <v>45985.720138888886</v>
      </c>
      <c r="L238" s="25" t="s">
        <v>67</v>
      </c>
      <c r="M238" s="25" t="str">
        <f>VLOOKUP(E238,[1]TIPOLOGIAS!$A:$G,5,0)</f>
        <v>PRINCIPAL</v>
      </c>
      <c r="N238" s="25" t="str">
        <f>VLOOKUP(E238,[1]TIPOLOGIAS!$A:$G,4,0)</f>
        <v>PASTO</v>
      </c>
      <c r="O238" s="25" t="str">
        <f>VLOOKUP(N238,'BASE TARIFA 2025'!E:F,2,0)</f>
        <v>WOMPI SUROCCIDENTE</v>
      </c>
      <c r="P238" s="40">
        <f>VLOOKUP(M238,'BASE TARIFA 2025'!A:C,3,0)</f>
        <v>46451</v>
      </c>
      <c r="Q238" s="26" t="str">
        <f t="shared" si="6"/>
        <v>100%</v>
      </c>
      <c r="R238" s="41">
        <f t="shared" si="7"/>
        <v>92902</v>
      </c>
    </row>
    <row r="239" spans="1:18" ht="15" customHeight="1" x14ac:dyDescent="0.3">
      <c r="A239" s="25">
        <v>50848</v>
      </c>
      <c r="B239" s="25" t="s">
        <v>470</v>
      </c>
      <c r="C239" s="25" t="s">
        <v>63</v>
      </c>
      <c r="D239" s="25" t="s">
        <v>64</v>
      </c>
      <c r="E239" s="25">
        <v>11001</v>
      </c>
      <c r="F239" s="25" t="s">
        <v>714</v>
      </c>
      <c r="G239" s="25">
        <v>3</v>
      </c>
      <c r="H239" s="25" t="s">
        <v>346</v>
      </c>
      <c r="I239" s="25" t="s">
        <v>65</v>
      </c>
      <c r="J239" s="25" t="s">
        <v>66</v>
      </c>
      <c r="K239" s="38">
        <v>45983.3</v>
      </c>
      <c r="L239" s="25" t="s">
        <v>67</v>
      </c>
      <c r="M239" s="25" t="str">
        <f>VLOOKUP(E239,[1]TIPOLOGIAS!$A:$G,5,0)</f>
        <v>PRINCIPAL</v>
      </c>
      <c r="N239" s="25" t="str">
        <f>VLOOKUP(E239,[1]TIPOLOGIAS!$A:$G,4,0)</f>
        <v>BOGOTA</v>
      </c>
      <c r="O239" s="25" t="str">
        <f>VLOOKUP(N239,'BASE TARIFA 2025'!E:F,2,0)</f>
        <v>WOMPI CENTRO</v>
      </c>
      <c r="P239" s="40">
        <f>VLOOKUP(M239,'BASE TARIFA 2025'!A:C,3,0)</f>
        <v>46451</v>
      </c>
      <c r="Q239" s="26" t="str">
        <f t="shared" si="6"/>
        <v>100%</v>
      </c>
      <c r="R239" s="41">
        <f t="shared" si="7"/>
        <v>139353</v>
      </c>
    </row>
    <row r="240" spans="1:18" ht="15" customHeight="1" x14ac:dyDescent="0.3">
      <c r="A240" s="25">
        <v>51103</v>
      </c>
      <c r="B240" s="25" t="s">
        <v>470</v>
      </c>
      <c r="C240" s="25" t="s">
        <v>63</v>
      </c>
      <c r="D240" s="25" t="s">
        <v>64</v>
      </c>
      <c r="E240" s="25">
        <v>11001</v>
      </c>
      <c r="F240" s="25" t="s">
        <v>715</v>
      </c>
      <c r="G240" s="25">
        <v>2</v>
      </c>
      <c r="H240" s="25" t="s">
        <v>347</v>
      </c>
      <c r="I240" s="25" t="s">
        <v>65</v>
      </c>
      <c r="J240" s="25" t="s">
        <v>66</v>
      </c>
      <c r="K240" s="38">
        <v>45983.590277777781</v>
      </c>
      <c r="L240" s="25" t="s">
        <v>67</v>
      </c>
      <c r="M240" s="25" t="str">
        <f>VLOOKUP(E240,[1]TIPOLOGIAS!$A:$G,5,0)</f>
        <v>PRINCIPAL</v>
      </c>
      <c r="N240" s="25" t="str">
        <f>VLOOKUP(E240,[1]TIPOLOGIAS!$A:$G,4,0)</f>
        <v>BOGOTA</v>
      </c>
      <c r="O240" s="25" t="str">
        <f>VLOOKUP(N240,'BASE TARIFA 2025'!E:F,2,0)</f>
        <v>WOMPI CENTRO</v>
      </c>
      <c r="P240" s="40">
        <f>VLOOKUP(M240,'BASE TARIFA 2025'!A:C,3,0)</f>
        <v>46451</v>
      </c>
      <c r="Q240" s="26" t="str">
        <f t="shared" si="6"/>
        <v>100%</v>
      </c>
      <c r="R240" s="41">
        <f t="shared" si="7"/>
        <v>92902</v>
      </c>
    </row>
    <row r="241" spans="1:18" ht="15" customHeight="1" x14ac:dyDescent="0.3">
      <c r="A241" s="25">
        <v>51182</v>
      </c>
      <c r="B241" s="25" t="s">
        <v>470</v>
      </c>
      <c r="C241" s="25" t="s">
        <v>63</v>
      </c>
      <c r="D241" s="25" t="s">
        <v>89</v>
      </c>
      <c r="E241" s="25">
        <v>25754</v>
      </c>
      <c r="F241" s="25" t="s">
        <v>716</v>
      </c>
      <c r="G241" s="25">
        <v>2</v>
      </c>
      <c r="H241" s="25" t="s">
        <v>348</v>
      </c>
      <c r="I241" s="25" t="s">
        <v>65</v>
      </c>
      <c r="J241" s="25" t="s">
        <v>66</v>
      </c>
      <c r="K241" s="38">
        <v>45985.527777777781</v>
      </c>
      <c r="L241" s="25" t="s">
        <v>67</v>
      </c>
      <c r="M241" s="25" t="str">
        <f>VLOOKUP(E241,[1]TIPOLOGIAS!$A:$G,5,0)</f>
        <v>PRINCIPAL</v>
      </c>
      <c r="N241" s="25" t="str">
        <f>VLOOKUP(E241,[1]TIPOLOGIAS!$A:$G,4,0)</f>
        <v>BOGOTA</v>
      </c>
      <c r="O241" s="25" t="str">
        <f>VLOOKUP(N241,'BASE TARIFA 2025'!E:F,2,0)</f>
        <v>WOMPI CENTRO</v>
      </c>
      <c r="P241" s="40">
        <f>VLOOKUP(M241,'BASE TARIFA 2025'!A:C,3,0)</f>
        <v>46451</v>
      </c>
      <c r="Q241" s="26" t="str">
        <f t="shared" si="6"/>
        <v>100%</v>
      </c>
      <c r="R241" s="41">
        <f t="shared" si="7"/>
        <v>92902</v>
      </c>
    </row>
    <row r="242" spans="1:18" ht="15" customHeight="1" x14ac:dyDescent="0.3">
      <c r="A242" s="25">
        <v>51546</v>
      </c>
      <c r="B242" s="25" t="s">
        <v>470</v>
      </c>
      <c r="C242" s="25" t="s">
        <v>63</v>
      </c>
      <c r="D242" s="25" t="s">
        <v>64</v>
      </c>
      <c r="E242" s="25">
        <v>11001</v>
      </c>
      <c r="F242" s="25" t="s">
        <v>717</v>
      </c>
      <c r="G242" s="25">
        <v>2</v>
      </c>
      <c r="H242" s="25" t="s">
        <v>349</v>
      </c>
      <c r="I242" s="25" t="s">
        <v>65</v>
      </c>
      <c r="J242" s="25" t="s">
        <v>66</v>
      </c>
      <c r="K242" s="38">
        <v>45986.675694444442</v>
      </c>
      <c r="L242" s="25" t="s">
        <v>67</v>
      </c>
      <c r="M242" s="25" t="str">
        <f>VLOOKUP(E242,[1]TIPOLOGIAS!$A:$G,5,0)</f>
        <v>PRINCIPAL</v>
      </c>
      <c r="N242" s="25" t="str">
        <f>VLOOKUP(E242,[1]TIPOLOGIAS!$A:$G,4,0)</f>
        <v>BOGOTA</v>
      </c>
      <c r="O242" s="25" t="str">
        <f>VLOOKUP(N242,'BASE TARIFA 2025'!E:F,2,0)</f>
        <v>WOMPI CENTRO</v>
      </c>
      <c r="P242" s="40">
        <f>VLOOKUP(M242,'BASE TARIFA 2025'!A:C,3,0)</f>
        <v>46451</v>
      </c>
      <c r="Q242" s="26" t="str">
        <f t="shared" si="6"/>
        <v>100%</v>
      </c>
      <c r="R242" s="41">
        <f t="shared" si="7"/>
        <v>92902</v>
      </c>
    </row>
    <row r="243" spans="1:18" ht="15" customHeight="1" x14ac:dyDescent="0.3">
      <c r="A243" s="25">
        <v>51912</v>
      </c>
      <c r="B243" s="25" t="s">
        <v>470</v>
      </c>
      <c r="C243" s="25" t="s">
        <v>63</v>
      </c>
      <c r="D243" s="25" t="s">
        <v>64</v>
      </c>
      <c r="E243" s="25">
        <v>11001</v>
      </c>
      <c r="F243" s="25" t="s">
        <v>718</v>
      </c>
      <c r="G243" s="25">
        <v>2</v>
      </c>
      <c r="H243" s="25" t="s">
        <v>350</v>
      </c>
      <c r="I243" s="25" t="s">
        <v>65</v>
      </c>
      <c r="J243" s="25" t="s">
        <v>66</v>
      </c>
      <c r="K243" s="38">
        <v>45983.50277777778</v>
      </c>
      <c r="L243" s="25" t="s">
        <v>67</v>
      </c>
      <c r="M243" s="25" t="str">
        <f>VLOOKUP(E243,[1]TIPOLOGIAS!$A:$G,5,0)</f>
        <v>PRINCIPAL</v>
      </c>
      <c r="N243" s="25" t="str">
        <f>VLOOKUP(E243,[1]TIPOLOGIAS!$A:$G,4,0)</f>
        <v>BOGOTA</v>
      </c>
      <c r="O243" s="25" t="str">
        <f>VLOOKUP(N243,'BASE TARIFA 2025'!E:F,2,0)</f>
        <v>WOMPI CENTRO</v>
      </c>
      <c r="P243" s="40">
        <f>VLOOKUP(M243,'BASE TARIFA 2025'!A:C,3,0)</f>
        <v>46451</v>
      </c>
      <c r="Q243" s="26" t="str">
        <f t="shared" si="6"/>
        <v>100%</v>
      </c>
      <c r="R243" s="41">
        <f t="shared" si="7"/>
        <v>92902</v>
      </c>
    </row>
    <row r="244" spans="1:18" ht="15" customHeight="1" x14ac:dyDescent="0.3">
      <c r="A244" s="25">
        <v>51984</v>
      </c>
      <c r="B244" s="25" t="s">
        <v>90</v>
      </c>
      <c r="C244" s="25" t="s">
        <v>90</v>
      </c>
      <c r="D244" s="25" t="s">
        <v>91</v>
      </c>
      <c r="E244" s="25">
        <v>5001</v>
      </c>
      <c r="F244" s="25" t="s">
        <v>719</v>
      </c>
      <c r="G244" s="25">
        <v>2</v>
      </c>
      <c r="H244" s="25" t="s">
        <v>351</v>
      </c>
      <c r="I244" s="25" t="s">
        <v>65</v>
      </c>
      <c r="J244" s="25" t="s">
        <v>66</v>
      </c>
      <c r="K244" s="38">
        <v>45986.412499999999</v>
      </c>
      <c r="L244" s="25" t="s">
        <v>67</v>
      </c>
      <c r="M244" s="25" t="str">
        <f>VLOOKUP(E244,[1]TIPOLOGIAS!$A:$G,5,0)</f>
        <v>PRINCIPAL</v>
      </c>
      <c r="N244" s="25" t="str">
        <f>VLOOKUP(E244,[1]TIPOLOGIAS!$A:$G,4,0)</f>
        <v>MEDELLIN</v>
      </c>
      <c r="O244" s="25" t="str">
        <f>VLOOKUP(N244,'BASE TARIFA 2025'!E:F,2,0)</f>
        <v>WOMPI NOROCCIDENTE</v>
      </c>
      <c r="P244" s="40">
        <f>VLOOKUP(M244,'BASE TARIFA 2025'!A:C,3,0)</f>
        <v>46451</v>
      </c>
      <c r="Q244" s="26" t="str">
        <f t="shared" si="6"/>
        <v>100%</v>
      </c>
      <c r="R244" s="41">
        <f t="shared" si="7"/>
        <v>92902</v>
      </c>
    </row>
    <row r="245" spans="1:18" ht="15" customHeight="1" x14ac:dyDescent="0.3">
      <c r="A245" s="25">
        <v>52237</v>
      </c>
      <c r="B245" s="25" t="s">
        <v>476</v>
      </c>
      <c r="C245" s="25" t="s">
        <v>77</v>
      </c>
      <c r="D245" s="25" t="s">
        <v>105</v>
      </c>
      <c r="E245" s="25">
        <v>68307</v>
      </c>
      <c r="F245" s="25" t="s">
        <v>720</v>
      </c>
      <c r="G245" s="25">
        <v>2</v>
      </c>
      <c r="H245" s="25" t="s">
        <v>352</v>
      </c>
      <c r="I245" s="25" t="s">
        <v>65</v>
      </c>
      <c r="J245" s="25" t="s">
        <v>66</v>
      </c>
      <c r="K245" s="38">
        <v>45987.469444444447</v>
      </c>
      <c r="L245" s="25" t="s">
        <v>67</v>
      </c>
      <c r="M245" s="25" t="str">
        <f>VLOOKUP(E245,[1]TIPOLOGIAS!$A:$G,5,0)</f>
        <v>PRINCIPAL</v>
      </c>
      <c r="N245" s="25" t="str">
        <f>VLOOKUP(E245,[1]TIPOLOGIAS!$A:$G,4,0)</f>
        <v>BUCARAMANGA</v>
      </c>
      <c r="O245" s="25" t="str">
        <f>VLOOKUP(N245,'BASE TARIFA 2025'!E:F,2,0)</f>
        <v>WOMPI SANTANDERES</v>
      </c>
      <c r="P245" s="40">
        <f>VLOOKUP(M245,'BASE TARIFA 2025'!A:C,3,0)</f>
        <v>46451</v>
      </c>
      <c r="Q245" s="26" t="str">
        <f t="shared" si="6"/>
        <v>100%</v>
      </c>
      <c r="R245" s="41">
        <f t="shared" si="7"/>
        <v>92902</v>
      </c>
    </row>
    <row r="246" spans="1:18" ht="15" customHeight="1" x14ac:dyDescent="0.3">
      <c r="A246" s="25">
        <v>52308</v>
      </c>
      <c r="B246" s="25" t="s">
        <v>481</v>
      </c>
      <c r="C246" s="25" t="s">
        <v>95</v>
      </c>
      <c r="D246" s="25" t="s">
        <v>40</v>
      </c>
      <c r="E246" s="25">
        <v>52001</v>
      </c>
      <c r="F246" s="25" t="s">
        <v>721</v>
      </c>
      <c r="G246" s="25">
        <v>3</v>
      </c>
      <c r="H246" s="25" t="s">
        <v>353</v>
      </c>
      <c r="I246" s="25" t="s">
        <v>65</v>
      </c>
      <c r="J246" s="25" t="s">
        <v>66</v>
      </c>
      <c r="K246" s="38">
        <v>45985.55972222222</v>
      </c>
      <c r="L246" s="25" t="s">
        <v>67</v>
      </c>
      <c r="M246" s="25" t="str">
        <f>VLOOKUP(E246,[1]TIPOLOGIAS!$A:$G,5,0)</f>
        <v>PRINCIPAL</v>
      </c>
      <c r="N246" s="25" t="str">
        <f>VLOOKUP(E246,[1]TIPOLOGIAS!$A:$G,4,0)</f>
        <v>PASTO</v>
      </c>
      <c r="O246" s="25" t="str">
        <f>VLOOKUP(N246,'BASE TARIFA 2025'!E:F,2,0)</f>
        <v>WOMPI SUROCCIDENTE</v>
      </c>
      <c r="P246" s="40">
        <f>VLOOKUP(M246,'BASE TARIFA 2025'!A:C,3,0)</f>
        <v>46451</v>
      </c>
      <c r="Q246" s="26" t="str">
        <f t="shared" si="6"/>
        <v>100%</v>
      </c>
      <c r="R246" s="41">
        <f t="shared" si="7"/>
        <v>139353</v>
      </c>
    </row>
    <row r="247" spans="1:18" ht="15" customHeight="1" x14ac:dyDescent="0.3">
      <c r="A247" s="25">
        <v>52335</v>
      </c>
      <c r="B247" s="25" t="s">
        <v>470</v>
      </c>
      <c r="C247" s="25" t="s">
        <v>63</v>
      </c>
      <c r="D247" s="25" t="s">
        <v>64</v>
      </c>
      <c r="E247" s="25">
        <v>11001</v>
      </c>
      <c r="F247" s="25" t="s">
        <v>722</v>
      </c>
      <c r="G247" s="25">
        <v>2</v>
      </c>
      <c r="H247" s="25" t="s">
        <v>354</v>
      </c>
      <c r="I247" s="25" t="s">
        <v>65</v>
      </c>
      <c r="J247" s="25" t="s">
        <v>66</v>
      </c>
      <c r="K247" s="38">
        <v>45983.605555555558</v>
      </c>
      <c r="L247" s="25" t="s">
        <v>67</v>
      </c>
      <c r="M247" s="25" t="str">
        <f>VLOOKUP(E247,[1]TIPOLOGIAS!$A:$G,5,0)</f>
        <v>PRINCIPAL</v>
      </c>
      <c r="N247" s="25" t="str">
        <f>VLOOKUP(E247,[1]TIPOLOGIAS!$A:$G,4,0)</f>
        <v>BOGOTA</v>
      </c>
      <c r="O247" s="25" t="str">
        <f>VLOOKUP(N247,'BASE TARIFA 2025'!E:F,2,0)</f>
        <v>WOMPI CENTRO</v>
      </c>
      <c r="P247" s="40">
        <f>VLOOKUP(M247,'BASE TARIFA 2025'!A:C,3,0)</f>
        <v>46451</v>
      </c>
      <c r="Q247" s="26" t="str">
        <f t="shared" si="6"/>
        <v>100%</v>
      </c>
      <c r="R247" s="41">
        <f t="shared" si="7"/>
        <v>92902</v>
      </c>
    </row>
    <row r="248" spans="1:18" ht="15" customHeight="1" x14ac:dyDescent="0.3">
      <c r="A248" s="25">
        <v>52580</v>
      </c>
      <c r="B248" s="25" t="s">
        <v>481</v>
      </c>
      <c r="C248" s="25" t="s">
        <v>82</v>
      </c>
      <c r="D248" s="25" t="s">
        <v>20</v>
      </c>
      <c r="E248" s="25">
        <v>76001</v>
      </c>
      <c r="F248" s="25" t="s">
        <v>723</v>
      </c>
      <c r="G248" s="25">
        <v>3</v>
      </c>
      <c r="H248" s="25" t="s">
        <v>355</v>
      </c>
      <c r="I248" s="25" t="s">
        <v>65</v>
      </c>
      <c r="J248" s="25" t="s">
        <v>66</v>
      </c>
      <c r="K248" s="38">
        <v>45985.668055555558</v>
      </c>
      <c r="L248" s="25" t="s">
        <v>67</v>
      </c>
      <c r="M248" s="25" t="str">
        <f>VLOOKUP(E248,[1]TIPOLOGIAS!$A:$G,5,0)</f>
        <v>PRINCIPAL</v>
      </c>
      <c r="N248" s="25" t="str">
        <f>VLOOKUP(E248,[1]TIPOLOGIAS!$A:$G,4,0)</f>
        <v>CALI</v>
      </c>
      <c r="O248" s="25" t="str">
        <f>VLOOKUP(N248,'BASE TARIFA 2025'!E:F,2,0)</f>
        <v>WOMPI SUROCCIDENTE</v>
      </c>
      <c r="P248" s="40">
        <f>VLOOKUP(M248,'BASE TARIFA 2025'!A:C,3,0)</f>
        <v>46451</v>
      </c>
      <c r="Q248" s="26" t="str">
        <f t="shared" si="6"/>
        <v>100%</v>
      </c>
      <c r="R248" s="41">
        <f t="shared" si="7"/>
        <v>139353</v>
      </c>
    </row>
    <row r="249" spans="1:18" ht="15" customHeight="1" x14ac:dyDescent="0.3">
      <c r="A249" s="25">
        <v>52713</v>
      </c>
      <c r="B249" s="25" t="s">
        <v>90</v>
      </c>
      <c r="C249" s="25" t="s">
        <v>90</v>
      </c>
      <c r="D249" s="25" t="s">
        <v>88</v>
      </c>
      <c r="E249" s="25">
        <v>5129</v>
      </c>
      <c r="F249" s="25" t="s">
        <v>724</v>
      </c>
      <c r="G249" s="25">
        <v>2</v>
      </c>
      <c r="H249" s="25" t="s">
        <v>356</v>
      </c>
      <c r="I249" s="25" t="s">
        <v>65</v>
      </c>
      <c r="J249" s="25" t="s">
        <v>66</v>
      </c>
      <c r="K249" s="38">
        <v>45981.445833333331</v>
      </c>
      <c r="L249" s="25" t="s">
        <v>67</v>
      </c>
      <c r="M249" s="25" t="str">
        <f>VLOOKUP(E249,[1]TIPOLOGIAS!$A:$G,5,0)</f>
        <v>PRINCIPAL</v>
      </c>
      <c r="N249" s="25" t="str">
        <f>VLOOKUP(E249,[1]TIPOLOGIAS!$A:$G,4,0)</f>
        <v>MEDELLIN</v>
      </c>
      <c r="O249" s="25" t="str">
        <f>VLOOKUP(N249,'BASE TARIFA 2025'!E:F,2,0)</f>
        <v>WOMPI NOROCCIDENTE</v>
      </c>
      <c r="P249" s="40">
        <f>VLOOKUP(M249,'BASE TARIFA 2025'!A:C,3,0)</f>
        <v>46451</v>
      </c>
      <c r="Q249" s="26" t="str">
        <f t="shared" si="6"/>
        <v>100%</v>
      </c>
      <c r="R249" s="41">
        <f t="shared" si="7"/>
        <v>92902</v>
      </c>
    </row>
    <row r="250" spans="1:18" ht="15" customHeight="1" x14ac:dyDescent="0.3">
      <c r="A250" s="25">
        <v>54896</v>
      </c>
      <c r="B250" s="25" t="s">
        <v>476</v>
      </c>
      <c r="C250" s="25" t="s">
        <v>77</v>
      </c>
      <c r="D250" s="25" t="s">
        <v>80</v>
      </c>
      <c r="E250" s="25">
        <v>68276</v>
      </c>
      <c r="F250" s="25" t="s">
        <v>725</v>
      </c>
      <c r="G250" s="25">
        <v>3</v>
      </c>
      <c r="H250" s="25" t="s">
        <v>357</v>
      </c>
      <c r="I250" s="25" t="s">
        <v>65</v>
      </c>
      <c r="J250" s="25" t="s">
        <v>66</v>
      </c>
      <c r="K250" s="38">
        <v>45985.60833333333</v>
      </c>
      <c r="L250" s="25" t="s">
        <v>67</v>
      </c>
      <c r="M250" s="25" t="str">
        <f>VLOOKUP(E250,[1]TIPOLOGIAS!$A:$G,5,0)</f>
        <v>PRINCIPAL</v>
      </c>
      <c r="N250" s="25" t="str">
        <f>VLOOKUP(E250,[1]TIPOLOGIAS!$A:$G,4,0)</f>
        <v>BUCARAMANGA</v>
      </c>
      <c r="O250" s="25" t="str">
        <f>VLOOKUP(N250,'BASE TARIFA 2025'!E:F,2,0)</f>
        <v>WOMPI SANTANDERES</v>
      </c>
      <c r="P250" s="40">
        <f>VLOOKUP(M250,'BASE TARIFA 2025'!A:C,3,0)</f>
        <v>46451</v>
      </c>
      <c r="Q250" s="26" t="str">
        <f t="shared" si="6"/>
        <v>100%</v>
      </c>
      <c r="R250" s="41">
        <f t="shared" si="7"/>
        <v>139353</v>
      </c>
    </row>
    <row r="251" spans="1:18" ht="15" customHeight="1" x14ac:dyDescent="0.3">
      <c r="A251" s="25">
        <v>57243</v>
      </c>
      <c r="B251" s="25" t="s">
        <v>470</v>
      </c>
      <c r="C251" s="25" t="s">
        <v>63</v>
      </c>
      <c r="D251" s="25" t="s">
        <v>89</v>
      </c>
      <c r="E251" s="25">
        <v>25754</v>
      </c>
      <c r="F251" s="25" t="s">
        <v>726</v>
      </c>
      <c r="G251" s="25">
        <v>2</v>
      </c>
      <c r="H251" s="25" t="s">
        <v>358</v>
      </c>
      <c r="I251" s="25" t="s">
        <v>65</v>
      </c>
      <c r="J251" s="25" t="s">
        <v>66</v>
      </c>
      <c r="K251" s="38">
        <v>45983.586111111108</v>
      </c>
      <c r="L251" s="25" t="s">
        <v>67</v>
      </c>
      <c r="M251" s="25" t="str">
        <f>VLOOKUP(E251,[1]TIPOLOGIAS!$A:$G,5,0)</f>
        <v>PRINCIPAL</v>
      </c>
      <c r="N251" s="25" t="str">
        <f>VLOOKUP(E251,[1]TIPOLOGIAS!$A:$G,4,0)</f>
        <v>BOGOTA</v>
      </c>
      <c r="O251" s="25" t="str">
        <f>VLOOKUP(N251,'BASE TARIFA 2025'!E:F,2,0)</f>
        <v>WOMPI CENTRO</v>
      </c>
      <c r="P251" s="40">
        <f>VLOOKUP(M251,'BASE TARIFA 2025'!A:C,3,0)</f>
        <v>46451</v>
      </c>
      <c r="Q251" s="26" t="str">
        <f t="shared" si="6"/>
        <v>100%</v>
      </c>
      <c r="R251" s="41">
        <f t="shared" si="7"/>
        <v>92902</v>
      </c>
    </row>
    <row r="252" spans="1:18" ht="15" customHeight="1" x14ac:dyDescent="0.3">
      <c r="A252" s="25">
        <v>58940</v>
      </c>
      <c r="B252" s="25" t="s">
        <v>476</v>
      </c>
      <c r="C252" s="25" t="s">
        <v>77</v>
      </c>
      <c r="D252" s="25" t="s">
        <v>105</v>
      </c>
      <c r="E252" s="25">
        <v>68307</v>
      </c>
      <c r="F252" s="25" t="s">
        <v>727</v>
      </c>
      <c r="G252" s="25">
        <v>2</v>
      </c>
      <c r="H252" s="25" t="s">
        <v>359</v>
      </c>
      <c r="I252" s="25" t="s">
        <v>65</v>
      </c>
      <c r="J252" s="25" t="s">
        <v>66</v>
      </c>
      <c r="K252" s="38">
        <v>45985.420138888891</v>
      </c>
      <c r="L252" s="25" t="s">
        <v>67</v>
      </c>
      <c r="M252" s="25" t="str">
        <f>VLOOKUP(E252,[1]TIPOLOGIAS!$A:$G,5,0)</f>
        <v>PRINCIPAL</v>
      </c>
      <c r="N252" s="25" t="str">
        <f>VLOOKUP(E252,[1]TIPOLOGIAS!$A:$G,4,0)</f>
        <v>BUCARAMANGA</v>
      </c>
      <c r="O252" s="25" t="str">
        <f>VLOOKUP(N252,'BASE TARIFA 2025'!E:F,2,0)</f>
        <v>WOMPI SANTANDERES</v>
      </c>
      <c r="P252" s="40">
        <f>VLOOKUP(M252,'BASE TARIFA 2025'!A:C,3,0)</f>
        <v>46451</v>
      </c>
      <c r="Q252" s="26" t="str">
        <f t="shared" si="6"/>
        <v>100%</v>
      </c>
      <c r="R252" s="41">
        <f t="shared" si="7"/>
        <v>92902</v>
      </c>
    </row>
    <row r="253" spans="1:18" ht="15" customHeight="1" x14ac:dyDescent="0.3">
      <c r="A253" s="25">
        <v>64143</v>
      </c>
      <c r="B253" s="25" t="s">
        <v>470</v>
      </c>
      <c r="C253" s="25" t="s">
        <v>63</v>
      </c>
      <c r="D253" s="25" t="s">
        <v>89</v>
      </c>
      <c r="E253" s="25">
        <v>25754</v>
      </c>
      <c r="F253" s="25" t="s">
        <v>728</v>
      </c>
      <c r="G253" s="25">
        <v>3</v>
      </c>
      <c r="H253" s="25" t="s">
        <v>360</v>
      </c>
      <c r="I253" s="25" t="s">
        <v>65</v>
      </c>
      <c r="J253" s="25" t="s">
        <v>66</v>
      </c>
      <c r="K253" s="38">
        <v>45983.716666666667</v>
      </c>
      <c r="L253" s="25" t="s">
        <v>67</v>
      </c>
      <c r="M253" s="25" t="str">
        <f>VLOOKUP(E253,[1]TIPOLOGIAS!$A:$G,5,0)</f>
        <v>PRINCIPAL</v>
      </c>
      <c r="N253" s="25" t="str">
        <f>VLOOKUP(E253,[1]TIPOLOGIAS!$A:$G,4,0)</f>
        <v>BOGOTA</v>
      </c>
      <c r="O253" s="25" t="str">
        <f>VLOOKUP(N253,'BASE TARIFA 2025'!E:F,2,0)</f>
        <v>WOMPI CENTRO</v>
      </c>
      <c r="P253" s="40">
        <f>VLOOKUP(M253,'BASE TARIFA 2025'!A:C,3,0)</f>
        <v>46451</v>
      </c>
      <c r="Q253" s="26" t="str">
        <f t="shared" si="6"/>
        <v>100%</v>
      </c>
      <c r="R253" s="41">
        <f t="shared" si="7"/>
        <v>139353</v>
      </c>
    </row>
    <row r="254" spans="1:18" ht="15" customHeight="1" x14ac:dyDescent="0.3">
      <c r="A254" s="25">
        <v>64472</v>
      </c>
      <c r="B254" s="25" t="s">
        <v>476</v>
      </c>
      <c r="C254" s="25" t="s">
        <v>77</v>
      </c>
      <c r="D254" s="25" t="s">
        <v>105</v>
      </c>
      <c r="E254" s="25">
        <v>68307</v>
      </c>
      <c r="F254" s="25" t="s">
        <v>729</v>
      </c>
      <c r="G254" s="25">
        <v>2</v>
      </c>
      <c r="H254" s="25" t="s">
        <v>361</v>
      </c>
      <c r="I254" s="25" t="s">
        <v>65</v>
      </c>
      <c r="J254" s="25" t="s">
        <v>66</v>
      </c>
      <c r="K254" s="38">
        <v>45987.37222222222</v>
      </c>
      <c r="L254" s="25" t="s">
        <v>67</v>
      </c>
      <c r="M254" s="25" t="str">
        <f>VLOOKUP(E254,[1]TIPOLOGIAS!$A:$G,5,0)</f>
        <v>PRINCIPAL</v>
      </c>
      <c r="N254" s="25" t="str">
        <f>VLOOKUP(E254,[1]TIPOLOGIAS!$A:$G,4,0)</f>
        <v>BUCARAMANGA</v>
      </c>
      <c r="O254" s="25" t="str">
        <f>VLOOKUP(N254,'BASE TARIFA 2025'!E:F,2,0)</f>
        <v>WOMPI SANTANDERES</v>
      </c>
      <c r="P254" s="40">
        <f>VLOOKUP(M254,'BASE TARIFA 2025'!A:C,3,0)</f>
        <v>46451</v>
      </c>
      <c r="Q254" s="26" t="str">
        <f t="shared" si="6"/>
        <v>100%</v>
      </c>
      <c r="R254" s="41">
        <f t="shared" si="7"/>
        <v>92902</v>
      </c>
    </row>
    <row r="255" spans="1:18" ht="15" customHeight="1" x14ac:dyDescent="0.3">
      <c r="A255" s="25">
        <v>65311</v>
      </c>
      <c r="B255" s="25" t="s">
        <v>491</v>
      </c>
      <c r="C255" s="25" t="s">
        <v>93</v>
      </c>
      <c r="D255" s="25" t="s">
        <v>42</v>
      </c>
      <c r="E255" s="25">
        <v>70001</v>
      </c>
      <c r="F255" s="25" t="s">
        <v>730</v>
      </c>
      <c r="G255" s="25">
        <v>2</v>
      </c>
      <c r="H255" s="25" t="s">
        <v>362</v>
      </c>
      <c r="I255" s="25" t="s">
        <v>65</v>
      </c>
      <c r="J255" s="25" t="s">
        <v>66</v>
      </c>
      <c r="K255" s="38">
        <v>45986.626388888886</v>
      </c>
      <c r="L255" s="25" t="s">
        <v>67</v>
      </c>
      <c r="M255" s="25" t="str">
        <f>VLOOKUP(E255,[1]TIPOLOGIAS!$A:$G,5,0)</f>
        <v>PRINCIPAL</v>
      </c>
      <c r="N255" s="25" t="str">
        <f>VLOOKUP(E255,[1]TIPOLOGIAS!$A:$G,4,0)</f>
        <v>SINCELEJO</v>
      </c>
      <c r="O255" s="25" t="str">
        <f>VLOOKUP(N255,'BASE TARIFA 2025'!E:F,2,0)</f>
        <v>WOMPI COSTA</v>
      </c>
      <c r="P255" s="40">
        <f>VLOOKUP(M255,'BASE TARIFA 2025'!A:C,3,0)</f>
        <v>46451</v>
      </c>
      <c r="Q255" s="26" t="str">
        <f t="shared" si="6"/>
        <v>100%</v>
      </c>
      <c r="R255" s="41">
        <f t="shared" si="7"/>
        <v>92902</v>
      </c>
    </row>
    <row r="256" spans="1:18" ht="15" customHeight="1" x14ac:dyDescent="0.3">
      <c r="A256" s="25">
        <v>66903</v>
      </c>
      <c r="B256" s="25" t="s">
        <v>470</v>
      </c>
      <c r="C256" s="25" t="s">
        <v>63</v>
      </c>
      <c r="D256" s="25" t="s">
        <v>89</v>
      </c>
      <c r="E256" s="25">
        <v>25754</v>
      </c>
      <c r="F256" s="25" t="s">
        <v>731</v>
      </c>
      <c r="G256" s="25">
        <v>2</v>
      </c>
      <c r="H256" s="25" t="s">
        <v>363</v>
      </c>
      <c r="I256" s="25" t="s">
        <v>65</v>
      </c>
      <c r="J256" s="25" t="s">
        <v>66</v>
      </c>
      <c r="K256" s="38">
        <v>45986.440972222219</v>
      </c>
      <c r="L256" s="25" t="s">
        <v>67</v>
      </c>
      <c r="M256" s="25" t="str">
        <f>VLOOKUP(E256,[1]TIPOLOGIAS!$A:$G,5,0)</f>
        <v>PRINCIPAL</v>
      </c>
      <c r="N256" s="25" t="str">
        <f>VLOOKUP(E256,[1]TIPOLOGIAS!$A:$G,4,0)</f>
        <v>BOGOTA</v>
      </c>
      <c r="O256" s="25" t="str">
        <f>VLOOKUP(N256,'BASE TARIFA 2025'!E:F,2,0)</f>
        <v>WOMPI CENTRO</v>
      </c>
      <c r="P256" s="40">
        <f>VLOOKUP(M256,'BASE TARIFA 2025'!A:C,3,0)</f>
        <v>46451</v>
      </c>
      <c r="Q256" s="26" t="str">
        <f t="shared" si="6"/>
        <v>100%</v>
      </c>
      <c r="R256" s="41">
        <f t="shared" si="7"/>
        <v>92902</v>
      </c>
    </row>
    <row r="257" spans="1:18" ht="15" customHeight="1" x14ac:dyDescent="0.3">
      <c r="A257" s="25">
        <v>68159</v>
      </c>
      <c r="B257" s="25" t="s">
        <v>470</v>
      </c>
      <c r="C257" s="25" t="s">
        <v>63</v>
      </c>
      <c r="D257" s="25" t="s">
        <v>68</v>
      </c>
      <c r="E257" s="25">
        <v>25473</v>
      </c>
      <c r="F257" s="25" t="s">
        <v>732</v>
      </c>
      <c r="G257" s="25">
        <v>2</v>
      </c>
      <c r="H257" s="25" t="s">
        <v>364</v>
      </c>
      <c r="I257" s="25" t="s">
        <v>65</v>
      </c>
      <c r="J257" s="25" t="s">
        <v>66</v>
      </c>
      <c r="K257" s="38">
        <v>45982.697916666664</v>
      </c>
      <c r="L257" s="25" t="s">
        <v>67</v>
      </c>
      <c r="M257" s="25" t="str">
        <f>VLOOKUP(E257,[1]TIPOLOGIAS!$A:$G,5,0)</f>
        <v>PRINCIPAL</v>
      </c>
      <c r="N257" s="25" t="str">
        <f>VLOOKUP(E257,[1]TIPOLOGIAS!$A:$G,4,0)</f>
        <v>BOGOTA</v>
      </c>
      <c r="O257" s="25" t="str">
        <f>VLOOKUP(N257,'BASE TARIFA 2025'!E:F,2,0)</f>
        <v>WOMPI CENTRO</v>
      </c>
      <c r="P257" s="40">
        <f>VLOOKUP(M257,'BASE TARIFA 2025'!A:C,3,0)</f>
        <v>46451</v>
      </c>
      <c r="Q257" s="26" t="str">
        <f t="shared" si="6"/>
        <v>100%</v>
      </c>
      <c r="R257" s="41">
        <f t="shared" si="7"/>
        <v>92902</v>
      </c>
    </row>
    <row r="258" spans="1:18" ht="15" customHeight="1" x14ac:dyDescent="0.3">
      <c r="A258" s="25">
        <v>68160</v>
      </c>
      <c r="B258" s="25" t="s">
        <v>470</v>
      </c>
      <c r="C258" s="25" t="s">
        <v>63</v>
      </c>
      <c r="D258" s="25" t="s">
        <v>89</v>
      </c>
      <c r="E258" s="25">
        <v>25754</v>
      </c>
      <c r="F258" s="25" t="s">
        <v>733</v>
      </c>
      <c r="G258" s="25">
        <v>2</v>
      </c>
      <c r="H258" s="25" t="s">
        <v>365</v>
      </c>
      <c r="I258" s="25" t="s">
        <v>65</v>
      </c>
      <c r="J258" s="25" t="s">
        <v>66</v>
      </c>
      <c r="K258" s="38">
        <v>45982.472222222219</v>
      </c>
      <c r="L258" s="25" t="s">
        <v>67</v>
      </c>
      <c r="M258" s="25" t="str">
        <f>VLOOKUP(E258,[1]TIPOLOGIAS!$A:$G,5,0)</f>
        <v>PRINCIPAL</v>
      </c>
      <c r="N258" s="25" t="str">
        <f>VLOOKUP(E258,[1]TIPOLOGIAS!$A:$G,4,0)</f>
        <v>BOGOTA</v>
      </c>
      <c r="O258" s="25" t="str">
        <f>VLOOKUP(N258,'BASE TARIFA 2025'!E:F,2,0)</f>
        <v>WOMPI CENTRO</v>
      </c>
      <c r="P258" s="40">
        <f>VLOOKUP(M258,'BASE TARIFA 2025'!A:C,3,0)</f>
        <v>46451</v>
      </c>
      <c r="Q258" s="26" t="str">
        <f t="shared" si="6"/>
        <v>100%</v>
      </c>
      <c r="R258" s="41">
        <f t="shared" si="7"/>
        <v>92902</v>
      </c>
    </row>
    <row r="259" spans="1:18" ht="15" customHeight="1" x14ac:dyDescent="0.3">
      <c r="A259" s="25">
        <v>68815</v>
      </c>
      <c r="B259" s="25" t="s">
        <v>470</v>
      </c>
      <c r="C259" s="25" t="s">
        <v>63</v>
      </c>
      <c r="D259" s="25" t="s">
        <v>89</v>
      </c>
      <c r="E259" s="25">
        <v>25754</v>
      </c>
      <c r="F259" s="25" t="s">
        <v>734</v>
      </c>
      <c r="G259" s="25">
        <v>2</v>
      </c>
      <c r="H259" s="25" t="s">
        <v>366</v>
      </c>
      <c r="I259" s="25" t="s">
        <v>65</v>
      </c>
      <c r="J259" s="25" t="s">
        <v>66</v>
      </c>
      <c r="K259" s="38">
        <v>45986.49722222222</v>
      </c>
      <c r="L259" s="25" t="s">
        <v>67</v>
      </c>
      <c r="M259" s="25" t="str">
        <f>VLOOKUP(E259,[1]TIPOLOGIAS!$A:$G,5,0)</f>
        <v>PRINCIPAL</v>
      </c>
      <c r="N259" s="25" t="str">
        <f>VLOOKUP(E259,[1]TIPOLOGIAS!$A:$G,4,0)</f>
        <v>BOGOTA</v>
      </c>
      <c r="O259" s="25" t="str">
        <f>VLOOKUP(N259,'BASE TARIFA 2025'!E:F,2,0)</f>
        <v>WOMPI CENTRO</v>
      </c>
      <c r="P259" s="40">
        <f>VLOOKUP(M259,'BASE TARIFA 2025'!A:C,3,0)</f>
        <v>46451</v>
      </c>
      <c r="Q259" s="26" t="str">
        <f t="shared" ref="Q259:Q322" si="8">IF(L259="EJECUTADO","100%", "75%")</f>
        <v>100%</v>
      </c>
      <c r="R259" s="41">
        <f t="shared" ref="R259:R322" si="9">G259*P259*Q259</f>
        <v>92902</v>
      </c>
    </row>
    <row r="260" spans="1:18" ht="15" customHeight="1" x14ac:dyDescent="0.3">
      <c r="A260" s="25">
        <v>69587</v>
      </c>
      <c r="B260" s="25" t="s">
        <v>470</v>
      </c>
      <c r="C260" s="25" t="s">
        <v>63</v>
      </c>
      <c r="D260" s="25" t="s">
        <v>89</v>
      </c>
      <c r="E260" s="25">
        <v>25754</v>
      </c>
      <c r="F260" s="25" t="s">
        <v>735</v>
      </c>
      <c r="G260" s="25">
        <v>2</v>
      </c>
      <c r="H260" s="25" t="s">
        <v>367</v>
      </c>
      <c r="I260" s="25" t="s">
        <v>65</v>
      </c>
      <c r="J260" s="25" t="s">
        <v>66</v>
      </c>
      <c r="K260" s="38">
        <v>45982.787499999999</v>
      </c>
      <c r="L260" s="25" t="s">
        <v>67</v>
      </c>
      <c r="M260" s="25" t="str">
        <f>VLOOKUP(E260,[1]TIPOLOGIAS!$A:$G,5,0)</f>
        <v>PRINCIPAL</v>
      </c>
      <c r="N260" s="25" t="str">
        <f>VLOOKUP(E260,[1]TIPOLOGIAS!$A:$G,4,0)</f>
        <v>BOGOTA</v>
      </c>
      <c r="O260" s="25" t="str">
        <f>VLOOKUP(N260,'BASE TARIFA 2025'!E:F,2,0)</f>
        <v>WOMPI CENTRO</v>
      </c>
      <c r="P260" s="40">
        <f>VLOOKUP(M260,'BASE TARIFA 2025'!A:C,3,0)</f>
        <v>46451</v>
      </c>
      <c r="Q260" s="26" t="str">
        <f t="shared" si="8"/>
        <v>100%</v>
      </c>
      <c r="R260" s="41">
        <f t="shared" si="9"/>
        <v>92902</v>
      </c>
    </row>
    <row r="261" spans="1:18" ht="15" customHeight="1" x14ac:dyDescent="0.3">
      <c r="A261" s="25">
        <v>70739</v>
      </c>
      <c r="B261" s="25" t="s">
        <v>470</v>
      </c>
      <c r="C261" s="25" t="s">
        <v>63</v>
      </c>
      <c r="D261" s="25" t="s">
        <v>89</v>
      </c>
      <c r="E261" s="25">
        <v>25754</v>
      </c>
      <c r="F261" s="25" t="s">
        <v>736</v>
      </c>
      <c r="G261" s="25">
        <v>2</v>
      </c>
      <c r="H261" s="25" t="s">
        <v>368</v>
      </c>
      <c r="I261" s="25" t="s">
        <v>65</v>
      </c>
      <c r="J261" s="25" t="s">
        <v>66</v>
      </c>
      <c r="K261" s="38">
        <v>45982.636111111111</v>
      </c>
      <c r="L261" s="25" t="s">
        <v>67</v>
      </c>
      <c r="M261" s="25" t="str">
        <f>VLOOKUP(E261,[1]TIPOLOGIAS!$A:$G,5,0)</f>
        <v>PRINCIPAL</v>
      </c>
      <c r="N261" s="25" t="str">
        <f>VLOOKUP(E261,[1]TIPOLOGIAS!$A:$G,4,0)</f>
        <v>BOGOTA</v>
      </c>
      <c r="O261" s="25" t="str">
        <f>VLOOKUP(N261,'BASE TARIFA 2025'!E:F,2,0)</f>
        <v>WOMPI CENTRO</v>
      </c>
      <c r="P261" s="40">
        <f>VLOOKUP(M261,'BASE TARIFA 2025'!A:C,3,0)</f>
        <v>46451</v>
      </c>
      <c r="Q261" s="26" t="str">
        <f t="shared" si="8"/>
        <v>100%</v>
      </c>
      <c r="R261" s="41">
        <f t="shared" si="9"/>
        <v>92902</v>
      </c>
    </row>
    <row r="262" spans="1:18" ht="15" customHeight="1" x14ac:dyDescent="0.3">
      <c r="A262" s="25">
        <v>71668</v>
      </c>
      <c r="B262" s="25" t="s">
        <v>470</v>
      </c>
      <c r="C262" s="25" t="s">
        <v>63</v>
      </c>
      <c r="D262" s="25" t="s">
        <v>68</v>
      </c>
      <c r="E262" s="25">
        <v>25473</v>
      </c>
      <c r="F262" s="25" t="s">
        <v>737</v>
      </c>
      <c r="G262" s="25">
        <v>2</v>
      </c>
      <c r="H262" s="25" t="s">
        <v>369</v>
      </c>
      <c r="I262" s="25" t="s">
        <v>65</v>
      </c>
      <c r="J262" s="25" t="s">
        <v>66</v>
      </c>
      <c r="K262" s="38">
        <v>45982.642361111109</v>
      </c>
      <c r="L262" s="25" t="s">
        <v>67</v>
      </c>
      <c r="M262" s="25" t="str">
        <f>VLOOKUP(E262,[1]TIPOLOGIAS!$A:$G,5,0)</f>
        <v>PRINCIPAL</v>
      </c>
      <c r="N262" s="25" t="str">
        <f>VLOOKUP(E262,[1]TIPOLOGIAS!$A:$G,4,0)</f>
        <v>BOGOTA</v>
      </c>
      <c r="O262" s="25" t="str">
        <f>VLOOKUP(N262,'BASE TARIFA 2025'!E:F,2,0)</f>
        <v>WOMPI CENTRO</v>
      </c>
      <c r="P262" s="40">
        <f>VLOOKUP(M262,'BASE TARIFA 2025'!A:C,3,0)</f>
        <v>46451</v>
      </c>
      <c r="Q262" s="26" t="str">
        <f t="shared" si="8"/>
        <v>100%</v>
      </c>
      <c r="R262" s="41">
        <f t="shared" si="9"/>
        <v>92902</v>
      </c>
    </row>
    <row r="263" spans="1:18" ht="15" customHeight="1" x14ac:dyDescent="0.3">
      <c r="A263" s="25">
        <v>72306</v>
      </c>
      <c r="B263" s="25" t="s">
        <v>491</v>
      </c>
      <c r="C263" s="25" t="s">
        <v>93</v>
      </c>
      <c r="D263" s="25" t="s">
        <v>42</v>
      </c>
      <c r="E263" s="25">
        <v>70001</v>
      </c>
      <c r="F263" s="25" t="s">
        <v>738</v>
      </c>
      <c r="G263" s="25">
        <v>2</v>
      </c>
      <c r="H263" s="25" t="s">
        <v>370</v>
      </c>
      <c r="I263" s="25" t="s">
        <v>65</v>
      </c>
      <c r="J263" s="25" t="s">
        <v>66</v>
      </c>
      <c r="K263" s="38">
        <v>45987.469444444447</v>
      </c>
      <c r="L263" s="25" t="s">
        <v>67</v>
      </c>
      <c r="M263" s="25" t="str">
        <f>VLOOKUP(E263,[1]TIPOLOGIAS!$A:$G,5,0)</f>
        <v>PRINCIPAL</v>
      </c>
      <c r="N263" s="25" t="str">
        <f>VLOOKUP(E263,[1]TIPOLOGIAS!$A:$G,4,0)</f>
        <v>SINCELEJO</v>
      </c>
      <c r="O263" s="25" t="str">
        <f>VLOOKUP(N263,'BASE TARIFA 2025'!E:F,2,0)</f>
        <v>WOMPI COSTA</v>
      </c>
      <c r="P263" s="40">
        <f>VLOOKUP(M263,'BASE TARIFA 2025'!A:C,3,0)</f>
        <v>46451</v>
      </c>
      <c r="Q263" s="26" t="str">
        <f t="shared" si="8"/>
        <v>100%</v>
      </c>
      <c r="R263" s="41">
        <f t="shared" si="9"/>
        <v>92902</v>
      </c>
    </row>
    <row r="264" spans="1:18" ht="15" customHeight="1" x14ac:dyDescent="0.3">
      <c r="A264" s="25">
        <v>74428</v>
      </c>
      <c r="B264" s="25" t="s">
        <v>476</v>
      </c>
      <c r="C264" s="25" t="s">
        <v>77</v>
      </c>
      <c r="D264" s="25" t="s">
        <v>80</v>
      </c>
      <c r="E264" s="25">
        <v>68276</v>
      </c>
      <c r="F264" s="25" t="s">
        <v>739</v>
      </c>
      <c r="G264" s="25">
        <v>2</v>
      </c>
      <c r="H264" s="25" t="s">
        <v>371</v>
      </c>
      <c r="I264" s="25" t="s">
        <v>65</v>
      </c>
      <c r="J264" s="25" t="s">
        <v>66</v>
      </c>
      <c r="K264" s="38">
        <v>45986.61041666667</v>
      </c>
      <c r="L264" s="25" t="s">
        <v>67</v>
      </c>
      <c r="M264" s="25" t="str">
        <f>VLOOKUP(E264,[1]TIPOLOGIAS!$A:$G,5,0)</f>
        <v>PRINCIPAL</v>
      </c>
      <c r="N264" s="25" t="str">
        <f>VLOOKUP(E264,[1]TIPOLOGIAS!$A:$G,4,0)</f>
        <v>BUCARAMANGA</v>
      </c>
      <c r="O264" s="25" t="str">
        <f>VLOOKUP(N264,'BASE TARIFA 2025'!E:F,2,0)</f>
        <v>WOMPI SANTANDERES</v>
      </c>
      <c r="P264" s="40">
        <f>VLOOKUP(M264,'BASE TARIFA 2025'!A:C,3,0)</f>
        <v>46451</v>
      </c>
      <c r="Q264" s="26" t="str">
        <f t="shared" si="8"/>
        <v>100%</v>
      </c>
      <c r="R264" s="41">
        <f t="shared" si="9"/>
        <v>92902</v>
      </c>
    </row>
    <row r="265" spans="1:18" ht="15" customHeight="1" x14ac:dyDescent="0.3">
      <c r="A265" s="25">
        <v>75137</v>
      </c>
      <c r="B265" s="25" t="s">
        <v>476</v>
      </c>
      <c r="C265" s="25" t="s">
        <v>77</v>
      </c>
      <c r="D265" s="25" t="s">
        <v>105</v>
      </c>
      <c r="E265" s="25">
        <v>68307</v>
      </c>
      <c r="F265" s="25" t="s">
        <v>740</v>
      </c>
      <c r="G265" s="25">
        <v>2</v>
      </c>
      <c r="H265" s="25" t="s">
        <v>372</v>
      </c>
      <c r="I265" s="25" t="s">
        <v>65</v>
      </c>
      <c r="J265" s="25" t="s">
        <v>66</v>
      </c>
      <c r="K265" s="38">
        <v>45985.604166666664</v>
      </c>
      <c r="L265" s="25" t="s">
        <v>67</v>
      </c>
      <c r="M265" s="25" t="str">
        <f>VLOOKUP(E265,[1]TIPOLOGIAS!$A:$G,5,0)</f>
        <v>PRINCIPAL</v>
      </c>
      <c r="N265" s="25" t="str">
        <f>VLOOKUP(E265,[1]TIPOLOGIAS!$A:$G,4,0)</f>
        <v>BUCARAMANGA</v>
      </c>
      <c r="O265" s="25" t="str">
        <f>VLOOKUP(N265,'BASE TARIFA 2025'!E:F,2,0)</f>
        <v>WOMPI SANTANDERES</v>
      </c>
      <c r="P265" s="40">
        <f>VLOOKUP(M265,'BASE TARIFA 2025'!A:C,3,0)</f>
        <v>46451</v>
      </c>
      <c r="Q265" s="26" t="str">
        <f t="shared" si="8"/>
        <v>100%</v>
      </c>
      <c r="R265" s="41">
        <f t="shared" si="9"/>
        <v>92902</v>
      </c>
    </row>
    <row r="266" spans="1:18" ht="15" customHeight="1" x14ac:dyDescent="0.3">
      <c r="A266" s="25">
        <v>79424</v>
      </c>
      <c r="B266" s="25" t="s">
        <v>476</v>
      </c>
      <c r="C266" s="25" t="s">
        <v>79</v>
      </c>
      <c r="D266" s="25" t="s">
        <v>33</v>
      </c>
      <c r="E266" s="25">
        <v>15001</v>
      </c>
      <c r="F266" s="25" t="s">
        <v>741</v>
      </c>
      <c r="G266" s="25">
        <v>3</v>
      </c>
      <c r="H266" s="25" t="s">
        <v>373</v>
      </c>
      <c r="I266" s="25" t="s">
        <v>65</v>
      </c>
      <c r="J266" s="25" t="s">
        <v>66</v>
      </c>
      <c r="K266" s="38">
        <v>45985.522916666669</v>
      </c>
      <c r="L266" s="25" t="s">
        <v>67</v>
      </c>
      <c r="M266" s="25" t="str">
        <f>VLOOKUP(E266,[1]TIPOLOGIAS!$A:$G,5,0)</f>
        <v>PRINCIPAL</v>
      </c>
      <c r="N266" s="25" t="str">
        <f>VLOOKUP(E266,[1]TIPOLOGIAS!$A:$G,4,0)</f>
        <v>TUNJA</v>
      </c>
      <c r="O266" s="25" t="str">
        <f>VLOOKUP(N266,'BASE TARIFA 2025'!E:F,2,0)</f>
        <v>WOMPI SANTANDERES</v>
      </c>
      <c r="P266" s="40">
        <f>VLOOKUP(M266,'BASE TARIFA 2025'!A:C,3,0)</f>
        <v>46451</v>
      </c>
      <c r="Q266" s="26" t="str">
        <f t="shared" si="8"/>
        <v>100%</v>
      </c>
      <c r="R266" s="41">
        <f t="shared" si="9"/>
        <v>139353</v>
      </c>
    </row>
    <row r="267" spans="1:18" ht="15" customHeight="1" x14ac:dyDescent="0.3">
      <c r="A267" s="25">
        <v>79577</v>
      </c>
      <c r="B267" s="25" t="s">
        <v>470</v>
      </c>
      <c r="C267" s="25" t="s">
        <v>63</v>
      </c>
      <c r="D267" s="25" t="s">
        <v>89</v>
      </c>
      <c r="E267" s="25">
        <v>25754</v>
      </c>
      <c r="F267" s="25" t="s">
        <v>742</v>
      </c>
      <c r="G267" s="25">
        <v>3</v>
      </c>
      <c r="H267" s="25" t="s">
        <v>374</v>
      </c>
      <c r="I267" s="25" t="s">
        <v>65</v>
      </c>
      <c r="J267" s="25" t="s">
        <v>66</v>
      </c>
      <c r="K267" s="38">
        <v>45982.554166666669</v>
      </c>
      <c r="L267" s="25" t="s">
        <v>67</v>
      </c>
      <c r="M267" s="25" t="str">
        <f>VLOOKUP(E267,[1]TIPOLOGIAS!$A:$G,5,0)</f>
        <v>PRINCIPAL</v>
      </c>
      <c r="N267" s="25" t="str">
        <f>VLOOKUP(E267,[1]TIPOLOGIAS!$A:$G,4,0)</f>
        <v>BOGOTA</v>
      </c>
      <c r="O267" s="25" t="str">
        <f>VLOOKUP(N267,'BASE TARIFA 2025'!E:F,2,0)</f>
        <v>WOMPI CENTRO</v>
      </c>
      <c r="P267" s="40">
        <f>VLOOKUP(M267,'BASE TARIFA 2025'!A:C,3,0)</f>
        <v>46451</v>
      </c>
      <c r="Q267" s="26" t="str">
        <f t="shared" si="8"/>
        <v>100%</v>
      </c>
      <c r="R267" s="41">
        <f t="shared" si="9"/>
        <v>139353</v>
      </c>
    </row>
    <row r="268" spans="1:18" ht="15" customHeight="1" x14ac:dyDescent="0.3">
      <c r="A268" s="25">
        <v>80934</v>
      </c>
      <c r="B268" s="25" t="s">
        <v>470</v>
      </c>
      <c r="C268" s="25" t="s">
        <v>63</v>
      </c>
      <c r="D268" s="25" t="s">
        <v>64</v>
      </c>
      <c r="E268" s="25">
        <v>11001</v>
      </c>
      <c r="F268" s="25" t="s">
        <v>743</v>
      </c>
      <c r="G268" s="25">
        <v>3</v>
      </c>
      <c r="H268" s="25" t="s">
        <v>375</v>
      </c>
      <c r="I268" s="25" t="s">
        <v>65</v>
      </c>
      <c r="J268" s="25" t="s">
        <v>66</v>
      </c>
      <c r="K268" s="38">
        <v>45985.438194444447</v>
      </c>
      <c r="L268" s="25" t="s">
        <v>67</v>
      </c>
      <c r="M268" s="25" t="str">
        <f>VLOOKUP(E268,[1]TIPOLOGIAS!$A:$G,5,0)</f>
        <v>PRINCIPAL</v>
      </c>
      <c r="N268" s="25" t="str">
        <f>VLOOKUP(E268,[1]TIPOLOGIAS!$A:$G,4,0)</f>
        <v>BOGOTA</v>
      </c>
      <c r="O268" s="25" t="str">
        <f>VLOOKUP(N268,'BASE TARIFA 2025'!E:F,2,0)</f>
        <v>WOMPI CENTRO</v>
      </c>
      <c r="P268" s="40">
        <f>VLOOKUP(M268,'BASE TARIFA 2025'!A:C,3,0)</f>
        <v>46451</v>
      </c>
      <c r="Q268" s="26" t="str">
        <f t="shared" si="8"/>
        <v>100%</v>
      </c>
      <c r="R268" s="41">
        <f t="shared" si="9"/>
        <v>139353</v>
      </c>
    </row>
    <row r="269" spans="1:18" ht="15" customHeight="1" x14ac:dyDescent="0.3">
      <c r="A269" s="25">
        <v>35336</v>
      </c>
      <c r="B269" s="25" t="s">
        <v>470</v>
      </c>
      <c r="C269" s="25" t="s">
        <v>63</v>
      </c>
      <c r="D269" s="25" t="s">
        <v>64</v>
      </c>
      <c r="E269" s="25">
        <v>11001</v>
      </c>
      <c r="F269" s="25" t="s">
        <v>744</v>
      </c>
      <c r="G269" s="25">
        <v>2</v>
      </c>
      <c r="H269" s="25" t="s">
        <v>376</v>
      </c>
      <c r="I269" s="25" t="s">
        <v>65</v>
      </c>
      <c r="J269" s="25" t="s">
        <v>66</v>
      </c>
      <c r="K269" s="38">
        <v>45985.541666666664</v>
      </c>
      <c r="L269" s="25" t="s">
        <v>67</v>
      </c>
      <c r="M269" s="25" t="str">
        <f>VLOOKUP(E269,[1]TIPOLOGIAS!$A:$G,5,0)</f>
        <v>PRINCIPAL</v>
      </c>
      <c r="N269" s="25" t="str">
        <f>VLOOKUP(E269,[1]TIPOLOGIAS!$A:$G,4,0)</f>
        <v>BOGOTA</v>
      </c>
      <c r="O269" s="25" t="str">
        <f>VLOOKUP(N269,'BASE TARIFA 2025'!E:F,2,0)</f>
        <v>WOMPI CENTRO</v>
      </c>
      <c r="P269" s="40">
        <f>VLOOKUP(M269,'BASE TARIFA 2025'!A:C,3,0)</f>
        <v>46451</v>
      </c>
      <c r="Q269" s="26" t="str">
        <f t="shared" si="8"/>
        <v>100%</v>
      </c>
      <c r="R269" s="41">
        <f t="shared" si="9"/>
        <v>92902</v>
      </c>
    </row>
    <row r="270" spans="1:18" ht="15" customHeight="1" x14ac:dyDescent="0.3">
      <c r="A270" s="25">
        <v>35716</v>
      </c>
      <c r="B270" s="25" t="s">
        <v>90</v>
      </c>
      <c r="C270" s="25" t="s">
        <v>90</v>
      </c>
      <c r="D270" s="25" t="s">
        <v>91</v>
      </c>
      <c r="E270" s="25">
        <v>5001</v>
      </c>
      <c r="F270" s="25" t="s">
        <v>745</v>
      </c>
      <c r="G270" s="25">
        <v>2</v>
      </c>
      <c r="H270" s="25" t="s">
        <v>377</v>
      </c>
      <c r="I270" s="25" t="s">
        <v>65</v>
      </c>
      <c r="J270" s="25" t="s">
        <v>66</v>
      </c>
      <c r="K270" s="38">
        <v>45982.487500000003</v>
      </c>
      <c r="L270" s="25" t="s">
        <v>67</v>
      </c>
      <c r="M270" s="25" t="str">
        <f>VLOOKUP(E270,[1]TIPOLOGIAS!$A:$G,5,0)</f>
        <v>PRINCIPAL</v>
      </c>
      <c r="N270" s="25" t="str">
        <f>VLOOKUP(E270,[1]TIPOLOGIAS!$A:$G,4,0)</f>
        <v>MEDELLIN</v>
      </c>
      <c r="O270" s="25" t="str">
        <f>VLOOKUP(N270,'BASE TARIFA 2025'!E:F,2,0)</f>
        <v>WOMPI NOROCCIDENTE</v>
      </c>
      <c r="P270" s="40">
        <f>VLOOKUP(M270,'BASE TARIFA 2025'!A:C,3,0)</f>
        <v>46451</v>
      </c>
      <c r="Q270" s="26" t="str">
        <f t="shared" si="8"/>
        <v>100%</v>
      </c>
      <c r="R270" s="41">
        <f t="shared" si="9"/>
        <v>92902</v>
      </c>
    </row>
    <row r="271" spans="1:18" ht="15" customHeight="1" x14ac:dyDescent="0.3">
      <c r="A271" s="25">
        <v>35749</v>
      </c>
      <c r="B271" s="25" t="s">
        <v>470</v>
      </c>
      <c r="C271" s="25" t="s">
        <v>63</v>
      </c>
      <c r="D271" s="25" t="s">
        <v>89</v>
      </c>
      <c r="E271" s="25">
        <v>25754</v>
      </c>
      <c r="F271" s="25" t="s">
        <v>746</v>
      </c>
      <c r="G271" s="25">
        <v>2</v>
      </c>
      <c r="H271" s="25" t="s">
        <v>378</v>
      </c>
      <c r="I271" s="25" t="s">
        <v>65</v>
      </c>
      <c r="J271" s="25" t="s">
        <v>66</v>
      </c>
      <c r="K271" s="38">
        <v>45985.413194444445</v>
      </c>
      <c r="L271" s="25" t="s">
        <v>67</v>
      </c>
      <c r="M271" s="25" t="str">
        <f>VLOOKUP(E271,[1]TIPOLOGIAS!$A:$G,5,0)</f>
        <v>PRINCIPAL</v>
      </c>
      <c r="N271" s="25" t="str">
        <f>VLOOKUP(E271,[1]TIPOLOGIAS!$A:$G,4,0)</f>
        <v>BOGOTA</v>
      </c>
      <c r="O271" s="25" t="str">
        <f>VLOOKUP(N271,'BASE TARIFA 2025'!E:F,2,0)</f>
        <v>WOMPI CENTRO</v>
      </c>
      <c r="P271" s="40">
        <f>VLOOKUP(M271,'BASE TARIFA 2025'!A:C,3,0)</f>
        <v>46451</v>
      </c>
      <c r="Q271" s="26" t="str">
        <f t="shared" si="8"/>
        <v>100%</v>
      </c>
      <c r="R271" s="41">
        <f t="shared" si="9"/>
        <v>92902</v>
      </c>
    </row>
    <row r="272" spans="1:18" ht="15" customHeight="1" x14ac:dyDescent="0.3">
      <c r="A272" s="25">
        <v>36814</v>
      </c>
      <c r="B272" s="25" t="s">
        <v>90</v>
      </c>
      <c r="C272" s="25" t="s">
        <v>90</v>
      </c>
      <c r="D272" s="25" t="s">
        <v>547</v>
      </c>
      <c r="E272" s="25">
        <v>5308</v>
      </c>
      <c r="F272" s="25" t="s">
        <v>747</v>
      </c>
      <c r="G272" s="25">
        <v>2</v>
      </c>
      <c r="H272" s="25" t="s">
        <v>379</v>
      </c>
      <c r="I272" s="25" t="s">
        <v>65</v>
      </c>
      <c r="J272" s="25" t="s">
        <v>66</v>
      </c>
      <c r="K272" s="38">
        <v>45980.705555555556</v>
      </c>
      <c r="L272" s="25" t="s">
        <v>67</v>
      </c>
      <c r="M272" s="25" t="str">
        <f>VLOOKUP(E272,[1]TIPOLOGIAS!$A:$G,5,0)</f>
        <v>PRINCIPAL</v>
      </c>
      <c r="N272" s="25" t="str">
        <f>VLOOKUP(E272,[1]TIPOLOGIAS!$A:$G,4,0)</f>
        <v>MEDELLIN</v>
      </c>
      <c r="O272" s="25" t="str">
        <f>VLOOKUP(N272,'BASE TARIFA 2025'!E:F,2,0)</f>
        <v>WOMPI NOROCCIDENTE</v>
      </c>
      <c r="P272" s="40">
        <f>VLOOKUP(M272,'BASE TARIFA 2025'!A:C,3,0)</f>
        <v>46451</v>
      </c>
      <c r="Q272" s="26" t="str">
        <f t="shared" si="8"/>
        <v>100%</v>
      </c>
      <c r="R272" s="41">
        <f t="shared" si="9"/>
        <v>92902</v>
      </c>
    </row>
    <row r="273" spans="1:18" ht="15" customHeight="1" x14ac:dyDescent="0.3">
      <c r="A273" s="25">
        <v>37041</v>
      </c>
      <c r="B273" s="25" t="s">
        <v>470</v>
      </c>
      <c r="C273" s="25" t="s">
        <v>63</v>
      </c>
      <c r="D273" s="25" t="s">
        <v>64</v>
      </c>
      <c r="E273" s="25">
        <v>11001</v>
      </c>
      <c r="F273" s="25" t="s">
        <v>748</v>
      </c>
      <c r="G273" s="25">
        <v>2</v>
      </c>
      <c r="H273" s="25" t="s">
        <v>380</v>
      </c>
      <c r="I273" s="25" t="s">
        <v>65</v>
      </c>
      <c r="J273" s="25" t="s">
        <v>66</v>
      </c>
      <c r="K273" s="38">
        <v>45985.421527777777</v>
      </c>
      <c r="L273" s="25" t="s">
        <v>67</v>
      </c>
      <c r="M273" s="25" t="str">
        <f>VLOOKUP(E273,[1]TIPOLOGIAS!$A:$G,5,0)</f>
        <v>PRINCIPAL</v>
      </c>
      <c r="N273" s="25" t="str">
        <f>VLOOKUP(E273,[1]TIPOLOGIAS!$A:$G,4,0)</f>
        <v>BOGOTA</v>
      </c>
      <c r="O273" s="25" t="str">
        <f>VLOOKUP(N273,'BASE TARIFA 2025'!E:F,2,0)</f>
        <v>WOMPI CENTRO</v>
      </c>
      <c r="P273" s="40">
        <f>VLOOKUP(M273,'BASE TARIFA 2025'!A:C,3,0)</f>
        <v>46451</v>
      </c>
      <c r="Q273" s="26" t="str">
        <f t="shared" si="8"/>
        <v>100%</v>
      </c>
      <c r="R273" s="41">
        <f t="shared" si="9"/>
        <v>92902</v>
      </c>
    </row>
    <row r="274" spans="1:18" ht="15" customHeight="1" x14ac:dyDescent="0.3">
      <c r="A274" s="25">
        <v>37139</v>
      </c>
      <c r="B274" s="25" t="s">
        <v>491</v>
      </c>
      <c r="C274" s="25" t="s">
        <v>74</v>
      </c>
      <c r="D274" s="25" t="s">
        <v>98</v>
      </c>
      <c r="E274" s="25">
        <v>8758</v>
      </c>
      <c r="F274" s="25" t="s">
        <v>749</v>
      </c>
      <c r="G274" s="25">
        <v>2</v>
      </c>
      <c r="H274" s="25" t="s">
        <v>381</v>
      </c>
      <c r="I274" s="25" t="s">
        <v>65</v>
      </c>
      <c r="J274" s="25" t="s">
        <v>66</v>
      </c>
      <c r="K274" s="38">
        <v>45986.668749999997</v>
      </c>
      <c r="L274" s="25" t="s">
        <v>67</v>
      </c>
      <c r="M274" s="25" t="str">
        <f>VLOOKUP(E274,[1]TIPOLOGIAS!$A:$G,5,0)</f>
        <v>PRINCIPAL</v>
      </c>
      <c r="N274" s="25" t="str">
        <f>VLOOKUP(E274,[1]TIPOLOGIAS!$A:$G,4,0)</f>
        <v>BARRANQUILLA</v>
      </c>
      <c r="O274" s="25" t="str">
        <f>VLOOKUP(N274,'BASE TARIFA 2025'!E:F,2,0)</f>
        <v>WOMPI COSTA</v>
      </c>
      <c r="P274" s="40">
        <f>VLOOKUP(M274,'BASE TARIFA 2025'!A:C,3,0)</f>
        <v>46451</v>
      </c>
      <c r="Q274" s="26" t="str">
        <f t="shared" si="8"/>
        <v>100%</v>
      </c>
      <c r="R274" s="41">
        <f t="shared" si="9"/>
        <v>92902</v>
      </c>
    </row>
    <row r="275" spans="1:18" ht="15" customHeight="1" x14ac:dyDescent="0.3">
      <c r="A275" s="25">
        <v>37321</v>
      </c>
      <c r="B275" s="25" t="s">
        <v>470</v>
      </c>
      <c r="C275" s="25" t="s">
        <v>63</v>
      </c>
      <c r="D275" s="25" t="s">
        <v>89</v>
      </c>
      <c r="E275" s="25">
        <v>25754</v>
      </c>
      <c r="F275" s="25" t="s">
        <v>750</v>
      </c>
      <c r="G275" s="25">
        <v>2</v>
      </c>
      <c r="H275" s="25" t="s">
        <v>382</v>
      </c>
      <c r="I275" s="25" t="s">
        <v>65</v>
      </c>
      <c r="J275" s="25" t="s">
        <v>66</v>
      </c>
      <c r="K275" s="38">
        <v>45986.55972222222</v>
      </c>
      <c r="L275" s="25" t="s">
        <v>67</v>
      </c>
      <c r="M275" s="25" t="str">
        <f>VLOOKUP(E275,[1]TIPOLOGIAS!$A:$G,5,0)</f>
        <v>PRINCIPAL</v>
      </c>
      <c r="N275" s="25" t="str">
        <f>VLOOKUP(E275,[1]TIPOLOGIAS!$A:$G,4,0)</f>
        <v>BOGOTA</v>
      </c>
      <c r="O275" s="25" t="str">
        <f>VLOOKUP(N275,'BASE TARIFA 2025'!E:F,2,0)</f>
        <v>WOMPI CENTRO</v>
      </c>
      <c r="P275" s="40">
        <f>VLOOKUP(M275,'BASE TARIFA 2025'!A:C,3,0)</f>
        <v>46451</v>
      </c>
      <c r="Q275" s="26" t="str">
        <f t="shared" si="8"/>
        <v>100%</v>
      </c>
      <c r="R275" s="41">
        <f t="shared" si="9"/>
        <v>92902</v>
      </c>
    </row>
    <row r="276" spans="1:18" ht="15" customHeight="1" x14ac:dyDescent="0.3">
      <c r="A276" s="25">
        <v>37738</v>
      </c>
      <c r="B276" s="25" t="s">
        <v>470</v>
      </c>
      <c r="C276" s="25" t="s">
        <v>63</v>
      </c>
      <c r="D276" s="25" t="s">
        <v>89</v>
      </c>
      <c r="E276" s="25">
        <v>25754</v>
      </c>
      <c r="F276" s="25" t="s">
        <v>751</v>
      </c>
      <c r="G276" s="25">
        <v>3</v>
      </c>
      <c r="H276" s="25" t="s">
        <v>383</v>
      </c>
      <c r="I276" s="25" t="s">
        <v>65</v>
      </c>
      <c r="J276" s="25" t="s">
        <v>66</v>
      </c>
      <c r="K276" s="38">
        <v>45982.74722222222</v>
      </c>
      <c r="L276" s="25" t="s">
        <v>67</v>
      </c>
      <c r="M276" s="25" t="str">
        <f>VLOOKUP(E276,[1]TIPOLOGIAS!$A:$G,5,0)</f>
        <v>PRINCIPAL</v>
      </c>
      <c r="N276" s="25" t="str">
        <f>VLOOKUP(E276,[1]TIPOLOGIAS!$A:$G,4,0)</f>
        <v>BOGOTA</v>
      </c>
      <c r="O276" s="25" t="str">
        <f>VLOOKUP(N276,'BASE TARIFA 2025'!E:F,2,0)</f>
        <v>WOMPI CENTRO</v>
      </c>
      <c r="P276" s="40">
        <f>VLOOKUP(M276,'BASE TARIFA 2025'!A:C,3,0)</f>
        <v>46451</v>
      </c>
      <c r="Q276" s="26" t="str">
        <f t="shared" si="8"/>
        <v>100%</v>
      </c>
      <c r="R276" s="41">
        <f t="shared" si="9"/>
        <v>139353</v>
      </c>
    </row>
    <row r="277" spans="1:18" ht="15" customHeight="1" x14ac:dyDescent="0.3">
      <c r="A277" s="25">
        <v>79807</v>
      </c>
      <c r="B277" s="25" t="s">
        <v>476</v>
      </c>
      <c r="C277" s="25" t="s">
        <v>70</v>
      </c>
      <c r="D277" s="25" t="s">
        <v>96</v>
      </c>
      <c r="E277" s="25">
        <v>54874</v>
      </c>
      <c r="F277" s="25" t="s">
        <v>752</v>
      </c>
      <c r="G277" s="25">
        <v>1</v>
      </c>
      <c r="H277" s="25" t="s">
        <v>384</v>
      </c>
      <c r="I277" s="25" t="s">
        <v>65</v>
      </c>
      <c r="J277" s="25" t="s">
        <v>66</v>
      </c>
      <c r="K277" s="38">
        <v>45986.405555555553</v>
      </c>
      <c r="L277" s="25" t="s">
        <v>67</v>
      </c>
      <c r="M277" s="25" t="str">
        <f>VLOOKUP(E277,[1]TIPOLOGIAS!$A:$G,5,0)</f>
        <v>PRINCIPAL</v>
      </c>
      <c r="N277" s="25" t="str">
        <f>VLOOKUP(E277,[1]TIPOLOGIAS!$A:$G,4,0)</f>
        <v>CUCUTA</v>
      </c>
      <c r="O277" s="25" t="str">
        <f>VLOOKUP(N277,'BASE TARIFA 2025'!E:F,2,0)</f>
        <v>WOMPI SANTANDERES</v>
      </c>
      <c r="P277" s="40">
        <f>VLOOKUP(M277,'BASE TARIFA 2025'!A:C,3,0)</f>
        <v>46451</v>
      </c>
      <c r="Q277" s="26" t="str">
        <f t="shared" si="8"/>
        <v>100%</v>
      </c>
      <c r="R277" s="41">
        <f t="shared" si="9"/>
        <v>46451</v>
      </c>
    </row>
    <row r="278" spans="1:18" ht="15" customHeight="1" x14ac:dyDescent="0.3">
      <c r="A278" s="25">
        <v>75690</v>
      </c>
      <c r="B278" s="25" t="s">
        <v>476</v>
      </c>
      <c r="C278" s="25" t="s">
        <v>78</v>
      </c>
      <c r="D278" s="25" t="s">
        <v>30</v>
      </c>
      <c r="E278" s="25">
        <v>41001</v>
      </c>
      <c r="F278" s="25" t="s">
        <v>753</v>
      </c>
      <c r="G278" s="25">
        <v>1</v>
      </c>
      <c r="H278" s="25" t="s">
        <v>385</v>
      </c>
      <c r="I278" s="25" t="s">
        <v>65</v>
      </c>
      <c r="J278" s="25" t="s">
        <v>66</v>
      </c>
      <c r="K278" s="38">
        <v>45985.635416666664</v>
      </c>
      <c r="L278" s="25" t="s">
        <v>67</v>
      </c>
      <c r="M278" s="25" t="str">
        <f>VLOOKUP(E278,[1]TIPOLOGIAS!$A:$G,5,0)</f>
        <v>PRINCIPAL</v>
      </c>
      <c r="N278" s="25" t="str">
        <f>VLOOKUP(E278,[1]TIPOLOGIAS!$A:$G,4,0)</f>
        <v>NEIVA</v>
      </c>
      <c r="O278" s="25" t="str">
        <f>VLOOKUP(N278,'BASE TARIFA 2025'!E:F,2,0)</f>
        <v>WOMPI ORIENTE</v>
      </c>
      <c r="P278" s="40">
        <f>VLOOKUP(M278,'BASE TARIFA 2025'!A:C,3,0)</f>
        <v>46451</v>
      </c>
      <c r="Q278" s="26" t="str">
        <f t="shared" si="8"/>
        <v>100%</v>
      </c>
      <c r="R278" s="41">
        <f t="shared" si="9"/>
        <v>46451</v>
      </c>
    </row>
    <row r="279" spans="1:18" ht="15" customHeight="1" x14ac:dyDescent="0.3">
      <c r="A279" s="25">
        <v>16755</v>
      </c>
      <c r="B279" s="25" t="s">
        <v>481</v>
      </c>
      <c r="C279" s="25" t="s">
        <v>85</v>
      </c>
      <c r="D279" s="25" t="s">
        <v>22</v>
      </c>
      <c r="E279" s="25">
        <v>66001</v>
      </c>
      <c r="F279" s="25" t="s">
        <v>754</v>
      </c>
      <c r="G279" s="25">
        <v>1</v>
      </c>
      <c r="H279" s="25" t="s">
        <v>386</v>
      </c>
      <c r="I279" s="25" t="s">
        <v>65</v>
      </c>
      <c r="J279" s="25" t="s">
        <v>66</v>
      </c>
      <c r="K279" s="38">
        <v>45985.543055555558</v>
      </c>
      <c r="L279" s="25" t="s">
        <v>67</v>
      </c>
      <c r="M279" s="25" t="str">
        <f>VLOOKUP(E279,[1]TIPOLOGIAS!$A:$G,5,0)</f>
        <v>PRINCIPAL</v>
      </c>
      <c r="N279" s="25" t="str">
        <f>VLOOKUP(E279,[1]TIPOLOGIAS!$A:$G,4,0)</f>
        <v>PEREIRA</v>
      </c>
      <c r="O279" s="25" t="str">
        <f>VLOOKUP(N279,'BASE TARIFA 2025'!E:F,2,0)</f>
        <v>WOMPI EJE CAFETERO</v>
      </c>
      <c r="P279" s="40">
        <f>VLOOKUP(M279,'BASE TARIFA 2025'!A:C,3,0)</f>
        <v>46451</v>
      </c>
      <c r="Q279" s="26" t="str">
        <f t="shared" si="8"/>
        <v>100%</v>
      </c>
      <c r="R279" s="41">
        <f t="shared" si="9"/>
        <v>46451</v>
      </c>
    </row>
    <row r="280" spans="1:18" ht="15" customHeight="1" x14ac:dyDescent="0.3">
      <c r="A280" s="25">
        <v>62916</v>
      </c>
      <c r="B280" s="25" t="s">
        <v>476</v>
      </c>
      <c r="C280" s="25" t="s">
        <v>75</v>
      </c>
      <c r="D280" s="25" t="s">
        <v>76</v>
      </c>
      <c r="E280" s="25">
        <v>73001</v>
      </c>
      <c r="F280" s="25" t="s">
        <v>755</v>
      </c>
      <c r="G280" s="25">
        <v>1</v>
      </c>
      <c r="H280" s="25" t="s">
        <v>387</v>
      </c>
      <c r="I280" s="25" t="s">
        <v>65</v>
      </c>
      <c r="J280" s="25" t="s">
        <v>66</v>
      </c>
      <c r="K280" s="38">
        <v>45967.59375</v>
      </c>
      <c r="L280" s="25" t="s">
        <v>69</v>
      </c>
      <c r="M280" s="25" t="str">
        <f>VLOOKUP(E280,[1]TIPOLOGIAS!$A:$G,5,0)</f>
        <v>PRINCIPAL</v>
      </c>
      <c r="N280" s="25" t="str">
        <f>VLOOKUP(E280,[1]TIPOLOGIAS!$A:$G,4,0)</f>
        <v>IBAGUE</v>
      </c>
      <c r="O280" s="25" t="str">
        <f>VLOOKUP(N280,'BASE TARIFA 2025'!E:F,2,0)</f>
        <v>WOMPI ORIENTE</v>
      </c>
      <c r="P280" s="40">
        <f>VLOOKUP(M280,'BASE TARIFA 2025'!A:C,3,0)</f>
        <v>46451</v>
      </c>
      <c r="Q280" s="26" t="str">
        <f t="shared" si="8"/>
        <v>75%</v>
      </c>
      <c r="R280" s="41">
        <f t="shared" si="9"/>
        <v>34838.25</v>
      </c>
    </row>
    <row r="281" spans="1:18" ht="15" customHeight="1" x14ac:dyDescent="0.3">
      <c r="A281" s="25">
        <v>79749</v>
      </c>
      <c r="B281" s="25" t="s">
        <v>470</v>
      </c>
      <c r="C281" s="25" t="s">
        <v>63</v>
      </c>
      <c r="D281" s="25" t="s">
        <v>64</v>
      </c>
      <c r="E281" s="25">
        <v>11001</v>
      </c>
      <c r="F281" s="25" t="s">
        <v>756</v>
      </c>
      <c r="G281" s="25">
        <v>1</v>
      </c>
      <c r="H281" s="25" t="s">
        <v>388</v>
      </c>
      <c r="I281" s="25" t="s">
        <v>65</v>
      </c>
      <c r="J281" s="25" t="s">
        <v>66</v>
      </c>
      <c r="K281" s="38">
        <v>45965.576388888891</v>
      </c>
      <c r="L281" s="25" t="s">
        <v>69</v>
      </c>
      <c r="M281" s="25" t="str">
        <f>VLOOKUP(E281,[1]TIPOLOGIAS!$A:$G,5,0)</f>
        <v>PRINCIPAL</v>
      </c>
      <c r="N281" s="25" t="str">
        <f>VLOOKUP(E281,[1]TIPOLOGIAS!$A:$G,4,0)</f>
        <v>BOGOTA</v>
      </c>
      <c r="O281" s="25" t="str">
        <f>VLOOKUP(N281,'BASE TARIFA 2025'!E:F,2,0)</f>
        <v>WOMPI CENTRO</v>
      </c>
      <c r="P281" s="40">
        <f>VLOOKUP(M281,'BASE TARIFA 2025'!A:C,3,0)</f>
        <v>46451</v>
      </c>
      <c r="Q281" s="26" t="str">
        <f t="shared" si="8"/>
        <v>75%</v>
      </c>
      <c r="R281" s="41">
        <f t="shared" si="9"/>
        <v>34838.25</v>
      </c>
    </row>
    <row r="282" spans="1:18" ht="15" customHeight="1" x14ac:dyDescent="0.3">
      <c r="A282" s="25">
        <v>80980</v>
      </c>
      <c r="B282" s="25" t="s">
        <v>476</v>
      </c>
      <c r="C282" s="25" t="s">
        <v>70</v>
      </c>
      <c r="D282" s="25" t="s">
        <v>96</v>
      </c>
      <c r="E282" s="25">
        <v>54874</v>
      </c>
      <c r="F282" s="25" t="s">
        <v>757</v>
      </c>
      <c r="G282" s="25">
        <v>1</v>
      </c>
      <c r="H282" s="25" t="s">
        <v>389</v>
      </c>
      <c r="I282" s="25" t="s">
        <v>65</v>
      </c>
      <c r="J282" s="25" t="s">
        <v>66</v>
      </c>
      <c r="K282" s="38">
        <v>45966.697916666664</v>
      </c>
      <c r="L282" s="25" t="s">
        <v>69</v>
      </c>
      <c r="M282" s="25" t="str">
        <f>VLOOKUP(E282,[1]TIPOLOGIAS!$A:$G,5,0)</f>
        <v>PRINCIPAL</v>
      </c>
      <c r="N282" s="25" t="str">
        <f>VLOOKUP(E282,[1]TIPOLOGIAS!$A:$G,4,0)</f>
        <v>CUCUTA</v>
      </c>
      <c r="O282" s="25" t="str">
        <f>VLOOKUP(N282,'BASE TARIFA 2025'!E:F,2,0)</f>
        <v>WOMPI SANTANDERES</v>
      </c>
      <c r="P282" s="40">
        <f>VLOOKUP(M282,'BASE TARIFA 2025'!A:C,3,0)</f>
        <v>46451</v>
      </c>
      <c r="Q282" s="26" t="str">
        <f t="shared" si="8"/>
        <v>75%</v>
      </c>
      <c r="R282" s="41">
        <f t="shared" si="9"/>
        <v>34838.25</v>
      </c>
    </row>
    <row r="283" spans="1:18" ht="15" customHeight="1" x14ac:dyDescent="0.3">
      <c r="A283" s="25">
        <v>69325</v>
      </c>
      <c r="B283" s="25" t="s">
        <v>481</v>
      </c>
      <c r="C283" s="25" t="s">
        <v>95</v>
      </c>
      <c r="D283" s="25" t="s">
        <v>40</v>
      </c>
      <c r="E283" s="25">
        <v>52001</v>
      </c>
      <c r="F283" s="25" t="s">
        <v>758</v>
      </c>
      <c r="G283" s="25">
        <v>1</v>
      </c>
      <c r="H283" s="25" t="s">
        <v>390</v>
      </c>
      <c r="I283" s="25" t="s">
        <v>65</v>
      </c>
      <c r="J283" s="25" t="s">
        <v>66</v>
      </c>
      <c r="K283" s="38">
        <v>45969.51666666667</v>
      </c>
      <c r="L283" s="25" t="s">
        <v>69</v>
      </c>
      <c r="M283" s="25" t="str">
        <f>VLOOKUP(E283,[1]TIPOLOGIAS!$A:$G,5,0)</f>
        <v>PRINCIPAL</v>
      </c>
      <c r="N283" s="25" t="str">
        <f>VLOOKUP(E283,[1]TIPOLOGIAS!$A:$G,4,0)</f>
        <v>PASTO</v>
      </c>
      <c r="O283" s="25" t="str">
        <f>VLOOKUP(N283,'BASE TARIFA 2025'!E:F,2,0)</f>
        <v>WOMPI SUROCCIDENTE</v>
      </c>
      <c r="P283" s="40">
        <f>VLOOKUP(M283,'BASE TARIFA 2025'!A:C,3,0)</f>
        <v>46451</v>
      </c>
      <c r="Q283" s="26" t="str">
        <f t="shared" si="8"/>
        <v>75%</v>
      </c>
      <c r="R283" s="41">
        <f t="shared" si="9"/>
        <v>34838.25</v>
      </c>
    </row>
    <row r="284" spans="1:18" ht="15" customHeight="1" x14ac:dyDescent="0.3">
      <c r="A284" s="25">
        <v>80007</v>
      </c>
      <c r="B284" s="25" t="s">
        <v>481</v>
      </c>
      <c r="C284" s="25" t="s">
        <v>85</v>
      </c>
      <c r="D284" s="25" t="s">
        <v>87</v>
      </c>
      <c r="E284" s="25">
        <v>66170</v>
      </c>
      <c r="F284" s="25" t="s">
        <v>759</v>
      </c>
      <c r="G284" s="25">
        <v>1</v>
      </c>
      <c r="H284" s="25" t="s">
        <v>391</v>
      </c>
      <c r="I284" s="25" t="s">
        <v>65</v>
      </c>
      <c r="J284" s="25" t="s">
        <v>66</v>
      </c>
      <c r="K284" s="38">
        <v>45965.669444444444</v>
      </c>
      <c r="L284" s="25" t="s">
        <v>69</v>
      </c>
      <c r="M284" s="25" t="str">
        <f>VLOOKUP(E284,[1]TIPOLOGIAS!$A:$G,5,0)</f>
        <v>PRINCIPAL</v>
      </c>
      <c r="N284" s="25" t="str">
        <f>VLOOKUP(E284,[1]TIPOLOGIAS!$A:$G,4,0)</f>
        <v>PEREIRA</v>
      </c>
      <c r="O284" s="25" t="str">
        <f>VLOOKUP(N284,'BASE TARIFA 2025'!E:F,2,0)</f>
        <v>WOMPI EJE CAFETERO</v>
      </c>
      <c r="P284" s="40">
        <f>VLOOKUP(M284,'BASE TARIFA 2025'!A:C,3,0)</f>
        <v>46451</v>
      </c>
      <c r="Q284" s="26" t="str">
        <f t="shared" si="8"/>
        <v>75%</v>
      </c>
      <c r="R284" s="41">
        <f t="shared" si="9"/>
        <v>34838.25</v>
      </c>
    </row>
    <row r="285" spans="1:18" ht="15" customHeight="1" x14ac:dyDescent="0.3">
      <c r="A285" s="25">
        <v>32414</v>
      </c>
      <c r="B285" s="25" t="s">
        <v>481</v>
      </c>
      <c r="C285" s="25" t="s">
        <v>85</v>
      </c>
      <c r="D285" s="25" t="s">
        <v>87</v>
      </c>
      <c r="E285" s="25">
        <v>66170</v>
      </c>
      <c r="F285" s="25" t="s">
        <v>760</v>
      </c>
      <c r="G285" s="25">
        <v>2</v>
      </c>
      <c r="H285" s="25" t="s">
        <v>392</v>
      </c>
      <c r="I285" s="25" t="s">
        <v>65</v>
      </c>
      <c r="J285" s="25" t="s">
        <v>66</v>
      </c>
      <c r="K285" s="38">
        <v>45975.500694444447</v>
      </c>
      <c r="L285" s="25" t="s">
        <v>69</v>
      </c>
      <c r="M285" s="25" t="str">
        <f>VLOOKUP(E285,[1]TIPOLOGIAS!$A:$G,5,0)</f>
        <v>PRINCIPAL</v>
      </c>
      <c r="N285" s="25" t="str">
        <f>VLOOKUP(E285,[1]TIPOLOGIAS!$A:$G,4,0)</f>
        <v>PEREIRA</v>
      </c>
      <c r="O285" s="25" t="str">
        <f>VLOOKUP(N285,'BASE TARIFA 2025'!E:F,2,0)</f>
        <v>WOMPI EJE CAFETERO</v>
      </c>
      <c r="P285" s="40">
        <f>VLOOKUP(M285,'BASE TARIFA 2025'!A:C,3,0)</f>
        <v>46451</v>
      </c>
      <c r="Q285" s="26" t="str">
        <f t="shared" si="8"/>
        <v>75%</v>
      </c>
      <c r="R285" s="41">
        <f t="shared" si="9"/>
        <v>69676.5</v>
      </c>
    </row>
    <row r="286" spans="1:18" ht="15" customHeight="1" x14ac:dyDescent="0.3">
      <c r="A286" s="25">
        <v>34301</v>
      </c>
      <c r="B286" s="25" t="s">
        <v>481</v>
      </c>
      <c r="C286" s="25" t="s">
        <v>85</v>
      </c>
      <c r="D286" s="25" t="s">
        <v>22</v>
      </c>
      <c r="E286" s="25">
        <v>66001</v>
      </c>
      <c r="F286" s="25" t="s">
        <v>761</v>
      </c>
      <c r="G286" s="25">
        <v>1</v>
      </c>
      <c r="H286" s="25" t="s">
        <v>393</v>
      </c>
      <c r="I286" s="25" t="s">
        <v>65</v>
      </c>
      <c r="J286" s="25" t="s">
        <v>66</v>
      </c>
      <c r="K286" s="38">
        <v>45975.631944444445</v>
      </c>
      <c r="L286" s="25" t="s">
        <v>69</v>
      </c>
      <c r="M286" s="25" t="str">
        <f>VLOOKUP(E286,[1]TIPOLOGIAS!$A:$G,5,0)</f>
        <v>PRINCIPAL</v>
      </c>
      <c r="N286" s="25" t="str">
        <f>VLOOKUP(E286,[1]TIPOLOGIAS!$A:$G,4,0)</f>
        <v>PEREIRA</v>
      </c>
      <c r="O286" s="25" t="str">
        <f>VLOOKUP(N286,'BASE TARIFA 2025'!E:F,2,0)</f>
        <v>WOMPI EJE CAFETERO</v>
      </c>
      <c r="P286" s="40">
        <f>VLOOKUP(M286,'BASE TARIFA 2025'!A:C,3,0)</f>
        <v>46451</v>
      </c>
      <c r="Q286" s="26" t="str">
        <f t="shared" si="8"/>
        <v>75%</v>
      </c>
      <c r="R286" s="41">
        <f t="shared" si="9"/>
        <v>34838.25</v>
      </c>
    </row>
    <row r="287" spans="1:18" ht="15" customHeight="1" x14ac:dyDescent="0.3">
      <c r="A287" s="25">
        <v>51465</v>
      </c>
      <c r="B287" s="25" t="s">
        <v>476</v>
      </c>
      <c r="C287" s="25" t="s">
        <v>84</v>
      </c>
      <c r="D287" s="25" t="s">
        <v>34</v>
      </c>
      <c r="E287" s="25">
        <v>50001</v>
      </c>
      <c r="F287" s="25" t="s">
        <v>762</v>
      </c>
      <c r="G287" s="25">
        <v>1</v>
      </c>
      <c r="H287" s="25" t="s">
        <v>394</v>
      </c>
      <c r="I287" s="25" t="s">
        <v>65</v>
      </c>
      <c r="J287" s="25" t="s">
        <v>66</v>
      </c>
      <c r="K287" s="38">
        <v>45974.534722222219</v>
      </c>
      <c r="L287" s="25" t="s">
        <v>69</v>
      </c>
      <c r="M287" s="25" t="str">
        <f>VLOOKUP(E287,[1]TIPOLOGIAS!$A:$G,5,0)</f>
        <v>PRINCIPAL</v>
      </c>
      <c r="N287" s="25" t="str">
        <f>VLOOKUP(E287,[1]TIPOLOGIAS!$A:$G,4,0)</f>
        <v>VILLAVICENCIO</v>
      </c>
      <c r="O287" s="25" t="str">
        <f>VLOOKUP(N287,'BASE TARIFA 2025'!E:F,2,0)</f>
        <v>WOMPI ORIENTE</v>
      </c>
      <c r="P287" s="40">
        <f>VLOOKUP(M287,'BASE TARIFA 2025'!A:C,3,0)</f>
        <v>46451</v>
      </c>
      <c r="Q287" s="26" t="str">
        <f t="shared" si="8"/>
        <v>75%</v>
      </c>
      <c r="R287" s="41">
        <f t="shared" si="9"/>
        <v>34838.25</v>
      </c>
    </row>
    <row r="288" spans="1:18" ht="15" customHeight="1" x14ac:dyDescent="0.3">
      <c r="A288" s="25">
        <v>55066</v>
      </c>
      <c r="B288" s="25" t="s">
        <v>476</v>
      </c>
      <c r="C288" s="25" t="s">
        <v>75</v>
      </c>
      <c r="D288" s="25" t="s">
        <v>76</v>
      </c>
      <c r="E288" s="25">
        <v>73001</v>
      </c>
      <c r="F288" s="25" t="s">
        <v>763</v>
      </c>
      <c r="G288" s="25">
        <v>1</v>
      </c>
      <c r="H288" s="25" t="s">
        <v>395</v>
      </c>
      <c r="I288" s="25" t="s">
        <v>65</v>
      </c>
      <c r="J288" s="25" t="s">
        <v>66</v>
      </c>
      <c r="K288" s="38">
        <v>45974.46597222222</v>
      </c>
      <c r="L288" s="25" t="s">
        <v>69</v>
      </c>
      <c r="M288" s="25" t="str">
        <f>VLOOKUP(E288,[1]TIPOLOGIAS!$A:$G,5,0)</f>
        <v>PRINCIPAL</v>
      </c>
      <c r="N288" s="25" t="str">
        <f>VLOOKUP(E288,[1]TIPOLOGIAS!$A:$G,4,0)</f>
        <v>IBAGUE</v>
      </c>
      <c r="O288" s="25" t="str">
        <f>VLOOKUP(N288,'BASE TARIFA 2025'!E:F,2,0)</f>
        <v>WOMPI ORIENTE</v>
      </c>
      <c r="P288" s="40">
        <f>VLOOKUP(M288,'BASE TARIFA 2025'!A:C,3,0)</f>
        <v>46451</v>
      </c>
      <c r="Q288" s="26" t="str">
        <f t="shared" si="8"/>
        <v>75%</v>
      </c>
      <c r="R288" s="41">
        <f t="shared" si="9"/>
        <v>34838.25</v>
      </c>
    </row>
    <row r="289" spans="1:18" ht="15" customHeight="1" x14ac:dyDescent="0.3">
      <c r="A289" s="25">
        <v>61689</v>
      </c>
      <c r="B289" s="25" t="s">
        <v>476</v>
      </c>
      <c r="C289" s="25" t="s">
        <v>83</v>
      </c>
      <c r="D289" s="25" t="s">
        <v>44</v>
      </c>
      <c r="E289" s="25">
        <v>85001</v>
      </c>
      <c r="F289" s="25" t="s">
        <v>764</v>
      </c>
      <c r="G289" s="25">
        <v>1</v>
      </c>
      <c r="H289" s="25" t="s">
        <v>396</v>
      </c>
      <c r="I289" s="25" t="s">
        <v>65</v>
      </c>
      <c r="J289" s="25" t="s">
        <v>66</v>
      </c>
      <c r="K289" s="38">
        <v>45979.482638888891</v>
      </c>
      <c r="L289" s="25" t="s">
        <v>69</v>
      </c>
      <c r="M289" s="25" t="str">
        <f>VLOOKUP(E289,[1]TIPOLOGIAS!$A:$G,5,0)</f>
        <v>PRINCIPAL</v>
      </c>
      <c r="N289" s="25" t="str">
        <f>VLOOKUP(E289,[1]TIPOLOGIAS!$A:$G,4,0)</f>
        <v>YOPAL</v>
      </c>
      <c r="O289" s="25" t="str">
        <f>VLOOKUP(N289,'BASE TARIFA 2025'!E:F,2,0)</f>
        <v>WOMPI ORIENTE</v>
      </c>
      <c r="P289" s="40">
        <f>VLOOKUP(M289,'BASE TARIFA 2025'!A:C,3,0)</f>
        <v>46451</v>
      </c>
      <c r="Q289" s="26" t="str">
        <f t="shared" si="8"/>
        <v>75%</v>
      </c>
      <c r="R289" s="41">
        <f t="shared" si="9"/>
        <v>34838.25</v>
      </c>
    </row>
    <row r="290" spans="1:18" ht="15" customHeight="1" x14ac:dyDescent="0.3">
      <c r="A290" s="25">
        <v>68257</v>
      </c>
      <c r="B290" s="25" t="s">
        <v>90</v>
      </c>
      <c r="C290" s="25" t="s">
        <v>90</v>
      </c>
      <c r="D290" s="25" t="s">
        <v>92</v>
      </c>
      <c r="E290" s="25">
        <v>5088</v>
      </c>
      <c r="F290" s="25" t="s">
        <v>765</v>
      </c>
      <c r="G290" s="25">
        <v>1</v>
      </c>
      <c r="H290" s="25" t="s">
        <v>397</v>
      </c>
      <c r="I290" s="25" t="s">
        <v>65</v>
      </c>
      <c r="J290" s="25" t="s">
        <v>66</v>
      </c>
      <c r="K290" s="38">
        <v>45974.589583333334</v>
      </c>
      <c r="L290" s="25" t="s">
        <v>69</v>
      </c>
      <c r="M290" s="25" t="str">
        <f>VLOOKUP(E290,[1]TIPOLOGIAS!$A:$G,5,0)</f>
        <v>PRINCIPAL</v>
      </c>
      <c r="N290" s="25" t="str">
        <f>VLOOKUP(E290,[1]TIPOLOGIAS!$A:$G,4,0)</f>
        <v>MEDELLIN</v>
      </c>
      <c r="O290" s="25" t="str">
        <f>VLOOKUP(N290,'BASE TARIFA 2025'!E:F,2,0)</f>
        <v>WOMPI NOROCCIDENTE</v>
      </c>
      <c r="P290" s="40">
        <f>VLOOKUP(M290,'BASE TARIFA 2025'!A:C,3,0)</f>
        <v>46451</v>
      </c>
      <c r="Q290" s="26" t="str">
        <f t="shared" si="8"/>
        <v>75%</v>
      </c>
      <c r="R290" s="41">
        <f t="shared" si="9"/>
        <v>34838.25</v>
      </c>
    </row>
    <row r="291" spans="1:18" ht="15" customHeight="1" x14ac:dyDescent="0.3">
      <c r="A291" s="25">
        <v>76748</v>
      </c>
      <c r="B291" s="25" t="s">
        <v>491</v>
      </c>
      <c r="C291" s="25" t="s">
        <v>93</v>
      </c>
      <c r="D291" s="25" t="s">
        <v>42</v>
      </c>
      <c r="E291" s="25">
        <v>70001</v>
      </c>
      <c r="F291" s="25" t="s">
        <v>766</v>
      </c>
      <c r="G291" s="25">
        <v>2</v>
      </c>
      <c r="H291" s="25" t="s">
        <v>398</v>
      </c>
      <c r="I291" s="25" t="s">
        <v>65</v>
      </c>
      <c r="J291" s="25" t="s">
        <v>66</v>
      </c>
      <c r="K291" s="38">
        <v>45974.559027777781</v>
      </c>
      <c r="L291" s="25" t="s">
        <v>69</v>
      </c>
      <c r="M291" s="25" t="str">
        <f>VLOOKUP(E291,[1]TIPOLOGIAS!$A:$G,5,0)</f>
        <v>PRINCIPAL</v>
      </c>
      <c r="N291" s="25" t="str">
        <f>VLOOKUP(E291,[1]TIPOLOGIAS!$A:$G,4,0)</f>
        <v>SINCELEJO</v>
      </c>
      <c r="O291" s="25" t="str">
        <f>VLOOKUP(N291,'BASE TARIFA 2025'!E:F,2,0)</f>
        <v>WOMPI COSTA</v>
      </c>
      <c r="P291" s="40">
        <f>VLOOKUP(M291,'BASE TARIFA 2025'!A:C,3,0)</f>
        <v>46451</v>
      </c>
      <c r="Q291" s="26" t="str">
        <f t="shared" si="8"/>
        <v>75%</v>
      </c>
      <c r="R291" s="41">
        <f t="shared" si="9"/>
        <v>69676.5</v>
      </c>
    </row>
    <row r="292" spans="1:18" ht="15" customHeight="1" x14ac:dyDescent="0.3">
      <c r="A292" s="25">
        <v>13893</v>
      </c>
      <c r="B292" s="25" t="s">
        <v>90</v>
      </c>
      <c r="C292" s="25" t="s">
        <v>90</v>
      </c>
      <c r="D292" s="25" t="s">
        <v>91</v>
      </c>
      <c r="E292" s="25">
        <v>5001</v>
      </c>
      <c r="F292" s="25" t="s">
        <v>767</v>
      </c>
      <c r="G292" s="25">
        <v>2</v>
      </c>
      <c r="H292" s="25" t="s">
        <v>399</v>
      </c>
      <c r="I292" s="25" t="s">
        <v>65</v>
      </c>
      <c r="J292" s="25" t="s">
        <v>66</v>
      </c>
      <c r="K292" s="38">
        <v>45983.438888888886</v>
      </c>
      <c r="L292" s="25" t="s">
        <v>69</v>
      </c>
      <c r="M292" s="25" t="str">
        <f>VLOOKUP(E292,[1]TIPOLOGIAS!$A:$G,5,0)</f>
        <v>PRINCIPAL</v>
      </c>
      <c r="N292" s="25" t="str">
        <f>VLOOKUP(E292,[1]TIPOLOGIAS!$A:$G,4,0)</f>
        <v>MEDELLIN</v>
      </c>
      <c r="O292" s="25" t="str">
        <f>VLOOKUP(N292,'BASE TARIFA 2025'!E:F,2,0)</f>
        <v>WOMPI NOROCCIDENTE</v>
      </c>
      <c r="P292" s="40">
        <f>VLOOKUP(M292,'BASE TARIFA 2025'!A:C,3,0)</f>
        <v>46451</v>
      </c>
      <c r="Q292" s="26" t="str">
        <f t="shared" si="8"/>
        <v>75%</v>
      </c>
      <c r="R292" s="41">
        <f t="shared" si="9"/>
        <v>69676.5</v>
      </c>
    </row>
    <row r="293" spans="1:18" ht="15" customHeight="1" x14ac:dyDescent="0.3">
      <c r="A293" s="25">
        <v>17219</v>
      </c>
      <c r="B293" s="25" t="s">
        <v>476</v>
      </c>
      <c r="C293" s="25" t="s">
        <v>77</v>
      </c>
      <c r="D293" s="25" t="s">
        <v>26</v>
      </c>
      <c r="E293" s="25">
        <v>68001</v>
      </c>
      <c r="F293" s="25" t="s">
        <v>768</v>
      </c>
      <c r="G293" s="25">
        <v>2</v>
      </c>
      <c r="H293" s="25" t="s">
        <v>400</v>
      </c>
      <c r="I293" s="25" t="s">
        <v>65</v>
      </c>
      <c r="J293" s="25" t="s">
        <v>66</v>
      </c>
      <c r="K293" s="38">
        <v>45985.404861111114</v>
      </c>
      <c r="L293" s="25" t="s">
        <v>69</v>
      </c>
      <c r="M293" s="25" t="str">
        <f>VLOOKUP(E293,[1]TIPOLOGIAS!$A:$G,5,0)</f>
        <v>PRINCIPAL</v>
      </c>
      <c r="N293" s="25" t="str">
        <f>VLOOKUP(E293,[1]TIPOLOGIAS!$A:$G,4,0)</f>
        <v>BUCARAMANGA</v>
      </c>
      <c r="O293" s="25" t="str">
        <f>VLOOKUP(N293,'BASE TARIFA 2025'!E:F,2,0)</f>
        <v>WOMPI SANTANDERES</v>
      </c>
      <c r="P293" s="40">
        <f>VLOOKUP(M293,'BASE TARIFA 2025'!A:C,3,0)</f>
        <v>46451</v>
      </c>
      <c r="Q293" s="26" t="str">
        <f t="shared" si="8"/>
        <v>75%</v>
      </c>
      <c r="R293" s="41">
        <f t="shared" si="9"/>
        <v>69676.5</v>
      </c>
    </row>
    <row r="294" spans="1:18" ht="15" customHeight="1" x14ac:dyDescent="0.3">
      <c r="A294" s="25">
        <v>18093</v>
      </c>
      <c r="B294" s="25" t="s">
        <v>90</v>
      </c>
      <c r="C294" s="25" t="s">
        <v>90</v>
      </c>
      <c r="D294" s="25" t="s">
        <v>102</v>
      </c>
      <c r="E294" s="25">
        <v>5212</v>
      </c>
      <c r="F294" s="25" t="s">
        <v>769</v>
      </c>
      <c r="G294" s="25">
        <v>2</v>
      </c>
      <c r="H294" s="25" t="s">
        <v>401</v>
      </c>
      <c r="I294" s="25" t="s">
        <v>65</v>
      </c>
      <c r="J294" s="25" t="s">
        <v>66</v>
      </c>
      <c r="K294" s="38">
        <v>45983.4375</v>
      </c>
      <c r="L294" s="25" t="s">
        <v>69</v>
      </c>
      <c r="M294" s="25" t="str">
        <f>VLOOKUP(E294,[1]TIPOLOGIAS!$A:$G,5,0)</f>
        <v>PRINCIPAL</v>
      </c>
      <c r="N294" s="25" t="str">
        <f>VLOOKUP(E294,[1]TIPOLOGIAS!$A:$G,4,0)</f>
        <v>MEDELLIN</v>
      </c>
      <c r="O294" s="25" t="str">
        <f>VLOOKUP(N294,'BASE TARIFA 2025'!E:F,2,0)</f>
        <v>WOMPI NOROCCIDENTE</v>
      </c>
      <c r="P294" s="40">
        <f>VLOOKUP(M294,'BASE TARIFA 2025'!A:C,3,0)</f>
        <v>46451</v>
      </c>
      <c r="Q294" s="26" t="str">
        <f t="shared" si="8"/>
        <v>75%</v>
      </c>
      <c r="R294" s="41">
        <f t="shared" si="9"/>
        <v>69676.5</v>
      </c>
    </row>
    <row r="295" spans="1:18" ht="15" customHeight="1" x14ac:dyDescent="0.3">
      <c r="A295" s="25">
        <v>20503</v>
      </c>
      <c r="B295" s="25" t="s">
        <v>90</v>
      </c>
      <c r="C295" s="25" t="s">
        <v>90</v>
      </c>
      <c r="D295" s="25" t="s">
        <v>91</v>
      </c>
      <c r="E295" s="25">
        <v>5001</v>
      </c>
      <c r="F295" s="25" t="s">
        <v>770</v>
      </c>
      <c r="G295" s="25">
        <v>2</v>
      </c>
      <c r="H295" s="25" t="s">
        <v>402</v>
      </c>
      <c r="I295" s="25" t="s">
        <v>65</v>
      </c>
      <c r="J295" s="25" t="s">
        <v>66</v>
      </c>
      <c r="K295" s="38">
        <v>45982.557638888888</v>
      </c>
      <c r="L295" s="25" t="s">
        <v>69</v>
      </c>
      <c r="M295" s="25" t="str">
        <f>VLOOKUP(E295,[1]TIPOLOGIAS!$A:$G,5,0)</f>
        <v>PRINCIPAL</v>
      </c>
      <c r="N295" s="25" t="str">
        <f>VLOOKUP(E295,[1]TIPOLOGIAS!$A:$G,4,0)</f>
        <v>MEDELLIN</v>
      </c>
      <c r="O295" s="25" t="str">
        <f>VLOOKUP(N295,'BASE TARIFA 2025'!E:F,2,0)</f>
        <v>WOMPI NOROCCIDENTE</v>
      </c>
      <c r="P295" s="40">
        <f>VLOOKUP(M295,'BASE TARIFA 2025'!A:C,3,0)</f>
        <v>46451</v>
      </c>
      <c r="Q295" s="26" t="str">
        <f t="shared" si="8"/>
        <v>75%</v>
      </c>
      <c r="R295" s="41">
        <f t="shared" si="9"/>
        <v>69676.5</v>
      </c>
    </row>
    <row r="296" spans="1:18" ht="15" customHeight="1" x14ac:dyDescent="0.3">
      <c r="A296" s="25">
        <v>20635</v>
      </c>
      <c r="B296" s="25" t="s">
        <v>470</v>
      </c>
      <c r="C296" s="25" t="s">
        <v>63</v>
      </c>
      <c r="D296" s="25" t="s">
        <v>64</v>
      </c>
      <c r="E296" s="25">
        <v>11001</v>
      </c>
      <c r="F296" s="25" t="s">
        <v>771</v>
      </c>
      <c r="G296" s="25">
        <v>2</v>
      </c>
      <c r="H296" s="25" t="s">
        <v>403</v>
      </c>
      <c r="I296" s="25" t="s">
        <v>65</v>
      </c>
      <c r="J296" s="25" t="s">
        <v>66</v>
      </c>
      <c r="K296" s="38">
        <v>45985.534722222219</v>
      </c>
      <c r="L296" s="25" t="s">
        <v>69</v>
      </c>
      <c r="M296" s="25" t="str">
        <f>VLOOKUP(E296,[1]TIPOLOGIAS!$A:$G,5,0)</f>
        <v>PRINCIPAL</v>
      </c>
      <c r="N296" s="25" t="str">
        <f>VLOOKUP(E296,[1]TIPOLOGIAS!$A:$G,4,0)</f>
        <v>BOGOTA</v>
      </c>
      <c r="O296" s="25" t="str">
        <f>VLOOKUP(N296,'BASE TARIFA 2025'!E:F,2,0)</f>
        <v>WOMPI CENTRO</v>
      </c>
      <c r="P296" s="40">
        <f>VLOOKUP(M296,'BASE TARIFA 2025'!A:C,3,0)</f>
        <v>46451</v>
      </c>
      <c r="Q296" s="26" t="str">
        <f t="shared" si="8"/>
        <v>75%</v>
      </c>
      <c r="R296" s="41">
        <f t="shared" si="9"/>
        <v>69676.5</v>
      </c>
    </row>
    <row r="297" spans="1:18" ht="15" customHeight="1" x14ac:dyDescent="0.3">
      <c r="A297" s="25">
        <v>21681</v>
      </c>
      <c r="B297" s="25" t="s">
        <v>90</v>
      </c>
      <c r="C297" s="25" t="s">
        <v>90</v>
      </c>
      <c r="D297" s="25" t="s">
        <v>91</v>
      </c>
      <c r="E297" s="25">
        <v>5001</v>
      </c>
      <c r="F297" s="25" t="s">
        <v>772</v>
      </c>
      <c r="G297" s="25">
        <v>3</v>
      </c>
      <c r="H297" s="25" t="s">
        <v>404</v>
      </c>
      <c r="I297" s="25" t="s">
        <v>65</v>
      </c>
      <c r="J297" s="25" t="s">
        <v>66</v>
      </c>
      <c r="K297" s="38">
        <v>45983.543055555558</v>
      </c>
      <c r="L297" s="25" t="s">
        <v>69</v>
      </c>
      <c r="M297" s="25" t="str">
        <f>VLOOKUP(E297,[1]TIPOLOGIAS!$A:$G,5,0)</f>
        <v>PRINCIPAL</v>
      </c>
      <c r="N297" s="25" t="str">
        <f>VLOOKUP(E297,[1]TIPOLOGIAS!$A:$G,4,0)</f>
        <v>MEDELLIN</v>
      </c>
      <c r="O297" s="25" t="str">
        <f>VLOOKUP(N297,'BASE TARIFA 2025'!E:F,2,0)</f>
        <v>WOMPI NOROCCIDENTE</v>
      </c>
      <c r="P297" s="40">
        <f>VLOOKUP(M297,'BASE TARIFA 2025'!A:C,3,0)</f>
        <v>46451</v>
      </c>
      <c r="Q297" s="26" t="str">
        <f t="shared" si="8"/>
        <v>75%</v>
      </c>
      <c r="R297" s="41">
        <f t="shared" si="9"/>
        <v>104514.75</v>
      </c>
    </row>
    <row r="298" spans="1:18" ht="15" customHeight="1" x14ac:dyDescent="0.3">
      <c r="A298" s="25">
        <v>26768</v>
      </c>
      <c r="B298" s="25" t="s">
        <v>470</v>
      </c>
      <c r="C298" s="25" t="s">
        <v>63</v>
      </c>
      <c r="D298" s="25" t="s">
        <v>64</v>
      </c>
      <c r="E298" s="25">
        <v>11001</v>
      </c>
      <c r="F298" s="25" t="s">
        <v>773</v>
      </c>
      <c r="G298" s="25">
        <v>3</v>
      </c>
      <c r="H298" s="25" t="s">
        <v>405</v>
      </c>
      <c r="I298" s="25" t="s">
        <v>65</v>
      </c>
      <c r="J298" s="25" t="s">
        <v>66</v>
      </c>
      <c r="K298" s="38">
        <v>45985.526388888888</v>
      </c>
      <c r="L298" s="25" t="s">
        <v>69</v>
      </c>
      <c r="M298" s="25" t="str">
        <f>VLOOKUP(E298,[1]TIPOLOGIAS!$A:$G,5,0)</f>
        <v>PRINCIPAL</v>
      </c>
      <c r="N298" s="25" t="str">
        <f>VLOOKUP(E298,[1]TIPOLOGIAS!$A:$G,4,0)</f>
        <v>BOGOTA</v>
      </c>
      <c r="O298" s="25" t="str">
        <f>VLOOKUP(N298,'BASE TARIFA 2025'!E:F,2,0)</f>
        <v>WOMPI CENTRO</v>
      </c>
      <c r="P298" s="40">
        <f>VLOOKUP(M298,'BASE TARIFA 2025'!A:C,3,0)</f>
        <v>46451</v>
      </c>
      <c r="Q298" s="26" t="str">
        <f t="shared" si="8"/>
        <v>75%</v>
      </c>
      <c r="R298" s="41">
        <f t="shared" si="9"/>
        <v>104514.75</v>
      </c>
    </row>
    <row r="299" spans="1:18" ht="15" customHeight="1" x14ac:dyDescent="0.3">
      <c r="A299" s="25">
        <v>26826</v>
      </c>
      <c r="B299" s="25" t="s">
        <v>481</v>
      </c>
      <c r="C299" s="25" t="s">
        <v>95</v>
      </c>
      <c r="D299" s="25" t="s">
        <v>40</v>
      </c>
      <c r="E299" s="25">
        <v>52001</v>
      </c>
      <c r="F299" s="25" t="s">
        <v>774</v>
      </c>
      <c r="G299" s="25">
        <v>2</v>
      </c>
      <c r="H299" s="25" t="s">
        <v>406</v>
      </c>
      <c r="I299" s="25" t="s">
        <v>65</v>
      </c>
      <c r="J299" s="25" t="s">
        <v>66</v>
      </c>
      <c r="K299" s="38">
        <v>45986.490277777775</v>
      </c>
      <c r="L299" s="25" t="s">
        <v>69</v>
      </c>
      <c r="M299" s="25" t="str">
        <f>VLOOKUP(E299,[1]TIPOLOGIAS!$A:$G,5,0)</f>
        <v>PRINCIPAL</v>
      </c>
      <c r="N299" s="25" t="str">
        <f>VLOOKUP(E299,[1]TIPOLOGIAS!$A:$G,4,0)</f>
        <v>PASTO</v>
      </c>
      <c r="O299" s="25" t="str">
        <f>VLOOKUP(N299,'BASE TARIFA 2025'!E:F,2,0)</f>
        <v>WOMPI SUROCCIDENTE</v>
      </c>
      <c r="P299" s="40">
        <f>VLOOKUP(M299,'BASE TARIFA 2025'!A:C,3,0)</f>
        <v>46451</v>
      </c>
      <c r="Q299" s="26" t="str">
        <f t="shared" si="8"/>
        <v>75%</v>
      </c>
      <c r="R299" s="41">
        <f t="shared" si="9"/>
        <v>69676.5</v>
      </c>
    </row>
    <row r="300" spans="1:18" ht="15" customHeight="1" x14ac:dyDescent="0.3">
      <c r="A300" s="25">
        <v>28697</v>
      </c>
      <c r="B300" s="25" t="s">
        <v>470</v>
      </c>
      <c r="C300" s="25" t="s">
        <v>63</v>
      </c>
      <c r="D300" s="25" t="s">
        <v>64</v>
      </c>
      <c r="E300" s="25">
        <v>11001</v>
      </c>
      <c r="F300" s="25" t="s">
        <v>775</v>
      </c>
      <c r="G300" s="25">
        <v>2</v>
      </c>
      <c r="H300" s="25" t="s">
        <v>407</v>
      </c>
      <c r="I300" s="25" t="s">
        <v>65</v>
      </c>
      <c r="J300" s="25" t="s">
        <v>66</v>
      </c>
      <c r="K300" s="38">
        <v>45985.54791666667</v>
      </c>
      <c r="L300" s="25" t="s">
        <v>69</v>
      </c>
      <c r="M300" s="25" t="str">
        <f>VLOOKUP(E300,[1]TIPOLOGIAS!$A:$G,5,0)</f>
        <v>PRINCIPAL</v>
      </c>
      <c r="N300" s="25" t="str">
        <f>VLOOKUP(E300,[1]TIPOLOGIAS!$A:$G,4,0)</f>
        <v>BOGOTA</v>
      </c>
      <c r="O300" s="25" t="str">
        <f>VLOOKUP(N300,'BASE TARIFA 2025'!E:F,2,0)</f>
        <v>WOMPI CENTRO</v>
      </c>
      <c r="P300" s="40">
        <f>VLOOKUP(M300,'BASE TARIFA 2025'!A:C,3,0)</f>
        <v>46451</v>
      </c>
      <c r="Q300" s="26" t="str">
        <f t="shared" si="8"/>
        <v>75%</v>
      </c>
      <c r="R300" s="41">
        <f t="shared" si="9"/>
        <v>69676.5</v>
      </c>
    </row>
    <row r="301" spans="1:18" ht="15" customHeight="1" x14ac:dyDescent="0.3">
      <c r="A301" s="25">
        <v>32044</v>
      </c>
      <c r="B301" s="25" t="s">
        <v>470</v>
      </c>
      <c r="C301" s="25" t="s">
        <v>63</v>
      </c>
      <c r="D301" s="25" t="s">
        <v>64</v>
      </c>
      <c r="E301" s="25">
        <v>11001</v>
      </c>
      <c r="F301" s="25" t="s">
        <v>776</v>
      </c>
      <c r="G301" s="25">
        <v>2</v>
      </c>
      <c r="H301" s="25" t="s">
        <v>408</v>
      </c>
      <c r="I301" s="25" t="s">
        <v>65</v>
      </c>
      <c r="J301" s="25" t="s">
        <v>66</v>
      </c>
      <c r="K301" s="38">
        <v>45985.700694444444</v>
      </c>
      <c r="L301" s="25" t="s">
        <v>69</v>
      </c>
      <c r="M301" s="25" t="str">
        <f>VLOOKUP(E301,[1]TIPOLOGIAS!$A:$G,5,0)</f>
        <v>PRINCIPAL</v>
      </c>
      <c r="N301" s="25" t="str">
        <f>VLOOKUP(E301,[1]TIPOLOGIAS!$A:$G,4,0)</f>
        <v>BOGOTA</v>
      </c>
      <c r="O301" s="25" t="str">
        <f>VLOOKUP(N301,'BASE TARIFA 2025'!E:F,2,0)</f>
        <v>WOMPI CENTRO</v>
      </c>
      <c r="P301" s="40">
        <f>VLOOKUP(M301,'BASE TARIFA 2025'!A:C,3,0)</f>
        <v>46451</v>
      </c>
      <c r="Q301" s="26" t="str">
        <f t="shared" si="8"/>
        <v>75%</v>
      </c>
      <c r="R301" s="41">
        <f t="shared" si="9"/>
        <v>69676.5</v>
      </c>
    </row>
    <row r="302" spans="1:18" ht="15" customHeight="1" x14ac:dyDescent="0.3">
      <c r="A302" s="25">
        <v>33764</v>
      </c>
      <c r="B302" s="25" t="s">
        <v>481</v>
      </c>
      <c r="C302" s="25" t="s">
        <v>82</v>
      </c>
      <c r="D302" s="25" t="s">
        <v>20</v>
      </c>
      <c r="E302" s="25">
        <v>76001</v>
      </c>
      <c r="F302" s="25" t="s">
        <v>777</v>
      </c>
      <c r="G302" s="25">
        <v>3</v>
      </c>
      <c r="H302" s="25" t="s">
        <v>409</v>
      </c>
      <c r="I302" s="25" t="s">
        <v>65</v>
      </c>
      <c r="J302" s="25" t="s">
        <v>66</v>
      </c>
      <c r="K302" s="38">
        <v>45985.406944444447</v>
      </c>
      <c r="L302" s="25" t="s">
        <v>69</v>
      </c>
      <c r="M302" s="25" t="str">
        <f>VLOOKUP(E302,[1]TIPOLOGIAS!$A:$G,5,0)</f>
        <v>PRINCIPAL</v>
      </c>
      <c r="N302" s="25" t="str">
        <f>VLOOKUP(E302,[1]TIPOLOGIAS!$A:$G,4,0)</f>
        <v>CALI</v>
      </c>
      <c r="O302" s="25" t="str">
        <f>VLOOKUP(N302,'BASE TARIFA 2025'!E:F,2,0)</f>
        <v>WOMPI SUROCCIDENTE</v>
      </c>
      <c r="P302" s="40">
        <f>VLOOKUP(M302,'BASE TARIFA 2025'!A:C,3,0)</f>
        <v>46451</v>
      </c>
      <c r="Q302" s="26" t="str">
        <f t="shared" si="8"/>
        <v>75%</v>
      </c>
      <c r="R302" s="41">
        <f t="shared" si="9"/>
        <v>104514.75</v>
      </c>
    </row>
    <row r="303" spans="1:18" ht="15" customHeight="1" x14ac:dyDescent="0.3">
      <c r="A303" s="25">
        <v>35205</v>
      </c>
      <c r="B303" s="25" t="s">
        <v>90</v>
      </c>
      <c r="C303" s="25" t="s">
        <v>90</v>
      </c>
      <c r="D303" s="25" t="s">
        <v>92</v>
      </c>
      <c r="E303" s="25">
        <v>5088</v>
      </c>
      <c r="F303" s="25" t="s">
        <v>778</v>
      </c>
      <c r="G303" s="25">
        <v>2</v>
      </c>
      <c r="H303" s="25" t="s">
        <v>410</v>
      </c>
      <c r="I303" s="25" t="s">
        <v>65</v>
      </c>
      <c r="J303" s="25" t="s">
        <v>66</v>
      </c>
      <c r="K303" s="38">
        <v>45985.445138888892</v>
      </c>
      <c r="L303" s="25" t="s">
        <v>69</v>
      </c>
      <c r="M303" s="25" t="str">
        <f>VLOOKUP(E303,[1]TIPOLOGIAS!$A:$G,5,0)</f>
        <v>PRINCIPAL</v>
      </c>
      <c r="N303" s="25" t="str">
        <f>VLOOKUP(E303,[1]TIPOLOGIAS!$A:$G,4,0)</f>
        <v>MEDELLIN</v>
      </c>
      <c r="O303" s="25" t="str">
        <f>VLOOKUP(N303,'BASE TARIFA 2025'!E:F,2,0)</f>
        <v>WOMPI NOROCCIDENTE</v>
      </c>
      <c r="P303" s="40">
        <f>VLOOKUP(M303,'BASE TARIFA 2025'!A:C,3,0)</f>
        <v>46451</v>
      </c>
      <c r="Q303" s="26" t="str">
        <f t="shared" si="8"/>
        <v>75%</v>
      </c>
      <c r="R303" s="41">
        <f t="shared" si="9"/>
        <v>69676.5</v>
      </c>
    </row>
    <row r="304" spans="1:18" ht="15" customHeight="1" x14ac:dyDescent="0.3">
      <c r="A304" s="25">
        <v>53858</v>
      </c>
      <c r="B304" s="25" t="s">
        <v>470</v>
      </c>
      <c r="C304" s="25" t="s">
        <v>63</v>
      </c>
      <c r="D304" s="25" t="s">
        <v>64</v>
      </c>
      <c r="E304" s="25">
        <v>11001</v>
      </c>
      <c r="F304" s="25" t="s">
        <v>779</v>
      </c>
      <c r="G304" s="25">
        <v>2</v>
      </c>
      <c r="H304" s="25" t="s">
        <v>411</v>
      </c>
      <c r="I304" s="25" t="s">
        <v>65</v>
      </c>
      <c r="J304" s="25" t="s">
        <v>66</v>
      </c>
      <c r="K304" s="38">
        <v>45987.447916666664</v>
      </c>
      <c r="L304" s="25" t="s">
        <v>69</v>
      </c>
      <c r="M304" s="25" t="str">
        <f>VLOOKUP(E304,[1]TIPOLOGIAS!$A:$G,5,0)</f>
        <v>PRINCIPAL</v>
      </c>
      <c r="N304" s="25" t="str">
        <f>VLOOKUP(E304,[1]TIPOLOGIAS!$A:$G,4,0)</f>
        <v>BOGOTA</v>
      </c>
      <c r="O304" s="25" t="str">
        <f>VLOOKUP(N304,'BASE TARIFA 2025'!E:F,2,0)</f>
        <v>WOMPI CENTRO</v>
      </c>
      <c r="P304" s="40">
        <f>VLOOKUP(M304,'BASE TARIFA 2025'!A:C,3,0)</f>
        <v>46451</v>
      </c>
      <c r="Q304" s="26" t="str">
        <f t="shared" si="8"/>
        <v>75%</v>
      </c>
      <c r="R304" s="41">
        <f t="shared" si="9"/>
        <v>69676.5</v>
      </c>
    </row>
    <row r="305" spans="1:18" ht="15" customHeight="1" x14ac:dyDescent="0.3">
      <c r="A305" s="25">
        <v>55160</v>
      </c>
      <c r="B305" s="25" t="s">
        <v>90</v>
      </c>
      <c r="C305" s="25" t="s">
        <v>90</v>
      </c>
      <c r="D305" s="25" t="s">
        <v>91</v>
      </c>
      <c r="E305" s="25">
        <v>5001</v>
      </c>
      <c r="F305" s="25" t="s">
        <v>780</v>
      </c>
      <c r="G305" s="25">
        <v>2</v>
      </c>
      <c r="H305" s="25" t="s">
        <v>412</v>
      </c>
      <c r="I305" s="25" t="s">
        <v>65</v>
      </c>
      <c r="J305" s="25" t="s">
        <v>66</v>
      </c>
      <c r="K305" s="38">
        <v>45982.431250000001</v>
      </c>
      <c r="L305" s="25" t="s">
        <v>69</v>
      </c>
      <c r="M305" s="25" t="str">
        <f>VLOOKUP(E305,[1]TIPOLOGIAS!$A:$G,5,0)</f>
        <v>PRINCIPAL</v>
      </c>
      <c r="N305" s="25" t="str">
        <f>VLOOKUP(E305,[1]TIPOLOGIAS!$A:$G,4,0)</f>
        <v>MEDELLIN</v>
      </c>
      <c r="O305" s="25" t="str">
        <f>VLOOKUP(N305,'BASE TARIFA 2025'!E:F,2,0)</f>
        <v>WOMPI NOROCCIDENTE</v>
      </c>
      <c r="P305" s="40">
        <f>VLOOKUP(M305,'BASE TARIFA 2025'!A:C,3,0)</f>
        <v>46451</v>
      </c>
      <c r="Q305" s="26" t="str">
        <f t="shared" si="8"/>
        <v>75%</v>
      </c>
      <c r="R305" s="41">
        <f t="shared" si="9"/>
        <v>69676.5</v>
      </c>
    </row>
    <row r="306" spans="1:18" ht="15" customHeight="1" x14ac:dyDescent="0.3">
      <c r="A306" s="25">
        <v>55318</v>
      </c>
      <c r="B306" s="25" t="s">
        <v>470</v>
      </c>
      <c r="C306" s="25" t="s">
        <v>63</v>
      </c>
      <c r="D306" s="25" t="s">
        <v>64</v>
      </c>
      <c r="E306" s="25">
        <v>11001</v>
      </c>
      <c r="F306" s="25" t="s">
        <v>781</v>
      </c>
      <c r="G306" s="25">
        <v>2</v>
      </c>
      <c r="H306" s="25" t="s">
        <v>413</v>
      </c>
      <c r="I306" s="25" t="s">
        <v>65</v>
      </c>
      <c r="J306" s="25" t="s">
        <v>66</v>
      </c>
      <c r="K306" s="38">
        <v>45985.533333333333</v>
      </c>
      <c r="L306" s="25" t="s">
        <v>69</v>
      </c>
      <c r="M306" s="25" t="str">
        <f>VLOOKUP(E306,[1]TIPOLOGIAS!$A:$G,5,0)</f>
        <v>PRINCIPAL</v>
      </c>
      <c r="N306" s="25" t="str">
        <f>VLOOKUP(E306,[1]TIPOLOGIAS!$A:$G,4,0)</f>
        <v>BOGOTA</v>
      </c>
      <c r="O306" s="25" t="str">
        <f>VLOOKUP(N306,'BASE TARIFA 2025'!E:F,2,0)</f>
        <v>WOMPI CENTRO</v>
      </c>
      <c r="P306" s="40">
        <f>VLOOKUP(M306,'BASE TARIFA 2025'!A:C,3,0)</f>
        <v>46451</v>
      </c>
      <c r="Q306" s="26" t="str">
        <f t="shared" si="8"/>
        <v>75%</v>
      </c>
      <c r="R306" s="41">
        <f t="shared" si="9"/>
        <v>69676.5</v>
      </c>
    </row>
    <row r="307" spans="1:18" ht="15" customHeight="1" x14ac:dyDescent="0.3">
      <c r="A307" s="25">
        <v>55406</v>
      </c>
      <c r="B307" s="25" t="s">
        <v>470</v>
      </c>
      <c r="C307" s="25" t="s">
        <v>63</v>
      </c>
      <c r="D307" s="25" t="s">
        <v>64</v>
      </c>
      <c r="E307" s="25">
        <v>11001</v>
      </c>
      <c r="F307" s="25" t="s">
        <v>782</v>
      </c>
      <c r="G307" s="25">
        <v>2</v>
      </c>
      <c r="H307" s="25" t="s">
        <v>414</v>
      </c>
      <c r="I307" s="25" t="s">
        <v>65</v>
      </c>
      <c r="J307" s="25" t="s">
        <v>66</v>
      </c>
      <c r="K307" s="38">
        <v>45985.537499999999</v>
      </c>
      <c r="L307" s="25" t="s">
        <v>69</v>
      </c>
      <c r="M307" s="25" t="str">
        <f>VLOOKUP(E307,[1]TIPOLOGIAS!$A:$G,5,0)</f>
        <v>PRINCIPAL</v>
      </c>
      <c r="N307" s="25" t="str">
        <f>VLOOKUP(E307,[1]TIPOLOGIAS!$A:$G,4,0)</f>
        <v>BOGOTA</v>
      </c>
      <c r="O307" s="25" t="str">
        <f>VLOOKUP(N307,'BASE TARIFA 2025'!E:F,2,0)</f>
        <v>WOMPI CENTRO</v>
      </c>
      <c r="P307" s="40">
        <f>VLOOKUP(M307,'BASE TARIFA 2025'!A:C,3,0)</f>
        <v>46451</v>
      </c>
      <c r="Q307" s="26" t="str">
        <f t="shared" si="8"/>
        <v>75%</v>
      </c>
      <c r="R307" s="41">
        <f t="shared" si="9"/>
        <v>69676.5</v>
      </c>
    </row>
    <row r="308" spans="1:18" ht="15" customHeight="1" x14ac:dyDescent="0.3">
      <c r="A308" s="25">
        <v>55892</v>
      </c>
      <c r="B308" s="25" t="s">
        <v>470</v>
      </c>
      <c r="C308" s="25" t="s">
        <v>63</v>
      </c>
      <c r="D308" s="25" t="s">
        <v>64</v>
      </c>
      <c r="E308" s="25">
        <v>11001</v>
      </c>
      <c r="F308" s="25" t="s">
        <v>783</v>
      </c>
      <c r="G308" s="25">
        <v>2</v>
      </c>
      <c r="H308" s="25" t="s">
        <v>415</v>
      </c>
      <c r="I308" s="25" t="s">
        <v>65</v>
      </c>
      <c r="J308" s="25" t="s">
        <v>66</v>
      </c>
      <c r="K308" s="38">
        <v>45986.633333333331</v>
      </c>
      <c r="L308" s="25" t="s">
        <v>69</v>
      </c>
      <c r="M308" s="25" t="str">
        <f>VLOOKUP(E308,[1]TIPOLOGIAS!$A:$G,5,0)</f>
        <v>PRINCIPAL</v>
      </c>
      <c r="N308" s="25" t="str">
        <f>VLOOKUP(E308,[1]TIPOLOGIAS!$A:$G,4,0)</f>
        <v>BOGOTA</v>
      </c>
      <c r="O308" s="25" t="str">
        <f>VLOOKUP(N308,'BASE TARIFA 2025'!E:F,2,0)</f>
        <v>WOMPI CENTRO</v>
      </c>
      <c r="P308" s="40">
        <f>VLOOKUP(M308,'BASE TARIFA 2025'!A:C,3,0)</f>
        <v>46451</v>
      </c>
      <c r="Q308" s="26" t="str">
        <f t="shared" si="8"/>
        <v>75%</v>
      </c>
      <c r="R308" s="41">
        <f t="shared" si="9"/>
        <v>69676.5</v>
      </c>
    </row>
    <row r="309" spans="1:18" ht="15" customHeight="1" x14ac:dyDescent="0.3">
      <c r="A309" s="25">
        <v>55942</v>
      </c>
      <c r="B309" s="25" t="s">
        <v>476</v>
      </c>
      <c r="C309" s="25" t="s">
        <v>75</v>
      </c>
      <c r="D309" s="25" t="s">
        <v>76</v>
      </c>
      <c r="E309" s="25">
        <v>73001</v>
      </c>
      <c r="F309" s="25" t="s">
        <v>784</v>
      </c>
      <c r="G309" s="25">
        <v>2</v>
      </c>
      <c r="H309" s="25" t="s">
        <v>416</v>
      </c>
      <c r="I309" s="25" t="s">
        <v>65</v>
      </c>
      <c r="J309" s="25" t="s">
        <v>66</v>
      </c>
      <c r="K309" s="38">
        <v>45987.392361111109</v>
      </c>
      <c r="L309" s="25" t="s">
        <v>69</v>
      </c>
      <c r="M309" s="25" t="str">
        <f>VLOOKUP(E309,[1]TIPOLOGIAS!$A:$G,5,0)</f>
        <v>PRINCIPAL</v>
      </c>
      <c r="N309" s="25" t="str">
        <f>VLOOKUP(E309,[1]TIPOLOGIAS!$A:$G,4,0)</f>
        <v>IBAGUE</v>
      </c>
      <c r="O309" s="25" t="str">
        <f>VLOOKUP(N309,'BASE TARIFA 2025'!E:F,2,0)</f>
        <v>WOMPI ORIENTE</v>
      </c>
      <c r="P309" s="40">
        <f>VLOOKUP(M309,'BASE TARIFA 2025'!A:C,3,0)</f>
        <v>46451</v>
      </c>
      <c r="Q309" s="26" t="str">
        <f t="shared" si="8"/>
        <v>75%</v>
      </c>
      <c r="R309" s="41">
        <f t="shared" si="9"/>
        <v>69676.5</v>
      </c>
    </row>
    <row r="310" spans="1:18" ht="15" customHeight="1" x14ac:dyDescent="0.3">
      <c r="A310" s="25">
        <v>57271</v>
      </c>
      <c r="B310" s="25" t="s">
        <v>481</v>
      </c>
      <c r="C310" s="25" t="s">
        <v>95</v>
      </c>
      <c r="D310" s="25" t="s">
        <v>40</v>
      </c>
      <c r="E310" s="25">
        <v>52001</v>
      </c>
      <c r="F310" s="25" t="s">
        <v>785</v>
      </c>
      <c r="G310" s="25">
        <v>2</v>
      </c>
      <c r="H310" s="25" t="s">
        <v>417</v>
      </c>
      <c r="I310" s="25" t="s">
        <v>65</v>
      </c>
      <c r="J310" s="25" t="s">
        <v>66</v>
      </c>
      <c r="K310" s="38">
        <v>45986.452777777777</v>
      </c>
      <c r="L310" s="25" t="s">
        <v>69</v>
      </c>
      <c r="M310" s="25" t="str">
        <f>VLOOKUP(E310,[1]TIPOLOGIAS!$A:$G,5,0)</f>
        <v>PRINCIPAL</v>
      </c>
      <c r="N310" s="25" t="str">
        <f>VLOOKUP(E310,[1]TIPOLOGIAS!$A:$G,4,0)</f>
        <v>PASTO</v>
      </c>
      <c r="O310" s="25" t="str">
        <f>VLOOKUP(N310,'BASE TARIFA 2025'!E:F,2,0)</f>
        <v>WOMPI SUROCCIDENTE</v>
      </c>
      <c r="P310" s="40">
        <f>VLOOKUP(M310,'BASE TARIFA 2025'!A:C,3,0)</f>
        <v>46451</v>
      </c>
      <c r="Q310" s="26" t="str">
        <f t="shared" si="8"/>
        <v>75%</v>
      </c>
      <c r="R310" s="41">
        <f t="shared" si="9"/>
        <v>69676.5</v>
      </c>
    </row>
    <row r="311" spans="1:18" ht="15" customHeight="1" x14ac:dyDescent="0.3">
      <c r="A311" s="25">
        <v>58935</v>
      </c>
      <c r="B311" s="25" t="s">
        <v>476</v>
      </c>
      <c r="C311" s="25" t="s">
        <v>77</v>
      </c>
      <c r="D311" s="25" t="s">
        <v>26</v>
      </c>
      <c r="E311" s="25">
        <v>68001</v>
      </c>
      <c r="F311" s="25" t="s">
        <v>786</v>
      </c>
      <c r="G311" s="25">
        <v>2</v>
      </c>
      <c r="H311" s="25" t="s">
        <v>418</v>
      </c>
      <c r="I311" s="25" t="s">
        <v>65</v>
      </c>
      <c r="J311" s="25" t="s">
        <v>66</v>
      </c>
      <c r="K311" s="38">
        <v>45985.609722222223</v>
      </c>
      <c r="L311" s="25" t="s">
        <v>69</v>
      </c>
      <c r="M311" s="25" t="str">
        <f>VLOOKUP(E311,[1]TIPOLOGIAS!$A:$G,5,0)</f>
        <v>PRINCIPAL</v>
      </c>
      <c r="N311" s="25" t="str">
        <f>VLOOKUP(E311,[1]TIPOLOGIAS!$A:$G,4,0)</f>
        <v>BUCARAMANGA</v>
      </c>
      <c r="O311" s="25" t="str">
        <f>VLOOKUP(N311,'BASE TARIFA 2025'!E:F,2,0)</f>
        <v>WOMPI SANTANDERES</v>
      </c>
      <c r="P311" s="40">
        <f>VLOOKUP(M311,'BASE TARIFA 2025'!A:C,3,0)</f>
        <v>46451</v>
      </c>
      <c r="Q311" s="26" t="str">
        <f t="shared" si="8"/>
        <v>75%</v>
      </c>
      <c r="R311" s="41">
        <f t="shared" si="9"/>
        <v>69676.5</v>
      </c>
    </row>
    <row r="312" spans="1:18" ht="15" customHeight="1" x14ac:dyDescent="0.3">
      <c r="A312" s="25">
        <v>63047</v>
      </c>
      <c r="B312" s="25" t="s">
        <v>470</v>
      </c>
      <c r="C312" s="25" t="s">
        <v>63</v>
      </c>
      <c r="D312" s="25" t="s">
        <v>64</v>
      </c>
      <c r="E312" s="25">
        <v>11001</v>
      </c>
      <c r="F312" s="25" t="s">
        <v>787</v>
      </c>
      <c r="G312" s="25">
        <v>2</v>
      </c>
      <c r="H312" s="25" t="s">
        <v>419</v>
      </c>
      <c r="I312" s="25" t="s">
        <v>65</v>
      </c>
      <c r="J312" s="25" t="s">
        <v>66</v>
      </c>
      <c r="K312" s="38">
        <v>45985.4375</v>
      </c>
      <c r="L312" s="25" t="s">
        <v>69</v>
      </c>
      <c r="M312" s="25" t="str">
        <f>VLOOKUP(E312,[1]TIPOLOGIAS!$A:$G,5,0)</f>
        <v>PRINCIPAL</v>
      </c>
      <c r="N312" s="25" t="str">
        <f>VLOOKUP(E312,[1]TIPOLOGIAS!$A:$G,4,0)</f>
        <v>BOGOTA</v>
      </c>
      <c r="O312" s="25" t="str">
        <f>VLOOKUP(N312,'BASE TARIFA 2025'!E:F,2,0)</f>
        <v>WOMPI CENTRO</v>
      </c>
      <c r="P312" s="40">
        <f>VLOOKUP(M312,'BASE TARIFA 2025'!A:C,3,0)</f>
        <v>46451</v>
      </c>
      <c r="Q312" s="26" t="str">
        <f t="shared" si="8"/>
        <v>75%</v>
      </c>
      <c r="R312" s="41">
        <f t="shared" si="9"/>
        <v>69676.5</v>
      </c>
    </row>
    <row r="313" spans="1:18" ht="15" customHeight="1" x14ac:dyDescent="0.3">
      <c r="A313" s="25">
        <v>63161</v>
      </c>
      <c r="B313" s="25" t="s">
        <v>481</v>
      </c>
      <c r="C313" s="25" t="s">
        <v>82</v>
      </c>
      <c r="D313" s="25" t="s">
        <v>20</v>
      </c>
      <c r="E313" s="25">
        <v>76001</v>
      </c>
      <c r="F313" s="25" t="s">
        <v>788</v>
      </c>
      <c r="G313" s="25">
        <v>2</v>
      </c>
      <c r="H313" s="25" t="s">
        <v>420</v>
      </c>
      <c r="I313" s="25" t="s">
        <v>65</v>
      </c>
      <c r="J313" s="25" t="s">
        <v>66</v>
      </c>
      <c r="K313" s="38">
        <v>45986.429861111108</v>
      </c>
      <c r="L313" s="25" t="s">
        <v>69</v>
      </c>
      <c r="M313" s="25" t="str">
        <f>VLOOKUP(E313,[1]TIPOLOGIAS!$A:$G,5,0)</f>
        <v>PRINCIPAL</v>
      </c>
      <c r="N313" s="25" t="str">
        <f>VLOOKUP(E313,[1]TIPOLOGIAS!$A:$G,4,0)</f>
        <v>CALI</v>
      </c>
      <c r="O313" s="25" t="str">
        <f>VLOOKUP(N313,'BASE TARIFA 2025'!E:F,2,0)</f>
        <v>WOMPI SUROCCIDENTE</v>
      </c>
      <c r="P313" s="40">
        <f>VLOOKUP(M313,'BASE TARIFA 2025'!A:C,3,0)</f>
        <v>46451</v>
      </c>
      <c r="Q313" s="26" t="str">
        <f t="shared" si="8"/>
        <v>75%</v>
      </c>
      <c r="R313" s="41">
        <f t="shared" si="9"/>
        <v>69676.5</v>
      </c>
    </row>
    <row r="314" spans="1:18" ht="15" customHeight="1" x14ac:dyDescent="0.3">
      <c r="A314" s="25">
        <v>63574</v>
      </c>
      <c r="B314" s="25" t="s">
        <v>470</v>
      </c>
      <c r="C314" s="25" t="s">
        <v>63</v>
      </c>
      <c r="D314" s="25" t="s">
        <v>64</v>
      </c>
      <c r="E314" s="25">
        <v>11001</v>
      </c>
      <c r="F314" s="25" t="s">
        <v>789</v>
      </c>
      <c r="G314" s="25">
        <v>2</v>
      </c>
      <c r="H314" s="25" t="s">
        <v>421</v>
      </c>
      <c r="I314" s="25" t="s">
        <v>65</v>
      </c>
      <c r="J314" s="25" t="s">
        <v>66</v>
      </c>
      <c r="K314" s="38">
        <v>45986.405555555553</v>
      </c>
      <c r="L314" s="25" t="s">
        <v>69</v>
      </c>
      <c r="M314" s="25" t="str">
        <f>VLOOKUP(E314,[1]TIPOLOGIAS!$A:$G,5,0)</f>
        <v>PRINCIPAL</v>
      </c>
      <c r="N314" s="25" t="str">
        <f>VLOOKUP(E314,[1]TIPOLOGIAS!$A:$G,4,0)</f>
        <v>BOGOTA</v>
      </c>
      <c r="O314" s="25" t="str">
        <f>VLOOKUP(N314,'BASE TARIFA 2025'!E:F,2,0)</f>
        <v>WOMPI CENTRO</v>
      </c>
      <c r="P314" s="40">
        <f>VLOOKUP(M314,'BASE TARIFA 2025'!A:C,3,0)</f>
        <v>46451</v>
      </c>
      <c r="Q314" s="26" t="str">
        <f t="shared" si="8"/>
        <v>75%</v>
      </c>
      <c r="R314" s="41">
        <f t="shared" si="9"/>
        <v>69676.5</v>
      </c>
    </row>
    <row r="315" spans="1:18" ht="15" customHeight="1" x14ac:dyDescent="0.3">
      <c r="A315" s="25">
        <v>66106</v>
      </c>
      <c r="B315" s="25" t="s">
        <v>470</v>
      </c>
      <c r="C315" s="25" t="s">
        <v>63</v>
      </c>
      <c r="D315" s="25" t="s">
        <v>64</v>
      </c>
      <c r="E315" s="25">
        <v>11001</v>
      </c>
      <c r="F315" s="25" t="s">
        <v>790</v>
      </c>
      <c r="G315" s="25">
        <v>2</v>
      </c>
      <c r="H315" s="25" t="s">
        <v>422</v>
      </c>
      <c r="I315" s="25" t="s">
        <v>65</v>
      </c>
      <c r="J315" s="25" t="s">
        <v>66</v>
      </c>
      <c r="K315" s="38">
        <v>45985.522916666669</v>
      </c>
      <c r="L315" s="25" t="s">
        <v>69</v>
      </c>
      <c r="M315" s="25" t="str">
        <f>VLOOKUP(E315,[1]TIPOLOGIAS!$A:$G,5,0)</f>
        <v>PRINCIPAL</v>
      </c>
      <c r="N315" s="25" t="str">
        <f>VLOOKUP(E315,[1]TIPOLOGIAS!$A:$G,4,0)</f>
        <v>BOGOTA</v>
      </c>
      <c r="O315" s="25" t="str">
        <f>VLOOKUP(N315,'BASE TARIFA 2025'!E:F,2,0)</f>
        <v>WOMPI CENTRO</v>
      </c>
      <c r="P315" s="40">
        <f>VLOOKUP(M315,'BASE TARIFA 2025'!A:C,3,0)</f>
        <v>46451</v>
      </c>
      <c r="Q315" s="26" t="str">
        <f t="shared" si="8"/>
        <v>75%</v>
      </c>
      <c r="R315" s="41">
        <f t="shared" si="9"/>
        <v>69676.5</v>
      </c>
    </row>
    <row r="316" spans="1:18" ht="15" customHeight="1" x14ac:dyDescent="0.3">
      <c r="A316" s="25">
        <v>66836</v>
      </c>
      <c r="B316" s="25" t="s">
        <v>470</v>
      </c>
      <c r="C316" s="25" t="s">
        <v>63</v>
      </c>
      <c r="D316" s="25" t="s">
        <v>64</v>
      </c>
      <c r="E316" s="25">
        <v>11001</v>
      </c>
      <c r="F316" s="25" t="s">
        <v>791</v>
      </c>
      <c r="G316" s="25">
        <v>2</v>
      </c>
      <c r="H316" s="25" t="s">
        <v>423</v>
      </c>
      <c r="I316" s="25" t="s">
        <v>65</v>
      </c>
      <c r="J316" s="25" t="s">
        <v>66</v>
      </c>
      <c r="K316" s="38">
        <v>45987.55972222222</v>
      </c>
      <c r="L316" s="25" t="s">
        <v>69</v>
      </c>
      <c r="M316" s="25" t="str">
        <f>VLOOKUP(E316,[1]TIPOLOGIAS!$A:$G,5,0)</f>
        <v>PRINCIPAL</v>
      </c>
      <c r="N316" s="25" t="str">
        <f>VLOOKUP(E316,[1]TIPOLOGIAS!$A:$G,4,0)</f>
        <v>BOGOTA</v>
      </c>
      <c r="O316" s="25" t="str">
        <f>VLOOKUP(N316,'BASE TARIFA 2025'!E:F,2,0)</f>
        <v>WOMPI CENTRO</v>
      </c>
      <c r="P316" s="40">
        <f>VLOOKUP(M316,'BASE TARIFA 2025'!A:C,3,0)</f>
        <v>46451</v>
      </c>
      <c r="Q316" s="26" t="str">
        <f t="shared" si="8"/>
        <v>75%</v>
      </c>
      <c r="R316" s="41">
        <f t="shared" si="9"/>
        <v>69676.5</v>
      </c>
    </row>
    <row r="317" spans="1:18" ht="15" customHeight="1" x14ac:dyDescent="0.3">
      <c r="A317" s="25">
        <v>66956</v>
      </c>
      <c r="B317" s="25" t="s">
        <v>470</v>
      </c>
      <c r="C317" s="25" t="s">
        <v>63</v>
      </c>
      <c r="D317" s="25" t="s">
        <v>64</v>
      </c>
      <c r="E317" s="25">
        <v>11001</v>
      </c>
      <c r="F317" s="25" t="s">
        <v>792</v>
      </c>
      <c r="G317" s="25">
        <v>2</v>
      </c>
      <c r="H317" s="25" t="s">
        <v>424</v>
      </c>
      <c r="I317" s="25" t="s">
        <v>65</v>
      </c>
      <c r="J317" s="25" t="s">
        <v>66</v>
      </c>
      <c r="K317" s="38">
        <v>45983.506944444445</v>
      </c>
      <c r="L317" s="25" t="s">
        <v>69</v>
      </c>
      <c r="M317" s="25" t="str">
        <f>VLOOKUP(E317,[1]TIPOLOGIAS!$A:$G,5,0)</f>
        <v>PRINCIPAL</v>
      </c>
      <c r="N317" s="25" t="str">
        <f>VLOOKUP(E317,[1]TIPOLOGIAS!$A:$G,4,0)</f>
        <v>BOGOTA</v>
      </c>
      <c r="O317" s="25" t="str">
        <f>VLOOKUP(N317,'BASE TARIFA 2025'!E:F,2,0)</f>
        <v>WOMPI CENTRO</v>
      </c>
      <c r="P317" s="40">
        <f>VLOOKUP(M317,'BASE TARIFA 2025'!A:C,3,0)</f>
        <v>46451</v>
      </c>
      <c r="Q317" s="26" t="str">
        <f t="shared" si="8"/>
        <v>75%</v>
      </c>
      <c r="R317" s="41">
        <f t="shared" si="9"/>
        <v>69676.5</v>
      </c>
    </row>
    <row r="318" spans="1:18" ht="15" customHeight="1" x14ac:dyDescent="0.3">
      <c r="A318" s="25">
        <v>68304</v>
      </c>
      <c r="B318" s="25" t="s">
        <v>481</v>
      </c>
      <c r="C318" s="25" t="s">
        <v>82</v>
      </c>
      <c r="D318" s="25" t="s">
        <v>20</v>
      </c>
      <c r="E318" s="25">
        <v>76001</v>
      </c>
      <c r="F318" s="25" t="s">
        <v>793</v>
      </c>
      <c r="G318" s="25">
        <v>3</v>
      </c>
      <c r="H318" s="25" t="s">
        <v>425</v>
      </c>
      <c r="I318" s="25" t="s">
        <v>65</v>
      </c>
      <c r="J318" s="25" t="s">
        <v>66</v>
      </c>
      <c r="K318" s="38">
        <v>45987.461805555555</v>
      </c>
      <c r="L318" s="25" t="s">
        <v>69</v>
      </c>
      <c r="M318" s="25" t="str">
        <f>VLOOKUP(E318,[1]TIPOLOGIAS!$A:$G,5,0)</f>
        <v>PRINCIPAL</v>
      </c>
      <c r="N318" s="25" t="str">
        <f>VLOOKUP(E318,[1]TIPOLOGIAS!$A:$G,4,0)</f>
        <v>CALI</v>
      </c>
      <c r="O318" s="25" t="str">
        <f>VLOOKUP(N318,'BASE TARIFA 2025'!E:F,2,0)</f>
        <v>WOMPI SUROCCIDENTE</v>
      </c>
      <c r="P318" s="40">
        <f>VLOOKUP(M318,'BASE TARIFA 2025'!A:C,3,0)</f>
        <v>46451</v>
      </c>
      <c r="Q318" s="26" t="str">
        <f t="shared" si="8"/>
        <v>75%</v>
      </c>
      <c r="R318" s="41">
        <f t="shared" si="9"/>
        <v>104514.75</v>
      </c>
    </row>
    <row r="319" spans="1:18" ht="15" customHeight="1" x14ac:dyDescent="0.3">
      <c r="A319" s="25">
        <v>68505</v>
      </c>
      <c r="B319" s="25" t="s">
        <v>90</v>
      </c>
      <c r="C319" s="25" t="s">
        <v>90</v>
      </c>
      <c r="D319" s="25" t="s">
        <v>91</v>
      </c>
      <c r="E319" s="25">
        <v>5001</v>
      </c>
      <c r="F319" s="25" t="s">
        <v>794</v>
      </c>
      <c r="G319" s="25">
        <v>2</v>
      </c>
      <c r="H319" s="25" t="s">
        <v>426</v>
      </c>
      <c r="I319" s="25" t="s">
        <v>65</v>
      </c>
      <c r="J319" s="25" t="s">
        <v>66</v>
      </c>
      <c r="K319" s="38">
        <v>45985.571527777778</v>
      </c>
      <c r="L319" s="25" t="s">
        <v>69</v>
      </c>
      <c r="M319" s="25" t="str">
        <f>VLOOKUP(E319,[1]TIPOLOGIAS!$A:$G,5,0)</f>
        <v>PRINCIPAL</v>
      </c>
      <c r="N319" s="25" t="str">
        <f>VLOOKUP(E319,[1]TIPOLOGIAS!$A:$G,4,0)</f>
        <v>MEDELLIN</v>
      </c>
      <c r="O319" s="25" t="str">
        <f>VLOOKUP(N319,'BASE TARIFA 2025'!E:F,2,0)</f>
        <v>WOMPI NOROCCIDENTE</v>
      </c>
      <c r="P319" s="40">
        <f>VLOOKUP(M319,'BASE TARIFA 2025'!A:C,3,0)</f>
        <v>46451</v>
      </c>
      <c r="Q319" s="26" t="str">
        <f t="shared" si="8"/>
        <v>75%</v>
      </c>
      <c r="R319" s="41">
        <f t="shared" si="9"/>
        <v>69676.5</v>
      </c>
    </row>
    <row r="320" spans="1:18" ht="15" customHeight="1" x14ac:dyDescent="0.3">
      <c r="A320" s="25">
        <v>68578</v>
      </c>
      <c r="B320" s="25" t="s">
        <v>470</v>
      </c>
      <c r="C320" s="25" t="s">
        <v>63</v>
      </c>
      <c r="D320" s="25" t="s">
        <v>64</v>
      </c>
      <c r="E320" s="25">
        <v>11001</v>
      </c>
      <c r="F320" s="25" t="s">
        <v>795</v>
      </c>
      <c r="G320" s="25">
        <v>2</v>
      </c>
      <c r="H320" s="25" t="s">
        <v>427</v>
      </c>
      <c r="I320" s="25" t="s">
        <v>65</v>
      </c>
      <c r="J320" s="25" t="s">
        <v>66</v>
      </c>
      <c r="K320" s="38">
        <v>45983.634027777778</v>
      </c>
      <c r="L320" s="25" t="s">
        <v>69</v>
      </c>
      <c r="M320" s="25" t="str">
        <f>VLOOKUP(E320,[1]TIPOLOGIAS!$A:$G,5,0)</f>
        <v>PRINCIPAL</v>
      </c>
      <c r="N320" s="25" t="str">
        <f>VLOOKUP(E320,[1]TIPOLOGIAS!$A:$G,4,0)</f>
        <v>BOGOTA</v>
      </c>
      <c r="O320" s="25" t="str">
        <f>VLOOKUP(N320,'BASE TARIFA 2025'!E:F,2,0)</f>
        <v>WOMPI CENTRO</v>
      </c>
      <c r="P320" s="40">
        <f>VLOOKUP(M320,'BASE TARIFA 2025'!A:C,3,0)</f>
        <v>46451</v>
      </c>
      <c r="Q320" s="26" t="str">
        <f t="shared" si="8"/>
        <v>75%</v>
      </c>
      <c r="R320" s="41">
        <f t="shared" si="9"/>
        <v>69676.5</v>
      </c>
    </row>
    <row r="321" spans="1:18" ht="15" customHeight="1" x14ac:dyDescent="0.3">
      <c r="A321" s="25">
        <v>68830</v>
      </c>
      <c r="B321" s="25" t="s">
        <v>481</v>
      </c>
      <c r="C321" s="25" t="s">
        <v>95</v>
      </c>
      <c r="D321" s="25" t="s">
        <v>40</v>
      </c>
      <c r="E321" s="25">
        <v>52001</v>
      </c>
      <c r="F321" s="25" t="s">
        <v>796</v>
      </c>
      <c r="G321" s="25">
        <v>2</v>
      </c>
      <c r="H321" s="25" t="s">
        <v>428</v>
      </c>
      <c r="I321" s="25" t="s">
        <v>65</v>
      </c>
      <c r="J321" s="25" t="s">
        <v>66</v>
      </c>
      <c r="K321" s="38">
        <v>45987.431250000001</v>
      </c>
      <c r="L321" s="25" t="s">
        <v>69</v>
      </c>
      <c r="M321" s="25" t="str">
        <f>VLOOKUP(E321,[1]TIPOLOGIAS!$A:$G,5,0)</f>
        <v>PRINCIPAL</v>
      </c>
      <c r="N321" s="25" t="str">
        <f>VLOOKUP(E321,[1]TIPOLOGIAS!$A:$G,4,0)</f>
        <v>PASTO</v>
      </c>
      <c r="O321" s="25" t="str">
        <f>VLOOKUP(N321,'BASE TARIFA 2025'!E:F,2,0)</f>
        <v>WOMPI SUROCCIDENTE</v>
      </c>
      <c r="P321" s="40">
        <f>VLOOKUP(M321,'BASE TARIFA 2025'!A:C,3,0)</f>
        <v>46451</v>
      </c>
      <c r="Q321" s="26" t="str">
        <f t="shared" si="8"/>
        <v>75%</v>
      </c>
      <c r="R321" s="41">
        <f t="shared" si="9"/>
        <v>69676.5</v>
      </c>
    </row>
    <row r="322" spans="1:18" ht="15" customHeight="1" x14ac:dyDescent="0.3">
      <c r="A322" s="25">
        <v>68904</v>
      </c>
      <c r="B322" s="25" t="s">
        <v>470</v>
      </c>
      <c r="C322" s="25" t="s">
        <v>63</v>
      </c>
      <c r="D322" s="25" t="s">
        <v>64</v>
      </c>
      <c r="E322" s="25">
        <v>11001</v>
      </c>
      <c r="F322" s="25" t="s">
        <v>797</v>
      </c>
      <c r="G322" s="25">
        <v>2</v>
      </c>
      <c r="H322" s="25" t="s">
        <v>429</v>
      </c>
      <c r="I322" s="25" t="s">
        <v>65</v>
      </c>
      <c r="J322" s="25" t="s">
        <v>66</v>
      </c>
      <c r="K322" s="38">
        <v>45985.538194444445</v>
      </c>
      <c r="L322" s="25" t="s">
        <v>69</v>
      </c>
      <c r="M322" s="25" t="str">
        <f>VLOOKUP(E322,[1]TIPOLOGIAS!$A:$G,5,0)</f>
        <v>PRINCIPAL</v>
      </c>
      <c r="N322" s="25" t="str">
        <f>VLOOKUP(E322,[1]TIPOLOGIAS!$A:$G,4,0)</f>
        <v>BOGOTA</v>
      </c>
      <c r="O322" s="25" t="str">
        <f>VLOOKUP(N322,'BASE TARIFA 2025'!E:F,2,0)</f>
        <v>WOMPI CENTRO</v>
      </c>
      <c r="P322" s="40">
        <f>VLOOKUP(M322,'BASE TARIFA 2025'!A:C,3,0)</f>
        <v>46451</v>
      </c>
      <c r="Q322" s="26" t="str">
        <f t="shared" si="8"/>
        <v>75%</v>
      </c>
      <c r="R322" s="41">
        <f t="shared" si="9"/>
        <v>69676.5</v>
      </c>
    </row>
    <row r="323" spans="1:18" ht="15" customHeight="1" x14ac:dyDescent="0.3">
      <c r="A323" s="25">
        <v>70805</v>
      </c>
      <c r="B323" s="25" t="s">
        <v>90</v>
      </c>
      <c r="C323" s="25" t="s">
        <v>90</v>
      </c>
      <c r="D323" s="25" t="s">
        <v>91</v>
      </c>
      <c r="E323" s="25">
        <v>5001</v>
      </c>
      <c r="F323" s="25" t="s">
        <v>798</v>
      </c>
      <c r="G323" s="25">
        <v>2</v>
      </c>
      <c r="H323" s="25" t="s">
        <v>430</v>
      </c>
      <c r="I323" s="25" t="s">
        <v>65</v>
      </c>
      <c r="J323" s="25" t="s">
        <v>66</v>
      </c>
      <c r="K323" s="38">
        <v>45985.445833333331</v>
      </c>
      <c r="L323" s="25" t="s">
        <v>69</v>
      </c>
      <c r="M323" s="25" t="str">
        <f>VLOOKUP(E323,[1]TIPOLOGIAS!$A:$G,5,0)</f>
        <v>PRINCIPAL</v>
      </c>
      <c r="N323" s="25" t="str">
        <f>VLOOKUP(E323,[1]TIPOLOGIAS!$A:$G,4,0)</f>
        <v>MEDELLIN</v>
      </c>
      <c r="O323" s="25" t="str">
        <f>VLOOKUP(N323,'BASE TARIFA 2025'!E:F,2,0)</f>
        <v>WOMPI NOROCCIDENTE</v>
      </c>
      <c r="P323" s="40">
        <f>VLOOKUP(M323,'BASE TARIFA 2025'!A:C,3,0)</f>
        <v>46451</v>
      </c>
      <c r="Q323" s="26" t="str">
        <f t="shared" ref="Q323:Q362" si="10">IF(L323="EJECUTADO","100%", "75%")</f>
        <v>75%</v>
      </c>
      <c r="R323" s="41">
        <f t="shared" ref="R323:R362" si="11">G323*P323*Q323</f>
        <v>69676.5</v>
      </c>
    </row>
    <row r="324" spans="1:18" ht="15" customHeight="1" x14ac:dyDescent="0.3">
      <c r="A324" s="25">
        <v>73695</v>
      </c>
      <c r="B324" s="25" t="s">
        <v>470</v>
      </c>
      <c r="C324" s="25" t="s">
        <v>63</v>
      </c>
      <c r="D324" s="25" t="s">
        <v>64</v>
      </c>
      <c r="E324" s="25">
        <v>11001</v>
      </c>
      <c r="F324" s="25" t="s">
        <v>799</v>
      </c>
      <c r="G324" s="25">
        <v>2</v>
      </c>
      <c r="H324" s="25" t="s">
        <v>431</v>
      </c>
      <c r="I324" s="25" t="s">
        <v>65</v>
      </c>
      <c r="J324" s="25" t="s">
        <v>66</v>
      </c>
      <c r="K324" s="38">
        <v>45983.342361111114</v>
      </c>
      <c r="L324" s="25" t="s">
        <v>69</v>
      </c>
      <c r="M324" s="25" t="str">
        <f>VLOOKUP(E324,[1]TIPOLOGIAS!$A:$G,5,0)</f>
        <v>PRINCIPAL</v>
      </c>
      <c r="N324" s="25" t="str">
        <f>VLOOKUP(E324,[1]TIPOLOGIAS!$A:$G,4,0)</f>
        <v>BOGOTA</v>
      </c>
      <c r="O324" s="25" t="str">
        <f>VLOOKUP(N324,'BASE TARIFA 2025'!E:F,2,0)</f>
        <v>WOMPI CENTRO</v>
      </c>
      <c r="P324" s="40">
        <f>VLOOKUP(M324,'BASE TARIFA 2025'!A:C,3,0)</f>
        <v>46451</v>
      </c>
      <c r="Q324" s="26" t="str">
        <f t="shared" si="10"/>
        <v>75%</v>
      </c>
      <c r="R324" s="41">
        <f t="shared" si="11"/>
        <v>69676.5</v>
      </c>
    </row>
    <row r="325" spans="1:18" ht="15" customHeight="1" x14ac:dyDescent="0.3">
      <c r="A325" s="25">
        <v>76077</v>
      </c>
      <c r="B325" s="25" t="s">
        <v>90</v>
      </c>
      <c r="C325" s="25" t="s">
        <v>90</v>
      </c>
      <c r="D325" s="25" t="s">
        <v>91</v>
      </c>
      <c r="E325" s="25">
        <v>5001</v>
      </c>
      <c r="F325" s="25" t="s">
        <v>800</v>
      </c>
      <c r="G325" s="25">
        <v>2</v>
      </c>
      <c r="H325" s="25" t="s">
        <v>432</v>
      </c>
      <c r="I325" s="25" t="s">
        <v>65</v>
      </c>
      <c r="J325" s="25" t="s">
        <v>66</v>
      </c>
      <c r="K325" s="38">
        <v>45982.473611111112</v>
      </c>
      <c r="L325" s="25" t="s">
        <v>69</v>
      </c>
      <c r="M325" s="25" t="str">
        <f>VLOOKUP(E325,[1]TIPOLOGIAS!$A:$G,5,0)</f>
        <v>PRINCIPAL</v>
      </c>
      <c r="N325" s="25" t="str">
        <f>VLOOKUP(E325,[1]TIPOLOGIAS!$A:$G,4,0)</f>
        <v>MEDELLIN</v>
      </c>
      <c r="O325" s="25" t="str">
        <f>VLOOKUP(N325,'BASE TARIFA 2025'!E:F,2,0)</f>
        <v>WOMPI NOROCCIDENTE</v>
      </c>
      <c r="P325" s="40">
        <f>VLOOKUP(M325,'BASE TARIFA 2025'!A:C,3,0)</f>
        <v>46451</v>
      </c>
      <c r="Q325" s="26" t="str">
        <f t="shared" si="10"/>
        <v>75%</v>
      </c>
      <c r="R325" s="41">
        <f t="shared" si="11"/>
        <v>69676.5</v>
      </c>
    </row>
    <row r="326" spans="1:18" ht="15" customHeight="1" x14ac:dyDescent="0.3">
      <c r="A326" s="25">
        <v>13140</v>
      </c>
      <c r="B326" s="25" t="s">
        <v>476</v>
      </c>
      <c r="C326" s="25" t="s">
        <v>77</v>
      </c>
      <c r="D326" s="25" t="s">
        <v>80</v>
      </c>
      <c r="E326" s="25">
        <v>68276</v>
      </c>
      <c r="F326" s="25" t="s">
        <v>801</v>
      </c>
      <c r="G326" s="25">
        <v>2</v>
      </c>
      <c r="H326" s="25" t="s">
        <v>433</v>
      </c>
      <c r="I326" s="25" t="s">
        <v>65</v>
      </c>
      <c r="J326" s="25" t="s">
        <v>66</v>
      </c>
      <c r="K326" s="38">
        <v>45987.384027777778</v>
      </c>
      <c r="L326" s="25" t="s">
        <v>69</v>
      </c>
      <c r="M326" s="25" t="str">
        <f>VLOOKUP(E326,[1]TIPOLOGIAS!$A:$G,5,0)</f>
        <v>PRINCIPAL</v>
      </c>
      <c r="N326" s="25" t="str">
        <f>VLOOKUP(E326,[1]TIPOLOGIAS!$A:$G,4,0)</f>
        <v>BUCARAMANGA</v>
      </c>
      <c r="O326" s="25" t="str">
        <f>VLOOKUP(N326,'BASE TARIFA 2025'!E:F,2,0)</f>
        <v>WOMPI SANTANDERES</v>
      </c>
      <c r="P326" s="40">
        <f>VLOOKUP(M326,'BASE TARIFA 2025'!A:C,3,0)</f>
        <v>46451</v>
      </c>
      <c r="Q326" s="26" t="str">
        <f t="shared" si="10"/>
        <v>75%</v>
      </c>
      <c r="R326" s="41">
        <f t="shared" si="11"/>
        <v>69676.5</v>
      </c>
    </row>
    <row r="327" spans="1:18" ht="15" customHeight="1" x14ac:dyDescent="0.3">
      <c r="A327" s="25">
        <v>27179</v>
      </c>
      <c r="B327" s="25" t="s">
        <v>476</v>
      </c>
      <c r="C327" s="25" t="s">
        <v>77</v>
      </c>
      <c r="D327" s="25" t="s">
        <v>105</v>
      </c>
      <c r="E327" s="25">
        <v>68307</v>
      </c>
      <c r="F327" s="25" t="s">
        <v>802</v>
      </c>
      <c r="G327" s="25">
        <v>4</v>
      </c>
      <c r="H327" s="25" t="s">
        <v>434</v>
      </c>
      <c r="I327" s="25" t="s">
        <v>65</v>
      </c>
      <c r="J327" s="25" t="s">
        <v>66</v>
      </c>
      <c r="K327" s="38">
        <v>45986.609027777777</v>
      </c>
      <c r="L327" s="25" t="s">
        <v>69</v>
      </c>
      <c r="M327" s="25" t="str">
        <f>VLOOKUP(E327,[1]TIPOLOGIAS!$A:$G,5,0)</f>
        <v>PRINCIPAL</v>
      </c>
      <c r="N327" s="25" t="str">
        <f>VLOOKUP(E327,[1]TIPOLOGIAS!$A:$G,4,0)</f>
        <v>BUCARAMANGA</v>
      </c>
      <c r="O327" s="25" t="str">
        <f>VLOOKUP(N327,'BASE TARIFA 2025'!E:F,2,0)</f>
        <v>WOMPI SANTANDERES</v>
      </c>
      <c r="P327" s="40">
        <f>VLOOKUP(M327,'BASE TARIFA 2025'!A:C,3,0)</f>
        <v>46451</v>
      </c>
      <c r="Q327" s="26" t="str">
        <f t="shared" si="10"/>
        <v>75%</v>
      </c>
      <c r="R327" s="41">
        <f t="shared" si="11"/>
        <v>139353</v>
      </c>
    </row>
    <row r="328" spans="1:18" ht="15" customHeight="1" x14ac:dyDescent="0.3">
      <c r="A328" s="25">
        <v>38717</v>
      </c>
      <c r="B328" s="25" t="s">
        <v>476</v>
      </c>
      <c r="C328" s="25" t="s">
        <v>77</v>
      </c>
      <c r="D328" s="25" t="s">
        <v>105</v>
      </c>
      <c r="E328" s="25">
        <v>68307</v>
      </c>
      <c r="F328" s="25" t="s">
        <v>803</v>
      </c>
      <c r="G328" s="25">
        <v>3</v>
      </c>
      <c r="H328" s="25" t="s">
        <v>435</v>
      </c>
      <c r="I328" s="25" t="s">
        <v>65</v>
      </c>
      <c r="J328" s="25" t="s">
        <v>66</v>
      </c>
      <c r="K328" s="38">
        <v>45986.470138888886</v>
      </c>
      <c r="L328" s="25" t="s">
        <v>69</v>
      </c>
      <c r="M328" s="25" t="str">
        <f>VLOOKUP(E328,[1]TIPOLOGIAS!$A:$G,5,0)</f>
        <v>PRINCIPAL</v>
      </c>
      <c r="N328" s="25" t="str">
        <f>VLOOKUP(E328,[1]TIPOLOGIAS!$A:$G,4,0)</f>
        <v>BUCARAMANGA</v>
      </c>
      <c r="O328" s="25" t="str">
        <f>VLOOKUP(N328,'BASE TARIFA 2025'!E:F,2,0)</f>
        <v>WOMPI SANTANDERES</v>
      </c>
      <c r="P328" s="40">
        <f>VLOOKUP(M328,'BASE TARIFA 2025'!A:C,3,0)</f>
        <v>46451</v>
      </c>
      <c r="Q328" s="26" t="str">
        <f t="shared" si="10"/>
        <v>75%</v>
      </c>
      <c r="R328" s="41">
        <f t="shared" si="11"/>
        <v>104514.75</v>
      </c>
    </row>
    <row r="329" spans="1:18" ht="15" customHeight="1" x14ac:dyDescent="0.3">
      <c r="A329" s="25">
        <v>38777</v>
      </c>
      <c r="B329" s="25" t="s">
        <v>470</v>
      </c>
      <c r="C329" s="25" t="s">
        <v>63</v>
      </c>
      <c r="D329" s="25" t="s">
        <v>64</v>
      </c>
      <c r="E329" s="25">
        <v>11001</v>
      </c>
      <c r="F329" s="25" t="s">
        <v>804</v>
      </c>
      <c r="G329" s="25">
        <v>2</v>
      </c>
      <c r="H329" s="25" t="s">
        <v>436</v>
      </c>
      <c r="I329" s="25" t="s">
        <v>65</v>
      </c>
      <c r="J329" s="25" t="s">
        <v>66</v>
      </c>
      <c r="K329" s="38">
        <v>45985.631944444445</v>
      </c>
      <c r="L329" s="25" t="s">
        <v>69</v>
      </c>
      <c r="M329" s="25" t="str">
        <f>VLOOKUP(E329,[1]TIPOLOGIAS!$A:$G,5,0)</f>
        <v>PRINCIPAL</v>
      </c>
      <c r="N329" s="25" t="str">
        <f>VLOOKUP(E329,[1]TIPOLOGIAS!$A:$G,4,0)</f>
        <v>BOGOTA</v>
      </c>
      <c r="O329" s="25" t="str">
        <f>VLOOKUP(N329,'BASE TARIFA 2025'!E:F,2,0)</f>
        <v>WOMPI CENTRO</v>
      </c>
      <c r="P329" s="40">
        <f>VLOOKUP(M329,'BASE TARIFA 2025'!A:C,3,0)</f>
        <v>46451</v>
      </c>
      <c r="Q329" s="26" t="str">
        <f t="shared" si="10"/>
        <v>75%</v>
      </c>
      <c r="R329" s="41">
        <f t="shared" si="11"/>
        <v>69676.5</v>
      </c>
    </row>
    <row r="330" spans="1:18" ht="15" customHeight="1" x14ac:dyDescent="0.3">
      <c r="A330" s="25">
        <v>40578</v>
      </c>
      <c r="B330" s="25" t="s">
        <v>470</v>
      </c>
      <c r="C330" s="25" t="s">
        <v>63</v>
      </c>
      <c r="D330" s="25" t="s">
        <v>64</v>
      </c>
      <c r="E330" s="25">
        <v>11001</v>
      </c>
      <c r="F330" s="25" t="s">
        <v>805</v>
      </c>
      <c r="G330" s="25">
        <v>2</v>
      </c>
      <c r="H330" s="25" t="s">
        <v>437</v>
      </c>
      <c r="I330" s="25" t="s">
        <v>65</v>
      </c>
      <c r="J330" s="25" t="s">
        <v>66</v>
      </c>
      <c r="K330" s="38">
        <v>45983.493055555555</v>
      </c>
      <c r="L330" s="25" t="s">
        <v>69</v>
      </c>
      <c r="M330" s="25" t="str">
        <f>VLOOKUP(E330,[1]TIPOLOGIAS!$A:$G,5,0)</f>
        <v>PRINCIPAL</v>
      </c>
      <c r="N330" s="25" t="str">
        <f>VLOOKUP(E330,[1]TIPOLOGIAS!$A:$G,4,0)</f>
        <v>BOGOTA</v>
      </c>
      <c r="O330" s="25" t="str">
        <f>VLOOKUP(N330,'BASE TARIFA 2025'!E:F,2,0)</f>
        <v>WOMPI CENTRO</v>
      </c>
      <c r="P330" s="40">
        <f>VLOOKUP(M330,'BASE TARIFA 2025'!A:C,3,0)</f>
        <v>46451</v>
      </c>
      <c r="Q330" s="26" t="str">
        <f t="shared" si="10"/>
        <v>75%</v>
      </c>
      <c r="R330" s="41">
        <f t="shared" si="11"/>
        <v>69676.5</v>
      </c>
    </row>
    <row r="331" spans="1:18" ht="15" customHeight="1" x14ac:dyDescent="0.3">
      <c r="A331" s="25">
        <v>46994</v>
      </c>
      <c r="B331" s="25" t="s">
        <v>470</v>
      </c>
      <c r="C331" s="25" t="s">
        <v>63</v>
      </c>
      <c r="D331" s="25" t="s">
        <v>64</v>
      </c>
      <c r="E331" s="25">
        <v>11001</v>
      </c>
      <c r="F331" s="25" t="s">
        <v>806</v>
      </c>
      <c r="G331" s="25">
        <v>2</v>
      </c>
      <c r="H331" s="25" t="s">
        <v>438</v>
      </c>
      <c r="I331" s="25" t="s">
        <v>65</v>
      </c>
      <c r="J331" s="25" t="s">
        <v>66</v>
      </c>
      <c r="K331" s="38">
        <v>45985.459722222222</v>
      </c>
      <c r="L331" s="25" t="s">
        <v>69</v>
      </c>
      <c r="M331" s="25" t="str">
        <f>VLOOKUP(E331,[1]TIPOLOGIAS!$A:$G,5,0)</f>
        <v>PRINCIPAL</v>
      </c>
      <c r="N331" s="25" t="str">
        <f>VLOOKUP(E331,[1]TIPOLOGIAS!$A:$G,4,0)</f>
        <v>BOGOTA</v>
      </c>
      <c r="O331" s="25" t="str">
        <f>VLOOKUP(N331,'BASE TARIFA 2025'!E:F,2,0)</f>
        <v>WOMPI CENTRO</v>
      </c>
      <c r="P331" s="40">
        <f>VLOOKUP(M331,'BASE TARIFA 2025'!A:C,3,0)</f>
        <v>46451</v>
      </c>
      <c r="Q331" s="26" t="str">
        <f t="shared" si="10"/>
        <v>75%</v>
      </c>
      <c r="R331" s="41">
        <f t="shared" si="11"/>
        <v>69676.5</v>
      </c>
    </row>
    <row r="332" spans="1:18" ht="15" customHeight="1" x14ac:dyDescent="0.3">
      <c r="A332" s="25">
        <v>48371</v>
      </c>
      <c r="B332" s="25" t="s">
        <v>470</v>
      </c>
      <c r="C332" s="25" t="s">
        <v>63</v>
      </c>
      <c r="D332" s="25" t="s">
        <v>89</v>
      </c>
      <c r="E332" s="25">
        <v>25754</v>
      </c>
      <c r="F332" s="25" t="s">
        <v>807</v>
      </c>
      <c r="G332" s="25">
        <v>2</v>
      </c>
      <c r="H332" s="25" t="s">
        <v>439</v>
      </c>
      <c r="I332" s="25" t="s">
        <v>65</v>
      </c>
      <c r="J332" s="25" t="s">
        <v>66</v>
      </c>
      <c r="K332" s="38">
        <v>45985.655555555553</v>
      </c>
      <c r="L332" s="25" t="s">
        <v>69</v>
      </c>
      <c r="M332" s="25" t="str">
        <f>VLOOKUP(E332,[1]TIPOLOGIAS!$A:$G,5,0)</f>
        <v>PRINCIPAL</v>
      </c>
      <c r="N332" s="25" t="str">
        <f>VLOOKUP(E332,[1]TIPOLOGIAS!$A:$G,4,0)</f>
        <v>BOGOTA</v>
      </c>
      <c r="O332" s="25" t="str">
        <f>VLOOKUP(N332,'BASE TARIFA 2025'!E:F,2,0)</f>
        <v>WOMPI CENTRO</v>
      </c>
      <c r="P332" s="40">
        <f>VLOOKUP(M332,'BASE TARIFA 2025'!A:C,3,0)</f>
        <v>46451</v>
      </c>
      <c r="Q332" s="26" t="str">
        <f t="shared" si="10"/>
        <v>75%</v>
      </c>
      <c r="R332" s="41">
        <f t="shared" si="11"/>
        <v>69676.5</v>
      </c>
    </row>
    <row r="333" spans="1:18" ht="15" customHeight="1" x14ac:dyDescent="0.3">
      <c r="A333" s="25">
        <v>49558</v>
      </c>
      <c r="B333" s="25" t="s">
        <v>470</v>
      </c>
      <c r="C333" s="25" t="s">
        <v>63</v>
      </c>
      <c r="D333" s="25" t="s">
        <v>89</v>
      </c>
      <c r="E333" s="25">
        <v>25754</v>
      </c>
      <c r="F333" s="25" t="s">
        <v>808</v>
      </c>
      <c r="G333" s="25">
        <v>2</v>
      </c>
      <c r="H333" s="25" t="s">
        <v>440</v>
      </c>
      <c r="I333" s="25" t="s">
        <v>65</v>
      </c>
      <c r="J333" s="25" t="s">
        <v>66</v>
      </c>
      <c r="K333" s="38">
        <v>45985.566666666666</v>
      </c>
      <c r="L333" s="25" t="s">
        <v>69</v>
      </c>
      <c r="M333" s="25" t="str">
        <f>VLOOKUP(E333,[1]TIPOLOGIAS!$A:$G,5,0)</f>
        <v>PRINCIPAL</v>
      </c>
      <c r="N333" s="25" t="str">
        <f>VLOOKUP(E333,[1]TIPOLOGIAS!$A:$G,4,0)</f>
        <v>BOGOTA</v>
      </c>
      <c r="O333" s="25" t="str">
        <f>VLOOKUP(N333,'BASE TARIFA 2025'!E:F,2,0)</f>
        <v>WOMPI CENTRO</v>
      </c>
      <c r="P333" s="40">
        <f>VLOOKUP(M333,'BASE TARIFA 2025'!A:C,3,0)</f>
        <v>46451</v>
      </c>
      <c r="Q333" s="26" t="str">
        <f t="shared" si="10"/>
        <v>75%</v>
      </c>
      <c r="R333" s="41">
        <f t="shared" si="11"/>
        <v>69676.5</v>
      </c>
    </row>
    <row r="334" spans="1:18" ht="15" customHeight="1" x14ac:dyDescent="0.3">
      <c r="A334" s="25">
        <v>51187</v>
      </c>
      <c r="B334" s="25" t="s">
        <v>481</v>
      </c>
      <c r="C334" s="25" t="s">
        <v>85</v>
      </c>
      <c r="D334" s="25" t="s">
        <v>87</v>
      </c>
      <c r="E334" s="25">
        <v>66170</v>
      </c>
      <c r="F334" s="25" t="s">
        <v>809</v>
      </c>
      <c r="G334" s="25">
        <v>2</v>
      </c>
      <c r="H334" s="25" t="s">
        <v>441</v>
      </c>
      <c r="I334" s="25" t="s">
        <v>65</v>
      </c>
      <c r="J334" s="25" t="s">
        <v>66</v>
      </c>
      <c r="K334" s="38">
        <v>45987.401388888888</v>
      </c>
      <c r="L334" s="25" t="s">
        <v>69</v>
      </c>
      <c r="M334" s="25" t="str">
        <f>VLOOKUP(E334,[1]TIPOLOGIAS!$A:$G,5,0)</f>
        <v>PRINCIPAL</v>
      </c>
      <c r="N334" s="25" t="str">
        <f>VLOOKUP(E334,[1]TIPOLOGIAS!$A:$G,4,0)</f>
        <v>PEREIRA</v>
      </c>
      <c r="O334" s="25" t="str">
        <f>VLOOKUP(N334,'BASE TARIFA 2025'!E:F,2,0)</f>
        <v>WOMPI EJE CAFETERO</v>
      </c>
      <c r="P334" s="40">
        <f>VLOOKUP(M334,'BASE TARIFA 2025'!A:C,3,0)</f>
        <v>46451</v>
      </c>
      <c r="Q334" s="26" t="str">
        <f t="shared" si="10"/>
        <v>75%</v>
      </c>
      <c r="R334" s="41">
        <f t="shared" si="11"/>
        <v>69676.5</v>
      </c>
    </row>
    <row r="335" spans="1:18" ht="15" customHeight="1" x14ac:dyDescent="0.3">
      <c r="A335" s="25">
        <v>51640</v>
      </c>
      <c r="B335" s="25" t="s">
        <v>470</v>
      </c>
      <c r="C335" s="25" t="s">
        <v>63</v>
      </c>
      <c r="D335" s="25" t="s">
        <v>64</v>
      </c>
      <c r="E335" s="25">
        <v>11001</v>
      </c>
      <c r="F335" s="25" t="s">
        <v>810</v>
      </c>
      <c r="G335" s="25">
        <v>2</v>
      </c>
      <c r="H335" s="25" t="s">
        <v>442</v>
      </c>
      <c r="I335" s="25" t="s">
        <v>65</v>
      </c>
      <c r="J335" s="25" t="s">
        <v>66</v>
      </c>
      <c r="K335" s="38">
        <v>45986.624305555553</v>
      </c>
      <c r="L335" s="25" t="s">
        <v>69</v>
      </c>
      <c r="M335" s="25" t="str">
        <f>VLOOKUP(E335,[1]TIPOLOGIAS!$A:$G,5,0)</f>
        <v>PRINCIPAL</v>
      </c>
      <c r="N335" s="25" t="str">
        <f>VLOOKUP(E335,[1]TIPOLOGIAS!$A:$G,4,0)</f>
        <v>BOGOTA</v>
      </c>
      <c r="O335" s="25" t="str">
        <f>VLOOKUP(N335,'BASE TARIFA 2025'!E:F,2,0)</f>
        <v>WOMPI CENTRO</v>
      </c>
      <c r="P335" s="40">
        <f>VLOOKUP(M335,'BASE TARIFA 2025'!A:C,3,0)</f>
        <v>46451</v>
      </c>
      <c r="Q335" s="26" t="str">
        <f t="shared" si="10"/>
        <v>75%</v>
      </c>
      <c r="R335" s="41">
        <f t="shared" si="11"/>
        <v>69676.5</v>
      </c>
    </row>
    <row r="336" spans="1:18" ht="15" customHeight="1" x14ac:dyDescent="0.3">
      <c r="A336" s="25">
        <v>52994</v>
      </c>
      <c r="B336" s="25" t="s">
        <v>470</v>
      </c>
      <c r="C336" s="25" t="s">
        <v>63</v>
      </c>
      <c r="D336" s="25" t="s">
        <v>64</v>
      </c>
      <c r="E336" s="25">
        <v>11001</v>
      </c>
      <c r="F336" s="25" t="s">
        <v>811</v>
      </c>
      <c r="G336" s="25">
        <v>2</v>
      </c>
      <c r="H336" s="25" t="s">
        <v>443</v>
      </c>
      <c r="I336" s="25" t="s">
        <v>65</v>
      </c>
      <c r="J336" s="25" t="s">
        <v>66</v>
      </c>
      <c r="K336" s="38">
        <v>45987.540277777778</v>
      </c>
      <c r="L336" s="25" t="s">
        <v>69</v>
      </c>
      <c r="M336" s="25" t="str">
        <f>VLOOKUP(E336,[1]TIPOLOGIAS!$A:$G,5,0)</f>
        <v>PRINCIPAL</v>
      </c>
      <c r="N336" s="25" t="str">
        <f>VLOOKUP(E336,[1]TIPOLOGIAS!$A:$G,4,0)</f>
        <v>BOGOTA</v>
      </c>
      <c r="O336" s="25" t="str">
        <f>VLOOKUP(N336,'BASE TARIFA 2025'!E:F,2,0)</f>
        <v>WOMPI CENTRO</v>
      </c>
      <c r="P336" s="40">
        <f>VLOOKUP(M336,'BASE TARIFA 2025'!A:C,3,0)</f>
        <v>46451</v>
      </c>
      <c r="Q336" s="26" t="str">
        <f t="shared" si="10"/>
        <v>75%</v>
      </c>
      <c r="R336" s="41">
        <f t="shared" si="11"/>
        <v>69676.5</v>
      </c>
    </row>
    <row r="337" spans="1:18" ht="15" customHeight="1" x14ac:dyDescent="0.3">
      <c r="A337" s="25">
        <v>66712</v>
      </c>
      <c r="B337" s="25" t="s">
        <v>470</v>
      </c>
      <c r="C337" s="25" t="s">
        <v>63</v>
      </c>
      <c r="D337" s="25" t="s">
        <v>89</v>
      </c>
      <c r="E337" s="25">
        <v>25754</v>
      </c>
      <c r="F337" s="25" t="s">
        <v>812</v>
      </c>
      <c r="G337" s="25">
        <v>2</v>
      </c>
      <c r="H337" s="25" t="s">
        <v>444</v>
      </c>
      <c r="I337" s="25" t="s">
        <v>65</v>
      </c>
      <c r="J337" s="25" t="s">
        <v>66</v>
      </c>
      <c r="K337" s="38">
        <v>45987.477083333331</v>
      </c>
      <c r="L337" s="25" t="s">
        <v>69</v>
      </c>
      <c r="M337" s="25" t="str">
        <f>VLOOKUP(E337,[1]TIPOLOGIAS!$A:$G,5,0)</f>
        <v>PRINCIPAL</v>
      </c>
      <c r="N337" s="25" t="str">
        <f>VLOOKUP(E337,[1]TIPOLOGIAS!$A:$G,4,0)</f>
        <v>BOGOTA</v>
      </c>
      <c r="O337" s="25" t="str">
        <f>VLOOKUP(N337,'BASE TARIFA 2025'!E:F,2,0)</f>
        <v>WOMPI CENTRO</v>
      </c>
      <c r="P337" s="40">
        <f>VLOOKUP(M337,'BASE TARIFA 2025'!A:C,3,0)</f>
        <v>46451</v>
      </c>
      <c r="Q337" s="26" t="str">
        <f t="shared" si="10"/>
        <v>75%</v>
      </c>
      <c r="R337" s="41">
        <f t="shared" si="11"/>
        <v>69676.5</v>
      </c>
    </row>
    <row r="338" spans="1:18" ht="15" customHeight="1" x14ac:dyDescent="0.3">
      <c r="A338" s="25">
        <v>69857</v>
      </c>
      <c r="B338" s="25" t="s">
        <v>470</v>
      </c>
      <c r="C338" s="25" t="s">
        <v>63</v>
      </c>
      <c r="D338" s="25" t="s">
        <v>89</v>
      </c>
      <c r="E338" s="25">
        <v>25754</v>
      </c>
      <c r="F338" s="25" t="s">
        <v>813</v>
      </c>
      <c r="G338" s="25">
        <v>3</v>
      </c>
      <c r="H338" s="25" t="s">
        <v>445</v>
      </c>
      <c r="I338" s="25" t="s">
        <v>65</v>
      </c>
      <c r="J338" s="25" t="s">
        <v>66</v>
      </c>
      <c r="K338" s="38">
        <v>45982.688888888886</v>
      </c>
      <c r="L338" s="25" t="s">
        <v>69</v>
      </c>
      <c r="M338" s="25" t="str">
        <f>VLOOKUP(E338,[1]TIPOLOGIAS!$A:$G,5,0)</f>
        <v>PRINCIPAL</v>
      </c>
      <c r="N338" s="25" t="str">
        <f>VLOOKUP(E338,[1]TIPOLOGIAS!$A:$G,4,0)</f>
        <v>BOGOTA</v>
      </c>
      <c r="O338" s="25" t="str">
        <f>VLOOKUP(N338,'BASE TARIFA 2025'!E:F,2,0)</f>
        <v>WOMPI CENTRO</v>
      </c>
      <c r="P338" s="40">
        <f>VLOOKUP(M338,'BASE TARIFA 2025'!A:C,3,0)</f>
        <v>46451</v>
      </c>
      <c r="Q338" s="26" t="str">
        <f t="shared" si="10"/>
        <v>75%</v>
      </c>
      <c r="R338" s="41">
        <f t="shared" si="11"/>
        <v>104514.75</v>
      </c>
    </row>
    <row r="339" spans="1:18" ht="15" customHeight="1" x14ac:dyDescent="0.3">
      <c r="A339" s="25">
        <v>74054</v>
      </c>
      <c r="B339" s="25" t="s">
        <v>476</v>
      </c>
      <c r="C339" s="25" t="s">
        <v>77</v>
      </c>
      <c r="D339" s="25" t="s">
        <v>80</v>
      </c>
      <c r="E339" s="25">
        <v>68276</v>
      </c>
      <c r="F339" s="25" t="s">
        <v>814</v>
      </c>
      <c r="G339" s="25">
        <v>2</v>
      </c>
      <c r="H339" s="25" t="s">
        <v>446</v>
      </c>
      <c r="I339" s="25" t="s">
        <v>65</v>
      </c>
      <c r="J339" s="25" t="s">
        <v>66</v>
      </c>
      <c r="K339" s="38">
        <v>45987.593055555553</v>
      </c>
      <c r="L339" s="25" t="s">
        <v>69</v>
      </c>
      <c r="M339" s="25" t="str">
        <f>VLOOKUP(E339,[1]TIPOLOGIAS!$A:$G,5,0)</f>
        <v>PRINCIPAL</v>
      </c>
      <c r="N339" s="25" t="str">
        <f>VLOOKUP(E339,[1]TIPOLOGIAS!$A:$G,4,0)</f>
        <v>BUCARAMANGA</v>
      </c>
      <c r="O339" s="25" t="str">
        <f>VLOOKUP(N339,'BASE TARIFA 2025'!E:F,2,0)</f>
        <v>WOMPI SANTANDERES</v>
      </c>
      <c r="P339" s="40">
        <f>VLOOKUP(M339,'BASE TARIFA 2025'!A:C,3,0)</f>
        <v>46451</v>
      </c>
      <c r="Q339" s="26" t="str">
        <f t="shared" si="10"/>
        <v>75%</v>
      </c>
      <c r="R339" s="41">
        <f t="shared" si="11"/>
        <v>69676.5</v>
      </c>
    </row>
    <row r="340" spans="1:18" ht="15" customHeight="1" x14ac:dyDescent="0.3">
      <c r="A340" s="25">
        <v>80698</v>
      </c>
      <c r="B340" s="25" t="s">
        <v>470</v>
      </c>
      <c r="C340" s="25" t="s">
        <v>63</v>
      </c>
      <c r="D340" s="25" t="s">
        <v>89</v>
      </c>
      <c r="E340" s="25">
        <v>25754</v>
      </c>
      <c r="F340" s="25" t="s">
        <v>815</v>
      </c>
      <c r="G340" s="25">
        <v>3</v>
      </c>
      <c r="H340" s="25" t="s">
        <v>447</v>
      </c>
      <c r="I340" s="25" t="s">
        <v>65</v>
      </c>
      <c r="J340" s="25" t="s">
        <v>66</v>
      </c>
      <c r="K340" s="38">
        <v>45986.420138888891</v>
      </c>
      <c r="L340" s="25" t="s">
        <v>69</v>
      </c>
      <c r="M340" s="25" t="str">
        <f>VLOOKUP(E340,[1]TIPOLOGIAS!$A:$G,5,0)</f>
        <v>PRINCIPAL</v>
      </c>
      <c r="N340" s="25" t="str">
        <f>VLOOKUP(E340,[1]TIPOLOGIAS!$A:$G,4,0)</f>
        <v>BOGOTA</v>
      </c>
      <c r="O340" s="25" t="str">
        <f>VLOOKUP(N340,'BASE TARIFA 2025'!E:F,2,0)</f>
        <v>WOMPI CENTRO</v>
      </c>
      <c r="P340" s="40">
        <f>VLOOKUP(M340,'BASE TARIFA 2025'!A:C,3,0)</f>
        <v>46451</v>
      </c>
      <c r="Q340" s="26" t="str">
        <f t="shared" si="10"/>
        <v>75%</v>
      </c>
      <c r="R340" s="41">
        <f t="shared" si="11"/>
        <v>104514.75</v>
      </c>
    </row>
    <row r="341" spans="1:18" ht="15" customHeight="1" x14ac:dyDescent="0.3">
      <c r="A341" s="25">
        <v>35979</v>
      </c>
      <c r="B341" s="25" t="s">
        <v>470</v>
      </c>
      <c r="C341" s="25" t="s">
        <v>63</v>
      </c>
      <c r="D341" s="25" t="s">
        <v>89</v>
      </c>
      <c r="E341" s="25">
        <v>25754</v>
      </c>
      <c r="F341" s="25" t="s">
        <v>816</v>
      </c>
      <c r="G341" s="25">
        <v>2</v>
      </c>
      <c r="H341" s="25" t="s">
        <v>448</v>
      </c>
      <c r="I341" s="25" t="s">
        <v>65</v>
      </c>
      <c r="J341" s="25" t="s">
        <v>66</v>
      </c>
      <c r="K341" s="38">
        <v>45985.475694444445</v>
      </c>
      <c r="L341" s="25" t="s">
        <v>69</v>
      </c>
      <c r="M341" s="25" t="str">
        <f>VLOOKUP(E341,[1]TIPOLOGIAS!$A:$G,5,0)</f>
        <v>PRINCIPAL</v>
      </c>
      <c r="N341" s="25" t="str">
        <f>VLOOKUP(E341,[1]TIPOLOGIAS!$A:$G,4,0)</f>
        <v>BOGOTA</v>
      </c>
      <c r="O341" s="25" t="str">
        <f>VLOOKUP(N341,'BASE TARIFA 2025'!E:F,2,0)</f>
        <v>WOMPI CENTRO</v>
      </c>
      <c r="P341" s="40">
        <f>VLOOKUP(M341,'BASE TARIFA 2025'!A:C,3,0)</f>
        <v>46451</v>
      </c>
      <c r="Q341" s="26" t="str">
        <f t="shared" si="10"/>
        <v>75%</v>
      </c>
      <c r="R341" s="41">
        <f t="shared" si="11"/>
        <v>69676.5</v>
      </c>
    </row>
    <row r="342" spans="1:18" ht="15" customHeight="1" x14ac:dyDescent="0.3">
      <c r="A342" s="25">
        <v>37380</v>
      </c>
      <c r="B342" s="25" t="s">
        <v>90</v>
      </c>
      <c r="C342" s="25" t="s">
        <v>90</v>
      </c>
      <c r="D342" s="25" t="s">
        <v>91</v>
      </c>
      <c r="E342" s="25">
        <v>5001</v>
      </c>
      <c r="F342" s="25" t="s">
        <v>817</v>
      </c>
      <c r="G342" s="25">
        <v>2</v>
      </c>
      <c r="H342" s="25" t="s">
        <v>449</v>
      </c>
      <c r="I342" s="25" t="s">
        <v>65</v>
      </c>
      <c r="J342" s="25" t="s">
        <v>66</v>
      </c>
      <c r="K342" s="38">
        <v>45981.548611111109</v>
      </c>
      <c r="L342" s="25" t="s">
        <v>69</v>
      </c>
      <c r="M342" s="25" t="str">
        <f>VLOOKUP(E342,[1]TIPOLOGIAS!$A:$G,5,0)</f>
        <v>PRINCIPAL</v>
      </c>
      <c r="N342" s="25" t="str">
        <f>VLOOKUP(E342,[1]TIPOLOGIAS!$A:$G,4,0)</f>
        <v>MEDELLIN</v>
      </c>
      <c r="O342" s="25" t="str">
        <f>VLOOKUP(N342,'BASE TARIFA 2025'!E:F,2,0)</f>
        <v>WOMPI NOROCCIDENTE</v>
      </c>
      <c r="P342" s="40">
        <f>VLOOKUP(M342,'BASE TARIFA 2025'!A:C,3,0)</f>
        <v>46451</v>
      </c>
      <c r="Q342" s="26" t="str">
        <f t="shared" si="10"/>
        <v>75%</v>
      </c>
      <c r="R342" s="41">
        <f t="shared" si="11"/>
        <v>69676.5</v>
      </c>
    </row>
    <row r="343" spans="1:18" ht="15" customHeight="1" x14ac:dyDescent="0.3">
      <c r="A343" s="25">
        <v>37382</v>
      </c>
      <c r="B343" s="25" t="s">
        <v>90</v>
      </c>
      <c r="C343" s="25" t="s">
        <v>90</v>
      </c>
      <c r="D343" s="25" t="s">
        <v>91</v>
      </c>
      <c r="E343" s="25">
        <v>5001</v>
      </c>
      <c r="F343" s="25" t="s">
        <v>818</v>
      </c>
      <c r="G343" s="25">
        <v>3</v>
      </c>
      <c r="H343" s="25" t="s">
        <v>450</v>
      </c>
      <c r="I343" s="25" t="s">
        <v>65</v>
      </c>
      <c r="J343" s="25" t="s">
        <v>66</v>
      </c>
      <c r="K343" s="38">
        <v>45985.583333333336</v>
      </c>
      <c r="L343" s="25" t="s">
        <v>69</v>
      </c>
      <c r="M343" s="25" t="str">
        <f>VLOOKUP(E343,[1]TIPOLOGIAS!$A:$G,5,0)</f>
        <v>PRINCIPAL</v>
      </c>
      <c r="N343" s="25" t="str">
        <f>VLOOKUP(E343,[1]TIPOLOGIAS!$A:$G,4,0)</f>
        <v>MEDELLIN</v>
      </c>
      <c r="O343" s="25" t="str">
        <f>VLOOKUP(N343,'BASE TARIFA 2025'!E:F,2,0)</f>
        <v>WOMPI NOROCCIDENTE</v>
      </c>
      <c r="P343" s="40">
        <f>VLOOKUP(M343,'BASE TARIFA 2025'!A:C,3,0)</f>
        <v>46451</v>
      </c>
      <c r="Q343" s="26" t="str">
        <f t="shared" si="10"/>
        <v>75%</v>
      </c>
      <c r="R343" s="41">
        <f t="shared" si="11"/>
        <v>104514.75</v>
      </c>
    </row>
    <row r="344" spans="1:18" ht="15" customHeight="1" x14ac:dyDescent="0.3">
      <c r="A344" s="25">
        <v>28238</v>
      </c>
      <c r="B344" s="25" t="s">
        <v>90</v>
      </c>
      <c r="C344" s="25" t="s">
        <v>90</v>
      </c>
      <c r="D344" s="25" t="s">
        <v>91</v>
      </c>
      <c r="E344" s="25">
        <v>5001</v>
      </c>
      <c r="F344" s="25" t="s">
        <v>819</v>
      </c>
      <c r="G344" s="25">
        <v>1</v>
      </c>
      <c r="H344" s="25" t="s">
        <v>451</v>
      </c>
      <c r="I344" s="25" t="s">
        <v>65</v>
      </c>
      <c r="J344" s="25" t="s">
        <v>66</v>
      </c>
      <c r="K344" s="38">
        <v>45986.459027777775</v>
      </c>
      <c r="L344" s="25" t="s">
        <v>69</v>
      </c>
      <c r="M344" s="25" t="str">
        <f>VLOOKUP(E344,[1]TIPOLOGIAS!$A:$G,5,0)</f>
        <v>PRINCIPAL</v>
      </c>
      <c r="N344" s="25" t="str">
        <f>VLOOKUP(E344,[1]TIPOLOGIAS!$A:$G,4,0)</f>
        <v>MEDELLIN</v>
      </c>
      <c r="O344" s="25" t="str">
        <f>VLOOKUP(N344,'BASE TARIFA 2025'!E:F,2,0)</f>
        <v>WOMPI NOROCCIDENTE</v>
      </c>
      <c r="P344" s="40">
        <f>VLOOKUP(M344,'BASE TARIFA 2025'!A:C,3,0)</f>
        <v>46451</v>
      </c>
      <c r="Q344" s="26" t="str">
        <f t="shared" si="10"/>
        <v>75%</v>
      </c>
      <c r="R344" s="41">
        <f t="shared" si="11"/>
        <v>34838.25</v>
      </c>
    </row>
    <row r="345" spans="1:18" ht="15" customHeight="1" x14ac:dyDescent="0.3">
      <c r="A345" s="25">
        <v>76074</v>
      </c>
      <c r="B345" s="25" t="s">
        <v>90</v>
      </c>
      <c r="C345" s="25" t="s">
        <v>90</v>
      </c>
      <c r="D345" s="25" t="s">
        <v>92</v>
      </c>
      <c r="E345" s="25">
        <v>5088</v>
      </c>
      <c r="F345" s="25" t="s">
        <v>820</v>
      </c>
      <c r="G345" s="25">
        <v>1</v>
      </c>
      <c r="H345" s="25" t="s">
        <v>452</v>
      </c>
      <c r="I345" s="25" t="s">
        <v>65</v>
      </c>
      <c r="J345" s="25" t="s">
        <v>66</v>
      </c>
      <c r="K345" s="38">
        <v>45986.450694444444</v>
      </c>
      <c r="L345" s="25" t="s">
        <v>69</v>
      </c>
      <c r="M345" s="25" t="str">
        <f>VLOOKUP(E345,[1]TIPOLOGIAS!$A:$G,5,0)</f>
        <v>PRINCIPAL</v>
      </c>
      <c r="N345" s="25" t="str">
        <f>VLOOKUP(E345,[1]TIPOLOGIAS!$A:$G,4,0)</f>
        <v>MEDELLIN</v>
      </c>
      <c r="O345" s="25" t="str">
        <f>VLOOKUP(N345,'BASE TARIFA 2025'!E:F,2,0)</f>
        <v>WOMPI NOROCCIDENTE</v>
      </c>
      <c r="P345" s="40">
        <f>VLOOKUP(M345,'BASE TARIFA 2025'!A:C,3,0)</f>
        <v>46451</v>
      </c>
      <c r="Q345" s="26" t="str">
        <f t="shared" si="10"/>
        <v>75%</v>
      </c>
      <c r="R345" s="41">
        <f t="shared" si="11"/>
        <v>34838.25</v>
      </c>
    </row>
    <row r="346" spans="1:18" ht="15" customHeight="1" x14ac:dyDescent="0.3">
      <c r="A346" s="25">
        <v>50452</v>
      </c>
      <c r="B346" s="25" t="s">
        <v>491</v>
      </c>
      <c r="C346" s="25" t="s">
        <v>74</v>
      </c>
      <c r="D346" s="25" t="s">
        <v>98</v>
      </c>
      <c r="E346" s="25">
        <v>8758</v>
      </c>
      <c r="F346" s="25" t="s">
        <v>821</v>
      </c>
      <c r="G346" s="25">
        <v>1</v>
      </c>
      <c r="H346" s="25" t="s">
        <v>453</v>
      </c>
      <c r="I346" s="25" t="s">
        <v>65</v>
      </c>
      <c r="J346" s="25" t="s">
        <v>66</v>
      </c>
      <c r="K346" s="38">
        <v>45986.569444444445</v>
      </c>
      <c r="L346" s="25" t="s">
        <v>69</v>
      </c>
      <c r="M346" s="25" t="str">
        <f>VLOOKUP(E346,[1]TIPOLOGIAS!$A:$G,5,0)</f>
        <v>PRINCIPAL</v>
      </c>
      <c r="N346" s="25" t="str">
        <f>VLOOKUP(E346,[1]TIPOLOGIAS!$A:$G,4,0)</f>
        <v>BARRANQUILLA</v>
      </c>
      <c r="O346" s="25" t="str">
        <f>VLOOKUP(N346,'BASE TARIFA 2025'!E:F,2,0)</f>
        <v>WOMPI COSTA</v>
      </c>
      <c r="P346" s="40">
        <f>VLOOKUP(M346,'BASE TARIFA 2025'!A:C,3,0)</f>
        <v>46451</v>
      </c>
      <c r="Q346" s="26" t="str">
        <f t="shared" si="10"/>
        <v>75%</v>
      </c>
      <c r="R346" s="41">
        <f t="shared" si="11"/>
        <v>34838.25</v>
      </c>
    </row>
    <row r="347" spans="1:18" ht="15" customHeight="1" x14ac:dyDescent="0.3">
      <c r="A347" s="25">
        <v>50453</v>
      </c>
      <c r="B347" s="25" t="s">
        <v>491</v>
      </c>
      <c r="C347" s="25" t="s">
        <v>74</v>
      </c>
      <c r="D347" s="25" t="s">
        <v>98</v>
      </c>
      <c r="E347" s="25">
        <v>8758</v>
      </c>
      <c r="F347" s="25" t="s">
        <v>822</v>
      </c>
      <c r="G347" s="25">
        <v>1</v>
      </c>
      <c r="H347" s="25" t="s">
        <v>454</v>
      </c>
      <c r="I347" s="25" t="s">
        <v>65</v>
      </c>
      <c r="J347" s="25" t="s">
        <v>66</v>
      </c>
      <c r="K347" s="38">
        <v>45986.585416666669</v>
      </c>
      <c r="L347" s="25" t="s">
        <v>69</v>
      </c>
      <c r="M347" s="25" t="str">
        <f>VLOOKUP(E347,[1]TIPOLOGIAS!$A:$G,5,0)</f>
        <v>PRINCIPAL</v>
      </c>
      <c r="N347" s="25" t="str">
        <f>VLOOKUP(E347,[1]TIPOLOGIAS!$A:$G,4,0)</f>
        <v>BARRANQUILLA</v>
      </c>
      <c r="O347" s="25" t="str">
        <f>VLOOKUP(N347,'BASE TARIFA 2025'!E:F,2,0)</f>
        <v>WOMPI COSTA</v>
      </c>
      <c r="P347" s="40">
        <f>VLOOKUP(M347,'BASE TARIFA 2025'!A:C,3,0)</f>
        <v>46451</v>
      </c>
      <c r="Q347" s="26" t="str">
        <f t="shared" si="10"/>
        <v>75%</v>
      </c>
      <c r="R347" s="41">
        <f t="shared" si="11"/>
        <v>34838.25</v>
      </c>
    </row>
    <row r="348" spans="1:18" ht="15" customHeight="1" x14ac:dyDescent="0.3">
      <c r="A348" s="25">
        <v>41333</v>
      </c>
      <c r="B348" s="25" t="s">
        <v>476</v>
      </c>
      <c r="C348" s="25" t="s">
        <v>75</v>
      </c>
      <c r="D348" s="25" t="s">
        <v>76</v>
      </c>
      <c r="E348" s="25">
        <v>73001</v>
      </c>
      <c r="F348" s="25" t="s">
        <v>823</v>
      </c>
      <c r="G348" s="25">
        <v>1</v>
      </c>
      <c r="H348" s="25" t="s">
        <v>455</v>
      </c>
      <c r="I348" s="25" t="s">
        <v>65</v>
      </c>
      <c r="J348" s="25" t="s">
        <v>66</v>
      </c>
      <c r="K348" s="38">
        <v>45987.388888888891</v>
      </c>
      <c r="L348" s="25" t="s">
        <v>69</v>
      </c>
      <c r="M348" s="25" t="str">
        <f>VLOOKUP(E348,[1]TIPOLOGIAS!$A:$G,5,0)</f>
        <v>PRINCIPAL</v>
      </c>
      <c r="N348" s="25" t="str">
        <f>VLOOKUP(E348,[1]TIPOLOGIAS!$A:$G,4,0)</f>
        <v>IBAGUE</v>
      </c>
      <c r="O348" s="25" t="str">
        <f>VLOOKUP(N348,'BASE TARIFA 2025'!E:F,2,0)</f>
        <v>WOMPI ORIENTE</v>
      </c>
      <c r="P348" s="40">
        <f>VLOOKUP(M348,'BASE TARIFA 2025'!A:C,3,0)</f>
        <v>46451</v>
      </c>
      <c r="Q348" s="26" t="str">
        <f t="shared" si="10"/>
        <v>75%</v>
      </c>
      <c r="R348" s="41">
        <f t="shared" si="11"/>
        <v>34838.25</v>
      </c>
    </row>
    <row r="349" spans="1:18" ht="15" customHeight="1" x14ac:dyDescent="0.3">
      <c r="A349" s="25">
        <v>50001</v>
      </c>
      <c r="B349" s="25" t="s">
        <v>476</v>
      </c>
      <c r="C349" s="25" t="s">
        <v>75</v>
      </c>
      <c r="D349" s="25" t="s">
        <v>76</v>
      </c>
      <c r="E349" s="25">
        <v>73001</v>
      </c>
      <c r="F349" s="25" t="s">
        <v>824</v>
      </c>
      <c r="G349" s="25">
        <v>1</v>
      </c>
      <c r="H349" s="25" t="s">
        <v>456</v>
      </c>
      <c r="I349" s="25" t="s">
        <v>65</v>
      </c>
      <c r="J349" s="25" t="s">
        <v>66</v>
      </c>
      <c r="K349" s="38">
        <v>45986.599305555559</v>
      </c>
      <c r="L349" s="25" t="s">
        <v>69</v>
      </c>
      <c r="M349" s="25" t="str">
        <f>VLOOKUP(E349,[1]TIPOLOGIAS!$A:$G,5,0)</f>
        <v>PRINCIPAL</v>
      </c>
      <c r="N349" s="25" t="str">
        <f>VLOOKUP(E349,[1]TIPOLOGIAS!$A:$G,4,0)</f>
        <v>IBAGUE</v>
      </c>
      <c r="O349" s="25" t="str">
        <f>VLOOKUP(N349,'BASE TARIFA 2025'!E:F,2,0)</f>
        <v>WOMPI ORIENTE</v>
      </c>
      <c r="P349" s="40">
        <f>VLOOKUP(M349,'BASE TARIFA 2025'!A:C,3,0)</f>
        <v>46451</v>
      </c>
      <c r="Q349" s="26" t="str">
        <f t="shared" si="10"/>
        <v>75%</v>
      </c>
      <c r="R349" s="41">
        <f t="shared" si="11"/>
        <v>34838.25</v>
      </c>
    </row>
    <row r="350" spans="1:18" ht="15" customHeight="1" x14ac:dyDescent="0.3">
      <c r="A350" s="25">
        <v>64973</v>
      </c>
      <c r="B350" s="25" t="s">
        <v>476</v>
      </c>
      <c r="C350" s="25" t="s">
        <v>75</v>
      </c>
      <c r="D350" s="25" t="s">
        <v>76</v>
      </c>
      <c r="E350" s="25">
        <v>73001</v>
      </c>
      <c r="F350" s="25" t="s">
        <v>825</v>
      </c>
      <c r="G350" s="25">
        <v>1</v>
      </c>
      <c r="H350" s="25" t="s">
        <v>457</v>
      </c>
      <c r="I350" s="25" t="s">
        <v>65</v>
      </c>
      <c r="J350" s="25" t="s">
        <v>66</v>
      </c>
      <c r="K350" s="38">
        <v>45986.411805555559</v>
      </c>
      <c r="L350" s="25" t="s">
        <v>69</v>
      </c>
      <c r="M350" s="25" t="str">
        <f>VLOOKUP(E350,[1]TIPOLOGIAS!$A:$G,5,0)</f>
        <v>PRINCIPAL</v>
      </c>
      <c r="N350" s="25" t="str">
        <f>VLOOKUP(E350,[1]TIPOLOGIAS!$A:$G,4,0)</f>
        <v>IBAGUE</v>
      </c>
      <c r="O350" s="25" t="str">
        <f>VLOOKUP(N350,'BASE TARIFA 2025'!E:F,2,0)</f>
        <v>WOMPI ORIENTE</v>
      </c>
      <c r="P350" s="40">
        <f>VLOOKUP(M350,'BASE TARIFA 2025'!A:C,3,0)</f>
        <v>46451</v>
      </c>
      <c r="Q350" s="26" t="str">
        <f t="shared" si="10"/>
        <v>75%</v>
      </c>
      <c r="R350" s="41">
        <f t="shared" si="11"/>
        <v>34838.25</v>
      </c>
    </row>
    <row r="351" spans="1:18" ht="15" customHeight="1" x14ac:dyDescent="0.3">
      <c r="A351" s="25">
        <v>77026</v>
      </c>
      <c r="B351" s="25" t="s">
        <v>476</v>
      </c>
      <c r="C351" s="25" t="s">
        <v>78</v>
      </c>
      <c r="D351" s="25" t="s">
        <v>30</v>
      </c>
      <c r="E351" s="25">
        <v>41001</v>
      </c>
      <c r="F351" s="25" t="s">
        <v>826</v>
      </c>
      <c r="G351" s="25">
        <v>1</v>
      </c>
      <c r="H351" s="25" t="s">
        <v>458</v>
      </c>
      <c r="I351" s="25" t="s">
        <v>65</v>
      </c>
      <c r="J351" s="25" t="s">
        <v>66</v>
      </c>
      <c r="K351" s="38">
        <v>45986.461805555555</v>
      </c>
      <c r="L351" s="25" t="s">
        <v>69</v>
      </c>
      <c r="M351" s="25" t="str">
        <f>VLOOKUP(E351,[1]TIPOLOGIAS!$A:$G,5,0)</f>
        <v>PRINCIPAL</v>
      </c>
      <c r="N351" s="25" t="str">
        <f>VLOOKUP(E351,[1]TIPOLOGIAS!$A:$G,4,0)</f>
        <v>NEIVA</v>
      </c>
      <c r="O351" s="25" t="str">
        <f>VLOOKUP(N351,'BASE TARIFA 2025'!E:F,2,0)</f>
        <v>WOMPI ORIENTE</v>
      </c>
      <c r="P351" s="40">
        <f>VLOOKUP(M351,'BASE TARIFA 2025'!A:C,3,0)</f>
        <v>46451</v>
      </c>
      <c r="Q351" s="26" t="str">
        <f t="shared" si="10"/>
        <v>75%</v>
      </c>
      <c r="R351" s="41">
        <f t="shared" si="11"/>
        <v>34838.25</v>
      </c>
    </row>
    <row r="352" spans="1:18" ht="15" customHeight="1" x14ac:dyDescent="0.3">
      <c r="A352" s="25">
        <v>17604</v>
      </c>
      <c r="B352" s="25" t="s">
        <v>481</v>
      </c>
      <c r="C352" s="25" t="s">
        <v>82</v>
      </c>
      <c r="D352" s="25" t="s">
        <v>103</v>
      </c>
      <c r="E352" s="25">
        <v>76520</v>
      </c>
      <c r="F352" s="25" t="s">
        <v>827</v>
      </c>
      <c r="G352" s="25">
        <v>1</v>
      </c>
      <c r="H352" s="25" t="s">
        <v>459</v>
      </c>
      <c r="I352" s="25" t="s">
        <v>65</v>
      </c>
      <c r="J352" s="25" t="s">
        <v>66</v>
      </c>
      <c r="K352" s="38">
        <v>45985.525694444441</v>
      </c>
      <c r="L352" s="25" t="s">
        <v>69</v>
      </c>
      <c r="M352" s="25" t="str">
        <f>VLOOKUP(E352,[1]TIPOLOGIAS!$A:$G,5,0)</f>
        <v>PRINCIPAL</v>
      </c>
      <c r="N352" s="25" t="str">
        <f>VLOOKUP(E352,[1]TIPOLOGIAS!$A:$G,4,0)</f>
        <v>CALI</v>
      </c>
      <c r="O352" s="25" t="str">
        <f>VLOOKUP(N352,'BASE TARIFA 2025'!E:F,2,0)</f>
        <v>WOMPI SUROCCIDENTE</v>
      </c>
      <c r="P352" s="40">
        <f>VLOOKUP(M352,'BASE TARIFA 2025'!A:C,3,0)</f>
        <v>46451</v>
      </c>
      <c r="Q352" s="26" t="str">
        <f t="shared" si="10"/>
        <v>75%</v>
      </c>
      <c r="R352" s="41">
        <f t="shared" si="11"/>
        <v>34838.25</v>
      </c>
    </row>
    <row r="353" spans="1:18" ht="15" customHeight="1" x14ac:dyDescent="0.3">
      <c r="A353" s="25">
        <v>20791</v>
      </c>
      <c r="B353" s="25" t="s">
        <v>481</v>
      </c>
      <c r="C353" s="25" t="s">
        <v>82</v>
      </c>
      <c r="D353" s="25" t="s">
        <v>103</v>
      </c>
      <c r="E353" s="25">
        <v>76520</v>
      </c>
      <c r="F353" s="25" t="s">
        <v>828</v>
      </c>
      <c r="G353" s="25">
        <v>1</v>
      </c>
      <c r="H353" s="25" t="s">
        <v>460</v>
      </c>
      <c r="I353" s="25" t="s">
        <v>65</v>
      </c>
      <c r="J353" s="25" t="s">
        <v>66</v>
      </c>
      <c r="K353" s="38">
        <v>45985.520833333336</v>
      </c>
      <c r="L353" s="25" t="s">
        <v>69</v>
      </c>
      <c r="M353" s="25" t="str">
        <f>VLOOKUP(E353,[1]TIPOLOGIAS!$A:$G,5,0)</f>
        <v>PRINCIPAL</v>
      </c>
      <c r="N353" s="25" t="str">
        <f>VLOOKUP(E353,[1]TIPOLOGIAS!$A:$G,4,0)</f>
        <v>CALI</v>
      </c>
      <c r="O353" s="25" t="str">
        <f>VLOOKUP(N353,'BASE TARIFA 2025'!E:F,2,0)</f>
        <v>WOMPI SUROCCIDENTE</v>
      </c>
      <c r="P353" s="40">
        <f>VLOOKUP(M353,'BASE TARIFA 2025'!A:C,3,0)</f>
        <v>46451</v>
      </c>
      <c r="Q353" s="26" t="str">
        <f t="shared" si="10"/>
        <v>75%</v>
      </c>
      <c r="R353" s="41">
        <f t="shared" si="11"/>
        <v>34838.25</v>
      </c>
    </row>
    <row r="354" spans="1:18" ht="15" customHeight="1" x14ac:dyDescent="0.3">
      <c r="A354" s="25">
        <v>78279</v>
      </c>
      <c r="B354" s="25" t="s">
        <v>481</v>
      </c>
      <c r="C354" s="25" t="s">
        <v>82</v>
      </c>
      <c r="D354" s="25" t="s">
        <v>103</v>
      </c>
      <c r="E354" s="25">
        <v>76520</v>
      </c>
      <c r="F354" s="25" t="s">
        <v>829</v>
      </c>
      <c r="G354" s="25">
        <v>1</v>
      </c>
      <c r="H354" s="25" t="s">
        <v>461</v>
      </c>
      <c r="I354" s="25" t="s">
        <v>65</v>
      </c>
      <c r="J354" s="25" t="s">
        <v>66</v>
      </c>
      <c r="K354" s="38">
        <v>45986.425694444442</v>
      </c>
      <c r="L354" s="25" t="s">
        <v>69</v>
      </c>
      <c r="M354" s="25" t="str">
        <f>VLOOKUP(E354,[1]TIPOLOGIAS!$A:$G,5,0)</f>
        <v>PRINCIPAL</v>
      </c>
      <c r="N354" s="25" t="str">
        <f>VLOOKUP(E354,[1]TIPOLOGIAS!$A:$G,4,0)</f>
        <v>CALI</v>
      </c>
      <c r="O354" s="25" t="str">
        <f>VLOOKUP(N354,'BASE TARIFA 2025'!E:F,2,0)</f>
        <v>WOMPI SUROCCIDENTE</v>
      </c>
      <c r="P354" s="40">
        <f>VLOOKUP(M354,'BASE TARIFA 2025'!A:C,3,0)</f>
        <v>46451</v>
      </c>
      <c r="Q354" s="26" t="str">
        <f t="shared" si="10"/>
        <v>75%</v>
      </c>
      <c r="R354" s="41">
        <f t="shared" si="11"/>
        <v>34838.25</v>
      </c>
    </row>
    <row r="355" spans="1:18" ht="15" customHeight="1" x14ac:dyDescent="0.3">
      <c r="A355" s="25">
        <v>78434</v>
      </c>
      <c r="B355" s="25" t="s">
        <v>481</v>
      </c>
      <c r="C355" s="25" t="s">
        <v>82</v>
      </c>
      <c r="D355" s="25" t="s">
        <v>103</v>
      </c>
      <c r="E355" s="25">
        <v>76520</v>
      </c>
      <c r="F355" s="25" t="s">
        <v>830</v>
      </c>
      <c r="G355" s="25">
        <v>1</v>
      </c>
      <c r="H355" s="25" t="s">
        <v>462</v>
      </c>
      <c r="I355" s="25" t="s">
        <v>65</v>
      </c>
      <c r="J355" s="25" t="s">
        <v>66</v>
      </c>
      <c r="K355" s="38">
        <v>45986.604861111111</v>
      </c>
      <c r="L355" s="25" t="s">
        <v>69</v>
      </c>
      <c r="M355" s="25" t="str">
        <f>VLOOKUP(E355,[1]TIPOLOGIAS!$A:$G,5,0)</f>
        <v>PRINCIPAL</v>
      </c>
      <c r="N355" s="25" t="str">
        <f>VLOOKUP(E355,[1]TIPOLOGIAS!$A:$G,4,0)</f>
        <v>CALI</v>
      </c>
      <c r="O355" s="25" t="str">
        <f>VLOOKUP(N355,'BASE TARIFA 2025'!E:F,2,0)</f>
        <v>WOMPI SUROCCIDENTE</v>
      </c>
      <c r="P355" s="40">
        <f>VLOOKUP(M355,'BASE TARIFA 2025'!A:C,3,0)</f>
        <v>46451</v>
      </c>
      <c r="Q355" s="26" t="str">
        <f t="shared" si="10"/>
        <v>75%</v>
      </c>
      <c r="R355" s="41">
        <f t="shared" si="11"/>
        <v>34838.25</v>
      </c>
    </row>
    <row r="356" spans="1:18" ht="15" customHeight="1" x14ac:dyDescent="0.3">
      <c r="A356" s="25">
        <v>60358</v>
      </c>
      <c r="B356" s="25" t="s">
        <v>481</v>
      </c>
      <c r="C356" s="25" t="s">
        <v>85</v>
      </c>
      <c r="D356" s="25" t="s">
        <v>22</v>
      </c>
      <c r="E356" s="25">
        <v>66001</v>
      </c>
      <c r="F356" s="25" t="s">
        <v>831</v>
      </c>
      <c r="G356" s="25">
        <v>1</v>
      </c>
      <c r="H356" s="25" t="s">
        <v>463</v>
      </c>
      <c r="I356" s="25" t="s">
        <v>65</v>
      </c>
      <c r="J356" s="25" t="s">
        <v>66</v>
      </c>
      <c r="K356" s="38">
        <v>45986.606944444444</v>
      </c>
      <c r="L356" s="25" t="s">
        <v>69</v>
      </c>
      <c r="M356" s="25" t="str">
        <f>VLOOKUP(E356,[1]TIPOLOGIAS!$A:$G,5,0)</f>
        <v>PRINCIPAL</v>
      </c>
      <c r="N356" s="25" t="str">
        <f>VLOOKUP(E356,[1]TIPOLOGIAS!$A:$G,4,0)</f>
        <v>PEREIRA</v>
      </c>
      <c r="O356" s="25" t="str">
        <f>VLOOKUP(N356,'BASE TARIFA 2025'!E:F,2,0)</f>
        <v>WOMPI EJE CAFETERO</v>
      </c>
      <c r="P356" s="40">
        <f>VLOOKUP(M356,'BASE TARIFA 2025'!A:C,3,0)</f>
        <v>46451</v>
      </c>
      <c r="Q356" s="26" t="str">
        <f t="shared" si="10"/>
        <v>75%</v>
      </c>
      <c r="R356" s="41">
        <f t="shared" si="11"/>
        <v>34838.25</v>
      </c>
    </row>
    <row r="357" spans="1:18" ht="15" customHeight="1" x14ac:dyDescent="0.3">
      <c r="A357" s="25">
        <v>69614</v>
      </c>
      <c r="B357" s="25" t="s">
        <v>481</v>
      </c>
      <c r="C357" s="25" t="s">
        <v>85</v>
      </c>
      <c r="D357" s="25" t="s">
        <v>22</v>
      </c>
      <c r="E357" s="25">
        <v>66001</v>
      </c>
      <c r="F357" s="25" t="s">
        <v>832</v>
      </c>
      <c r="G357" s="25">
        <v>1</v>
      </c>
      <c r="H357" s="25" t="s">
        <v>464</v>
      </c>
      <c r="I357" s="25" t="s">
        <v>65</v>
      </c>
      <c r="J357" s="25" t="s">
        <v>66</v>
      </c>
      <c r="K357" s="38">
        <v>45986.411111111112</v>
      </c>
      <c r="L357" s="25" t="s">
        <v>69</v>
      </c>
      <c r="M357" s="25" t="str">
        <f>VLOOKUP(E357,[1]TIPOLOGIAS!$A:$G,5,0)</f>
        <v>PRINCIPAL</v>
      </c>
      <c r="N357" s="25" t="str">
        <f>VLOOKUP(E357,[1]TIPOLOGIAS!$A:$G,4,0)</f>
        <v>PEREIRA</v>
      </c>
      <c r="O357" s="25" t="str">
        <f>VLOOKUP(N357,'BASE TARIFA 2025'!E:F,2,0)</f>
        <v>WOMPI EJE CAFETERO</v>
      </c>
      <c r="P357" s="40">
        <f>VLOOKUP(M357,'BASE TARIFA 2025'!A:C,3,0)</f>
        <v>46451</v>
      </c>
      <c r="Q357" s="26" t="str">
        <f t="shared" si="10"/>
        <v>75%</v>
      </c>
      <c r="R357" s="41">
        <f t="shared" si="11"/>
        <v>34838.25</v>
      </c>
    </row>
    <row r="358" spans="1:18" ht="15" customHeight="1" x14ac:dyDescent="0.3">
      <c r="A358" s="25">
        <v>76466</v>
      </c>
      <c r="B358" s="25" t="s">
        <v>481</v>
      </c>
      <c r="C358" s="25" t="s">
        <v>85</v>
      </c>
      <c r="D358" s="25" t="s">
        <v>22</v>
      </c>
      <c r="E358" s="25">
        <v>66001</v>
      </c>
      <c r="F358" s="25" t="s">
        <v>833</v>
      </c>
      <c r="G358" s="25">
        <v>1</v>
      </c>
      <c r="H358" s="25" t="s">
        <v>465</v>
      </c>
      <c r="I358" s="25" t="s">
        <v>65</v>
      </c>
      <c r="J358" s="25" t="s">
        <v>66</v>
      </c>
      <c r="K358" s="38">
        <v>45986.449305555558</v>
      </c>
      <c r="L358" s="25" t="s">
        <v>69</v>
      </c>
      <c r="M358" s="25" t="str">
        <f>VLOOKUP(E358,[1]TIPOLOGIAS!$A:$G,5,0)</f>
        <v>PRINCIPAL</v>
      </c>
      <c r="N358" s="25" t="str">
        <f>VLOOKUP(E358,[1]TIPOLOGIAS!$A:$G,4,0)</f>
        <v>PEREIRA</v>
      </c>
      <c r="O358" s="25" t="str">
        <f>VLOOKUP(N358,'BASE TARIFA 2025'!E:F,2,0)</f>
        <v>WOMPI EJE CAFETERO</v>
      </c>
      <c r="P358" s="40">
        <f>VLOOKUP(M358,'BASE TARIFA 2025'!A:C,3,0)</f>
        <v>46451</v>
      </c>
      <c r="Q358" s="26" t="str">
        <f t="shared" si="10"/>
        <v>75%</v>
      </c>
      <c r="R358" s="41">
        <f t="shared" si="11"/>
        <v>34838.25</v>
      </c>
    </row>
    <row r="359" spans="1:18" ht="15" customHeight="1" x14ac:dyDescent="0.3">
      <c r="A359" s="25">
        <v>80798</v>
      </c>
      <c r="B359" s="25" t="s">
        <v>481</v>
      </c>
      <c r="C359" s="25" t="s">
        <v>85</v>
      </c>
      <c r="D359" s="25" t="s">
        <v>22</v>
      </c>
      <c r="E359" s="25">
        <v>66001</v>
      </c>
      <c r="F359" s="25" t="s">
        <v>834</v>
      </c>
      <c r="G359" s="25">
        <v>1</v>
      </c>
      <c r="H359" s="25" t="s">
        <v>466</v>
      </c>
      <c r="I359" s="25" t="s">
        <v>65</v>
      </c>
      <c r="J359" s="25" t="s">
        <v>66</v>
      </c>
      <c r="K359" s="38">
        <v>45986.65902777778</v>
      </c>
      <c r="L359" s="25" t="s">
        <v>69</v>
      </c>
      <c r="M359" s="25" t="str">
        <f>VLOOKUP(E359,[1]TIPOLOGIAS!$A:$G,5,0)</f>
        <v>PRINCIPAL</v>
      </c>
      <c r="N359" s="25" t="str">
        <f>VLOOKUP(E359,[1]TIPOLOGIAS!$A:$G,4,0)</f>
        <v>PEREIRA</v>
      </c>
      <c r="O359" s="25" t="str">
        <f>VLOOKUP(N359,'BASE TARIFA 2025'!E:F,2,0)</f>
        <v>WOMPI EJE CAFETERO</v>
      </c>
      <c r="P359" s="40">
        <f>VLOOKUP(M359,'BASE TARIFA 2025'!A:C,3,0)</f>
        <v>46451</v>
      </c>
      <c r="Q359" s="26" t="str">
        <f t="shared" si="10"/>
        <v>75%</v>
      </c>
      <c r="R359" s="41">
        <f t="shared" si="11"/>
        <v>34838.25</v>
      </c>
    </row>
    <row r="360" spans="1:18" ht="15" customHeight="1" x14ac:dyDescent="0.3">
      <c r="A360" s="25">
        <v>70063</v>
      </c>
      <c r="B360" s="25" t="s">
        <v>491</v>
      </c>
      <c r="C360" s="25" t="s">
        <v>94</v>
      </c>
      <c r="D360" s="25" t="s">
        <v>32</v>
      </c>
      <c r="E360" s="25">
        <v>47001</v>
      </c>
      <c r="F360" s="25" t="s">
        <v>835</v>
      </c>
      <c r="G360" s="25">
        <v>1</v>
      </c>
      <c r="H360" s="25" t="s">
        <v>467</v>
      </c>
      <c r="I360" s="25" t="s">
        <v>65</v>
      </c>
      <c r="J360" s="25" t="s">
        <v>66</v>
      </c>
      <c r="K360" s="38">
        <v>45986.605555555558</v>
      </c>
      <c r="L360" s="25" t="s">
        <v>69</v>
      </c>
      <c r="M360" s="25" t="str">
        <f>VLOOKUP(E360,[1]TIPOLOGIAS!$A:$G,5,0)</f>
        <v>PRINCIPAL</v>
      </c>
      <c r="N360" s="25" t="str">
        <f>VLOOKUP(E360,[1]TIPOLOGIAS!$A:$G,4,0)</f>
        <v>SANTA MARTA</v>
      </c>
      <c r="O360" s="25" t="str">
        <f>VLOOKUP(N360,'BASE TARIFA 2025'!E:F,2,0)</f>
        <v>WOMPI COSTA</v>
      </c>
      <c r="P360" s="40">
        <f>VLOOKUP(M360,'BASE TARIFA 2025'!A:C,3,0)</f>
        <v>46451</v>
      </c>
      <c r="Q360" s="26" t="str">
        <f t="shared" si="10"/>
        <v>75%</v>
      </c>
      <c r="R360" s="41">
        <f t="shared" si="11"/>
        <v>34838.25</v>
      </c>
    </row>
    <row r="361" spans="1:18" ht="15" customHeight="1" x14ac:dyDescent="0.3">
      <c r="A361" s="25">
        <v>71185</v>
      </c>
      <c r="B361" s="25" t="s">
        <v>476</v>
      </c>
      <c r="C361" s="25" t="s">
        <v>79</v>
      </c>
      <c r="D361" s="25" t="s">
        <v>33</v>
      </c>
      <c r="E361" s="25">
        <v>15001</v>
      </c>
      <c r="F361" s="25" t="s">
        <v>836</v>
      </c>
      <c r="G361" s="25">
        <v>1</v>
      </c>
      <c r="H361" s="25" t="s">
        <v>468</v>
      </c>
      <c r="I361" s="25" t="s">
        <v>65</v>
      </c>
      <c r="J361" s="25" t="s">
        <v>66</v>
      </c>
      <c r="K361" s="38">
        <v>45986.693055555559</v>
      </c>
      <c r="L361" s="25" t="s">
        <v>69</v>
      </c>
      <c r="M361" s="25" t="str">
        <f>VLOOKUP(E361,[1]TIPOLOGIAS!$A:$G,5,0)</f>
        <v>PRINCIPAL</v>
      </c>
      <c r="N361" s="25" t="str">
        <f>VLOOKUP(E361,[1]TIPOLOGIAS!$A:$G,4,0)</f>
        <v>TUNJA</v>
      </c>
      <c r="O361" s="25" t="str">
        <f>VLOOKUP(N361,'BASE TARIFA 2025'!E:F,2,0)</f>
        <v>WOMPI SANTANDERES</v>
      </c>
      <c r="P361" s="40">
        <f>VLOOKUP(M361,'BASE TARIFA 2025'!A:C,3,0)</f>
        <v>46451</v>
      </c>
      <c r="Q361" s="26" t="str">
        <f t="shared" si="10"/>
        <v>75%</v>
      </c>
      <c r="R361" s="41">
        <f t="shared" si="11"/>
        <v>34838.25</v>
      </c>
    </row>
    <row r="362" spans="1:18" ht="15" customHeight="1" x14ac:dyDescent="0.3">
      <c r="A362" s="25">
        <v>74406</v>
      </c>
      <c r="B362" s="25" t="s">
        <v>476</v>
      </c>
      <c r="C362" s="25" t="s">
        <v>79</v>
      </c>
      <c r="D362" s="25" t="s">
        <v>33</v>
      </c>
      <c r="E362" s="25">
        <v>15001</v>
      </c>
      <c r="F362" s="25" t="s">
        <v>837</v>
      </c>
      <c r="G362" s="25">
        <v>1</v>
      </c>
      <c r="H362" s="25" t="s">
        <v>469</v>
      </c>
      <c r="I362" s="25" t="s">
        <v>65</v>
      </c>
      <c r="J362" s="25" t="s">
        <v>66</v>
      </c>
      <c r="K362" s="38">
        <v>45986.578472222223</v>
      </c>
      <c r="L362" s="25" t="s">
        <v>69</v>
      </c>
      <c r="M362" s="25" t="str">
        <f>VLOOKUP(E362,[1]TIPOLOGIAS!$A:$G,5,0)</f>
        <v>PRINCIPAL</v>
      </c>
      <c r="N362" s="25" t="str">
        <f>VLOOKUP(E362,[1]TIPOLOGIAS!$A:$G,4,0)</f>
        <v>TUNJA</v>
      </c>
      <c r="O362" s="25" t="str">
        <f>VLOOKUP(N362,'BASE TARIFA 2025'!E:F,2,0)</f>
        <v>WOMPI SANTANDERES</v>
      </c>
      <c r="P362" s="40">
        <f>VLOOKUP(M362,'BASE TARIFA 2025'!A:C,3,0)</f>
        <v>46451</v>
      </c>
      <c r="Q362" s="26" t="str">
        <f t="shared" si="10"/>
        <v>75%</v>
      </c>
      <c r="R362" s="41">
        <f t="shared" si="11"/>
        <v>34838.25</v>
      </c>
    </row>
    <row r="363" spans="1:18" ht="15" customHeight="1" x14ac:dyDescent="0.3">
      <c r="R363" s="39">
        <f>SUM(R2:R362)</f>
        <v>31319586.75</v>
      </c>
    </row>
  </sheetData>
  <autoFilter ref="A1:R363" xr:uid="{9158D991-50BB-498F-AF85-38F1C1C6DBE3}"/>
  <conditionalFormatting sqref="H1:H1048576">
    <cfRule type="duplicateValues" dxfId="6" priority="3"/>
  </conditionalFormatting>
  <conditionalFormatting sqref="A1:A1048576">
    <cfRule type="duplicateValues" dxfId="5" priority="1"/>
  </conditionalFormatting>
  <conditionalFormatting sqref="N1:R1">
    <cfRule type="duplicateValues" dxfId="4" priority="320"/>
  </conditionalFormatting>
  <conditionalFormatting sqref="A2:A282">
    <cfRule type="duplicateValues" dxfId="3" priority="327"/>
  </conditionalFormatting>
  <conditionalFormatting sqref="A2:A362">
    <cfRule type="duplicateValues" dxfId="2" priority="328"/>
    <cfRule type="duplicateValues" dxfId="1" priority="329"/>
    <cfRule type="duplicateValues" dxfId="0" priority="330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2F9E8-BEE1-427F-9988-B3A32F035CCE}">
  <dimension ref="A1:B9"/>
  <sheetViews>
    <sheetView workbookViewId="0">
      <selection activeCell="B2" sqref="B2"/>
    </sheetView>
  </sheetViews>
  <sheetFormatPr baseColWidth="10" defaultColWidth="8.88671875" defaultRowHeight="14.4" x14ac:dyDescent="0.3"/>
  <cols>
    <col min="1" max="1" width="22.88671875" bestFit="1" customWidth="1"/>
    <col min="2" max="2" width="18.88671875" bestFit="1" customWidth="1"/>
  </cols>
  <sheetData>
    <row r="1" spans="1:2" x14ac:dyDescent="0.3">
      <c r="A1" s="14" t="s">
        <v>59</v>
      </c>
      <c r="B1" t="s">
        <v>106</v>
      </c>
    </row>
    <row r="2" spans="1:2" x14ac:dyDescent="0.3">
      <c r="A2" t="s">
        <v>18</v>
      </c>
      <c r="B2" s="15">
        <v>13208802</v>
      </c>
    </row>
    <row r="3" spans="1:2" x14ac:dyDescent="0.3">
      <c r="A3" t="s">
        <v>25</v>
      </c>
      <c r="B3" s="15">
        <v>20516978.099999923</v>
      </c>
    </row>
    <row r="4" spans="1:2" x14ac:dyDescent="0.3">
      <c r="A4" t="s">
        <v>23</v>
      </c>
      <c r="B4" s="15">
        <v>7283418.8000000073</v>
      </c>
    </row>
    <row r="5" spans="1:2" x14ac:dyDescent="0.3">
      <c r="A5" t="s">
        <v>15</v>
      </c>
      <c r="B5" s="15">
        <v>22387800</v>
      </c>
    </row>
    <row r="6" spans="1:2" x14ac:dyDescent="0.3">
      <c r="A6" t="s">
        <v>31</v>
      </c>
      <c r="B6" s="15">
        <v>27170419.899999764</v>
      </c>
    </row>
    <row r="7" spans="1:2" x14ac:dyDescent="0.3">
      <c r="A7" t="s">
        <v>27</v>
      </c>
      <c r="B7" s="15">
        <v>31539357.49999978</v>
      </c>
    </row>
    <row r="8" spans="1:2" x14ac:dyDescent="0.3">
      <c r="A8" t="s">
        <v>21</v>
      </c>
      <c r="B8" s="15">
        <v>19106901.799999967</v>
      </c>
    </row>
    <row r="9" spans="1:2" x14ac:dyDescent="0.3">
      <c r="A9" t="s">
        <v>107</v>
      </c>
      <c r="B9" s="15">
        <v>141213678.09999943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5c089de-fbcb-4273-99e1-da05513ea3d0">
      <Terms xmlns="http://schemas.microsoft.com/office/infopath/2007/PartnerControls"/>
    </lcf76f155ced4ddcb4097134ff3c332f>
    <TaxCatchAll xmlns="d3b0c89e-4cf9-4131-8f93-e930e748987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A8736163078B46BA45051ACB50C0B2" ma:contentTypeVersion="16" ma:contentTypeDescription="Crear nuevo documento." ma:contentTypeScope="" ma:versionID="3688f3dae372e14fc0065b8deaede2af">
  <xsd:schema xmlns:xsd="http://www.w3.org/2001/XMLSchema" xmlns:xs="http://www.w3.org/2001/XMLSchema" xmlns:p="http://schemas.microsoft.com/office/2006/metadata/properties" xmlns:ns2="d3b0c89e-4cf9-4131-8f93-e930e748987a" xmlns:ns3="45c089de-fbcb-4273-99e1-da05513ea3d0" targetNamespace="http://schemas.microsoft.com/office/2006/metadata/properties" ma:root="true" ma:fieldsID="6be92bc8077a6e15648bc8fb56071b5e" ns2:_="" ns3:_="">
    <xsd:import namespace="d3b0c89e-4cf9-4131-8f93-e930e748987a"/>
    <xsd:import namespace="45c089de-fbcb-4273-99e1-da05513ea3d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b0c89e-4cf9-4131-8f93-e930e748987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9d38b487-a1f2-45e9-84a0-a3fee2a9ffc3}" ma:internalName="TaxCatchAll" ma:showField="CatchAllData" ma:web="d3b0c89e-4cf9-4131-8f93-e930e748987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089de-fbcb-4273-99e1-da05513ea3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3abf594f-9ee9-426f-ac24-f859484e122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7CBD467-D7A5-4C7F-B140-59D5D2C85EB2}">
  <ds:schemaRefs>
    <ds:schemaRef ds:uri="http://schemas.microsoft.com/office/2006/metadata/properties"/>
    <ds:schemaRef ds:uri="http://schemas.microsoft.com/office/infopath/2007/PartnerControls"/>
    <ds:schemaRef ds:uri="45c089de-fbcb-4273-99e1-da05513ea3d0"/>
    <ds:schemaRef ds:uri="d3b0c89e-4cf9-4131-8f93-e930e748987a"/>
  </ds:schemaRefs>
</ds:datastoreItem>
</file>

<file path=customXml/itemProps2.xml><?xml version="1.0" encoding="utf-8"?>
<ds:datastoreItem xmlns:ds="http://schemas.openxmlformats.org/officeDocument/2006/customXml" ds:itemID="{D6C5202A-FC63-4438-8913-DE4C94B5E02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D9CF62F-02D4-4FE3-80BF-BFDE9449EB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b0c89e-4cf9-4131-8f93-e930e748987a"/>
    <ds:schemaRef ds:uri="45c089de-fbcb-4273-99e1-da05513ea3d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RESUMEN</vt:lpstr>
      <vt:lpstr>BASE TARIFA 2025</vt:lpstr>
      <vt:lpstr>MIGRACIONES LINEACOM</vt:lpstr>
      <vt:lpstr>TD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Lini Hernández</dc:creator>
  <cp:keywords/>
  <dc:description/>
  <cp:lastModifiedBy>Lini Jhojana Hernandez Mora</cp:lastModifiedBy>
  <cp:revision/>
  <dcterms:created xsi:type="dcterms:W3CDTF">2025-09-05T13:38:40Z</dcterms:created>
  <dcterms:modified xsi:type="dcterms:W3CDTF">2025-12-05T22:44:06Z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0x010100C0A8736163078B46BA45051ACB50C0B2</vt:lpwstr>
  </property>
  <property fmtid="{D5CDD505-2E9C-101B-9397-08002B2CF9AE}" pid="3" name="MediaServiceImageTags">
    <vt:lpwstr/>
  </property>
</Properties>
</file>