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840" tabRatio="866" firstSheet="0" activeTab="0" autoFilterDateGrouping="1"/>
  </bookViews>
  <sheets>
    <sheet xmlns:r="http://schemas.openxmlformats.org/officeDocument/2006/relationships" name="BASE DE LIQUIDACION 2025" sheetId="1" state="visible" r:id="rId1"/>
    <sheet xmlns:r="http://schemas.openxmlformats.org/officeDocument/2006/relationships" name="CENTRO DE COSTOS" sheetId="2" state="hidden" r:id="rId2"/>
    <sheet xmlns:r="http://schemas.openxmlformats.org/officeDocument/2006/relationships" name="CIERRES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</externalReferences>
  <definedNames>
    <definedName name="ACTIVIDAD">[1]Hoja2!$P$2:$P$30</definedName>
    <definedName name="Clientes">[2]Clientes!$A$2:$A$100</definedName>
    <definedName name="COORDINADOR">[1]Hoja2!$D$2:$D$30</definedName>
    <definedName name="Coordinadores">[3]Coordinadores!$A$2:$A$1000</definedName>
    <definedName name="DOCUMENTADOR">[1]Hoja2!$A$2:$A$30</definedName>
    <definedName name="ES">[1]Hoja2!$K$2:$K$30</definedName>
    <definedName name="ESS">[1]Hoja2!$K$2:$K$30</definedName>
    <definedName name="Estado">[2]Formulas!$K$2:$K$5000</definedName>
    <definedName name="ESTADOACTIVIDAD">[1]Hoja2!$M$2:$M$30</definedName>
    <definedName name="ESTADOSCIERRES">'[4]lista desplegable'!$CX$1:$DA$1</definedName>
    <definedName name="Facturacion">'[5]Listas desplegables'!$AO$1:$AR$1</definedName>
    <definedName name="solicitudes">'[5]Listas desplegables'!$U$1:$AF$1</definedName>
    <definedName name="Tecnicos">[2]Tecnicos!$A$2:$A$1000</definedName>
    <definedName name="_xlnm._FilterDatabase" localSheetId="1" hidden="1">'CENTRO DE COSTOS'!$A$1:$D$23</definedName>
    <definedName name="_xlnm._FilterDatabase" localSheetId="2" hidden="1">'CIERRES'!$A$1:$AE$109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$&quot;\ * #,##0.00_);_(&quot;$&quot;\ * \(#,##0.00\);_(&quot;$&quot;\ * &quot;-&quot;??_);_(@_)"/>
    <numFmt numFmtId="165" formatCode="&quot;$&quot;\ #,##0;[Red]\-&quot;$&quot;\ #,##0"/>
    <numFmt numFmtId="166" formatCode="_(&quot;$&quot;\ * #,##0_);_(&quot;$&quot;\ * \(#,##0\);_(&quot;$&quot;\ * &quot;-&quot;??_);_(@_)"/>
    <numFmt numFmtId="167" formatCode="yyyy-mm-dd h:mm:ss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pex"/>
      <family val="2"/>
      <color theme="1"/>
      <sz val="10"/>
    </font>
    <font>
      <name val="Arial"/>
      <family val="2"/>
      <sz val="10"/>
    </font>
    <font>
      <name val="Tahoma"/>
      <family val="2"/>
      <b val="1"/>
      <color indexed="81"/>
      <sz val="9"/>
    </font>
    <font>
      <name val="Gelion Thin"/>
      <color theme="1"/>
      <sz val="8"/>
    </font>
    <font>
      <name val="Gelion Thin"/>
      <b val="1"/>
      <sz val="10"/>
    </font>
    <font>
      <name val="Gelion Thin"/>
      <color rgb="FF000000"/>
      <sz val="10"/>
    </font>
    <font>
      <name val="Gelion Thin"/>
      <color theme="1"/>
      <sz val="10"/>
    </font>
    <font>
      <name val="Gelion Thin"/>
      <color rgb="FF000000"/>
      <sz val="8"/>
    </font>
    <font>
      <name val="Gelion Thin"/>
      <b val="1"/>
      <color theme="1"/>
      <sz val="11"/>
    </font>
    <font>
      <name val="Gelion Thin"/>
      <color rgb="FF00000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00001D62"/>
        <bgColor rgb="00001D6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1" fillId="0" borderId="0"/>
    <xf numFmtId="0" fontId="1" fillId="0" borderId="0"/>
    <xf numFmtId="0" fontId="2" fillId="0" borderId="0"/>
    <xf numFmtId="164" fontId="3" fillId="0" borderId="0"/>
    <xf numFmtId="0" fontId="3" fillId="0" borderId="0"/>
    <xf numFmtId="0" fontId="1" fillId="0" borderId="0"/>
  </cellStyleXfs>
  <cellXfs count="28">
    <xf numFmtId="0" fontId="0" fillId="0" borderId="0" pivotButton="0" quotePrefix="0" xfId="0"/>
    <xf numFmtId="164" fontId="6" fillId="2" borderId="1" applyAlignment="1" pivotButton="0" quotePrefix="0" xfId="3">
      <alignment horizontal="center" vertical="center"/>
    </xf>
    <xf numFmtId="0" fontId="7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6" fontId="5" fillId="0" borderId="0" applyAlignment="1" pivotButton="0" quotePrefix="0" xfId="3">
      <alignment horizontal="center" vertical="center"/>
    </xf>
    <xf numFmtId="0" fontId="9" fillId="0" borderId="1" applyAlignment="1" pivotButton="0" quotePrefix="0" xfId="0">
      <alignment vertical="center"/>
    </xf>
    <xf numFmtId="0" fontId="5" fillId="0" borderId="0" pivotButton="0" quotePrefix="0" xfId="0"/>
    <xf numFmtId="0" fontId="10" fillId="0" borderId="1" pivotButton="0" quotePrefix="0" xfId="0"/>
    <xf numFmtId="0" fontId="10" fillId="0" borderId="1" pivotButton="0" quotePrefix="0" xfId="5"/>
    <xf numFmtId="0" fontId="11" fillId="0" borderId="1" pivotButton="0" quotePrefix="0" xfId="0"/>
    <xf numFmtId="0" fontId="11" fillId="0" borderId="4" pivotButton="0" quotePrefix="0" xfId="0"/>
    <xf numFmtId="0" fontId="11" fillId="0" borderId="5" pivotButton="0" quotePrefix="0" xfId="0"/>
    <xf numFmtId="0" fontId="11" fillId="0" borderId="8" pivotButton="0" quotePrefix="0" xfId="0"/>
    <xf numFmtId="165" fontId="0" fillId="0" borderId="0" pivotButton="0" quotePrefix="0" xfId="0"/>
    <xf numFmtId="10" fontId="0" fillId="3" borderId="6" applyAlignment="1" pivotButton="0" quotePrefix="0" xfId="0">
      <alignment horizontal="center"/>
    </xf>
    <xf numFmtId="164" fontId="6" fillId="2" borderId="3" applyAlignment="1" pivotButton="0" quotePrefix="0" xfId="3">
      <alignment horizontal="center" vertical="center"/>
    </xf>
    <xf numFmtId="164" fontId="6" fillId="2" borderId="7" applyAlignment="1" pivotButton="0" quotePrefix="0" xfId="3">
      <alignment horizontal="center" vertical="center"/>
    </xf>
    <xf numFmtId="165" fontId="8" fillId="4" borderId="1" applyAlignment="1" pivotButton="0" quotePrefix="0" xfId="0">
      <alignment horizontal="center"/>
    </xf>
    <xf numFmtId="166" fontId="5" fillId="4" borderId="1" applyAlignment="1" pivotButton="0" quotePrefix="0" xfId="3">
      <alignment horizontal="center" vertical="center"/>
    </xf>
    <xf numFmtId="0" fontId="6" fillId="2" borderId="0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165" fontId="0" fillId="0" borderId="0" pivotButton="0" quotePrefix="0" xfId="0"/>
    <xf numFmtId="165" fontId="8" fillId="0" borderId="1" applyAlignment="1" pivotButton="0" quotePrefix="0" xfId="0">
      <alignment vertical="center" wrapText="1"/>
    </xf>
    <xf numFmtId="0" fontId="12" fillId="5" borderId="0" applyAlignment="1" pivotButton="0" quotePrefix="0" xfId="0">
      <alignment horizontal="center" vertical="center"/>
    </xf>
    <xf numFmtId="167" fontId="0" fillId="0" borderId="0" pivotButton="0" quotePrefix="0" xfId="0"/>
    <xf numFmtId="4" fontId="0" fillId="0" borderId="0" pivotButton="0" quotePrefix="0" xfId="0"/>
  </cellXfs>
  <cellStyles count="6">
    <cellStyle name="Normal" xfId="0" builtinId="0"/>
    <cellStyle name="Normal 2 2 2 2 6 2" xfId="1"/>
    <cellStyle name="Normal 172" xfId="2"/>
    <cellStyle name="Moneda 2 10" xfId="3"/>
    <cellStyle name="Normal 2 10 2" xfId="4"/>
    <cellStyle name="Normal 177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Natacha Gutierrez Tamayo</author>
  </authors>
  <commentList>
    <comment ref="C7" authorId="0" shapeId="0">
      <text>
        <t>Zoom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lineacomunicacionesco.sharepoint.com/Users/Adriana/AppData/Local/Microsoft/Windows/INetCache/Content.Outlook/CTVKRU3D/Entregables%20atraso%202015%20(1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lineacomunicacionesco.sharepoint.com/ENTREGA%20GERENCIA%20PROYECTO%20BANCO/FACTURACION/AGOSTO/JESSICA/Matriz%20Formato%20Estado%20Diario%20Zonas%20Remotas%20Julio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lineacomunicacionesco.sharepoint.com/BANCA/COORDINACION%20ZONA%20NOROCCIDENTE/ESTADO%20DIARIO/Estado%20Diario%20Diciembre/Copia%20de%20Matriz%20Formato%20Estado%20Diario%20DICIEMBRE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lineacomunicacionesco.sharepoint.com/personal/lini_hernandez_lineacom_co/Documents/DESCARGAS%207%20DE%20JULIO/FACTURACI&#211;N%202022/OCTUBRE/DATA%20V2/Informe%20Gestion%20CB%20BANCOLOMBIA%202022%20-%20ORDENES%20DE%20CAMBIO%20(12)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Users\JuliethTatiana\Downloads\Informe%20Gesti&#243;n%20Ordenes%20Cambio%20CB%20Bancolombia%20V6%20(2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PERTURAS ATRASO"/>
      <sheetName val="OTRAS ACTIVIDADES ATRASO"/>
      <sheetName val="Hoja2"/>
      <sheetName val="ENTREGADO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CAPACIDAD"/>
      <sheetName val="Puntos"/>
      <sheetName val="Formulas"/>
      <sheetName val="PERSONAL"/>
      <sheetName val="EVALUAR"/>
      <sheetName val="Hoja1"/>
      <sheetName val="PLAN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Puntos"/>
      <sheetName val="Formulas"/>
      <sheetName val="Client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triz BANCOLOMBIA"/>
      <sheetName val="INCIDENTES RBM-ABIERTOS"/>
      <sheetName val="TIPOLOGIAS"/>
      <sheetName val="OTRAS OC"/>
      <sheetName val="CIERRES"/>
      <sheetName val="ROLLOS"/>
      <sheetName val="lista desplegab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ollos RBM"/>
      <sheetName val="Cierre"/>
      <sheetName val="OC Abiertas"/>
      <sheetName val="Cerrados Marzo"/>
      <sheetName val="Febre"/>
      <sheetName val="Listas desplegables"/>
      <sheetName val="UCCORP"/>
      <sheetName val="TIPOLOGÍAS REALES"/>
      <sheetName val="Matriz"/>
      <sheetName val="Cerrados Febrero"/>
      <sheetName val="E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C22" sqref="C22"/>
    </sheetView>
  </sheetViews>
  <sheetFormatPr baseColWidth="10" defaultColWidth="11.42578125" defaultRowHeight="15"/>
  <cols>
    <col width="15" bestFit="1" customWidth="1" min="1" max="1"/>
    <col width="22.7109375" bestFit="1" customWidth="1" min="2" max="2"/>
    <col width="42" customWidth="1" min="3" max="3"/>
    <col width="14.42578125" customWidth="1" min="4" max="4"/>
  </cols>
  <sheetData>
    <row r="1">
      <c r="A1" s="21" t="inlineStr">
        <is>
          <t>CIERRE CB - VISITAS FALLIDAS O CIERRES NO EXITOSOS TARIFAS 2024</t>
        </is>
      </c>
      <c r="D1" s="18" t="inlineStr">
        <is>
          <t>Incremento 2025</t>
        </is>
      </c>
    </row>
    <row r="2">
      <c r="A2" s="1" t="inlineStr">
        <is>
          <t xml:space="preserve">Tipificación </t>
        </is>
      </c>
      <c r="B2" s="1" t="inlineStr">
        <is>
          <t>Descripción</t>
        </is>
      </c>
      <c r="C2" s="17" t="inlineStr">
        <is>
          <t xml:space="preserve">Tarifa </t>
        </is>
      </c>
      <c r="D2" s="16" t="n">
        <v>0.052</v>
      </c>
    </row>
    <row r="3">
      <c r="A3" s="2" t="inlineStr">
        <is>
          <t>Tipo I</t>
        </is>
      </c>
      <c r="B3" s="2" t="inlineStr">
        <is>
          <t>Metropolitano</t>
        </is>
      </c>
      <c r="C3" s="22">
        <f>42357*(1+$D$2)</f>
        <v/>
      </c>
      <c r="D3" s="23" t="n"/>
    </row>
    <row r="4">
      <c r="A4" s="2" t="inlineStr">
        <is>
          <t>Tipo II</t>
        </is>
      </c>
      <c r="B4" s="2" t="inlineStr">
        <is>
          <t>Hasta 3 horas</t>
        </is>
      </c>
      <c r="C4" s="22">
        <f>127767*(1+$D$2)</f>
        <v/>
      </c>
      <c r="D4" s="23" t="n"/>
    </row>
    <row r="5">
      <c r="A5" s="2" t="inlineStr">
        <is>
          <t>Tipo III</t>
        </is>
      </c>
      <c r="B5" s="2" t="inlineStr">
        <is>
          <t>De 3 a 5 horas</t>
        </is>
      </c>
      <c r="C5" s="22">
        <f>211886*(1+$D$2)</f>
        <v/>
      </c>
      <c r="D5" s="23" t="n"/>
    </row>
    <row r="6">
      <c r="A6" s="2" t="inlineStr">
        <is>
          <t>Tipo IV</t>
        </is>
      </c>
      <c r="B6" s="2" t="inlineStr">
        <is>
          <t>Más de 5 horas</t>
        </is>
      </c>
      <c r="C6" s="22">
        <f>441834*(1+$D$2)</f>
        <v/>
      </c>
      <c r="D6" s="23" t="n"/>
    </row>
    <row r="7" ht="24.75" customHeight="1">
      <c r="A7" s="2" t="inlineStr">
        <is>
          <t>Trayecto Especial</t>
        </is>
      </c>
      <c r="B7" s="2" t="inlineStr">
        <is>
          <t>No incluye valor del Tiquete</t>
        </is>
      </c>
      <c r="C7" s="24" t="inlineStr">
        <is>
          <t>Valor de actividad Tipo IV + Valor tiquete aéreo (o fluvial) + 12% administración)</t>
        </is>
      </c>
      <c r="D7" s="23" t="n"/>
    </row>
    <row r="8">
      <c r="A8" s="4" t="n"/>
      <c r="B8" s="5" t="n"/>
      <c r="C8" s="6" t="n"/>
    </row>
    <row r="9">
      <c r="A9" s="7" t="inlineStr">
        <is>
          <t>Gestión telefonica</t>
        </is>
      </c>
      <c r="B9" s="20">
        <f>36031*(1+$D$2)</f>
        <v/>
      </c>
      <c r="C9" s="8" t="n"/>
    </row>
  </sheetData>
  <mergeCells count="1">
    <mergeCell ref="A1:C1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topLeftCell="A7" workbookViewId="0">
      <selection activeCell="E17" sqref="E17"/>
    </sheetView>
  </sheetViews>
  <sheetFormatPr baseColWidth="10" defaultColWidth="11.42578125" defaultRowHeight="15"/>
  <cols>
    <col width="15.28515625" bestFit="1" customWidth="1" min="1" max="1"/>
    <col width="18.28515625" bestFit="1" customWidth="1" min="2" max="2"/>
    <col width="30.28515625" bestFit="1" customWidth="1" min="3" max="3"/>
    <col width="34.140625" bestFit="1" customWidth="1" min="4" max="4"/>
  </cols>
  <sheetData>
    <row r="1">
      <c r="A1" s="9" t="inlineStr">
        <is>
          <t>CIUDAD</t>
        </is>
      </c>
      <c r="B1" s="9" t="inlineStr">
        <is>
          <t>CENTRO_COSTO</t>
        </is>
      </c>
      <c r="C1" s="9" t="inlineStr">
        <is>
          <t>DESCRIPCION</t>
        </is>
      </c>
      <c r="D1" s="10" t="inlineStr">
        <is>
          <t>COORDINADOR</t>
        </is>
      </c>
    </row>
    <row r="2">
      <c r="A2" s="11" t="inlineStr">
        <is>
          <t>APARTADO</t>
        </is>
      </c>
      <c r="B2" s="12" t="inlineStr">
        <is>
          <t>0004-0005</t>
        </is>
      </c>
      <c r="C2" s="12" t="inlineStr">
        <is>
          <t>Redeban Noroccidente (Medellín)</t>
        </is>
      </c>
      <c r="D2" s="12" t="inlineStr">
        <is>
          <t>JUAN SEBASTIÁN RÍOS CASTRILLÓN</t>
        </is>
      </c>
    </row>
    <row r="3">
      <c r="A3" s="13" t="inlineStr">
        <is>
          <t>BARRANQUILLA</t>
        </is>
      </c>
      <c r="B3" s="14" t="inlineStr">
        <is>
          <t>0004-0001</t>
        </is>
      </c>
      <c r="C3" s="14" t="inlineStr">
        <is>
          <t>Redeban Costa (Barranqullla)</t>
        </is>
      </c>
      <c r="D3" s="14" t="inlineStr">
        <is>
          <t>JOSE MAURICIO HERNANDEZ ROJAS</t>
        </is>
      </c>
    </row>
    <row r="4">
      <c r="A4" s="13" t="inlineStr">
        <is>
          <t>BOGOTA</t>
        </is>
      </c>
      <c r="B4" s="14" t="inlineStr">
        <is>
          <t>0004-0004</t>
        </is>
      </c>
      <c r="C4" s="14" t="inlineStr">
        <is>
          <t>Redeban Centro ( Bogotá)</t>
        </is>
      </c>
      <c r="D4" s="14" t="inlineStr">
        <is>
          <t>WILLIAM ASDRUBAL ROZO ROZO</t>
        </is>
      </c>
    </row>
    <row r="5">
      <c r="A5" s="13" t="inlineStr">
        <is>
          <t>BUCARAMANGA</t>
        </is>
      </c>
      <c r="B5" s="14" t="inlineStr">
        <is>
          <t>0004-0008</t>
        </is>
      </c>
      <c r="C5" s="14" t="inlineStr">
        <is>
          <t>Redeban Santander</t>
        </is>
      </c>
      <c r="D5" s="14" t="inlineStr">
        <is>
          <t>MIGUEL JULIÁN HERNÁNDEZ GUARÍN</t>
        </is>
      </c>
    </row>
    <row r="6">
      <c r="A6" s="13" t="inlineStr">
        <is>
          <t>CALI</t>
        </is>
      </c>
      <c r="B6" s="14" t="inlineStr">
        <is>
          <t>0004-0003</t>
        </is>
      </c>
      <c r="C6" s="14" t="inlineStr">
        <is>
          <t>Redeban Suroccidente (Cali)</t>
        </is>
      </c>
      <c r="D6" s="14" t="inlineStr">
        <is>
          <t>DIEGO FERNANDO HENAO CARDONA</t>
        </is>
      </c>
    </row>
    <row r="7">
      <c r="A7" s="13" t="inlineStr">
        <is>
          <t>CARTAGENA</t>
        </is>
      </c>
      <c r="B7" s="14" t="inlineStr">
        <is>
          <t>0004-0001</t>
        </is>
      </c>
      <c r="C7" s="14" t="inlineStr">
        <is>
          <t>Redeban Costa (Barranqullla)</t>
        </is>
      </c>
      <c r="D7" s="14" t="inlineStr">
        <is>
          <t>JOSE MAURICIO HERNANDEZ ROJAS</t>
        </is>
      </c>
    </row>
    <row r="8">
      <c r="A8" s="13" t="inlineStr">
        <is>
          <t>CUCUTA</t>
        </is>
      </c>
      <c r="B8" s="14" t="inlineStr">
        <is>
          <t>0004-0008</t>
        </is>
      </c>
      <c r="C8" s="14" t="inlineStr">
        <is>
          <t>Redeban Santander</t>
        </is>
      </c>
      <c r="D8" s="14" t="inlineStr">
        <is>
          <t>MIGUEL JULIÁN HERNÁNDEZ GUARÍN</t>
        </is>
      </c>
    </row>
    <row r="9">
      <c r="A9" s="13" t="inlineStr">
        <is>
          <t>FLORENCIA</t>
        </is>
      </c>
      <c r="B9" s="14" t="inlineStr">
        <is>
          <t>0004-0007</t>
        </is>
      </c>
      <c r="C9" s="14" t="inlineStr">
        <is>
          <t>Redeban Oriente (Otros)</t>
        </is>
      </c>
      <c r="D9" s="14" t="inlineStr">
        <is>
          <t>KEVIN ALEXIS CORZO BUSTOS</t>
        </is>
      </c>
    </row>
    <row r="10">
      <c r="A10" s="13" t="inlineStr">
        <is>
          <t>IBAGUE</t>
        </is>
      </c>
      <c r="B10" s="14" t="inlineStr">
        <is>
          <t>0004-0007</t>
        </is>
      </c>
      <c r="C10" s="14" t="inlineStr">
        <is>
          <t>Redeban Oriente (Otros)</t>
        </is>
      </c>
      <c r="D10" s="14" t="inlineStr">
        <is>
          <t>KEVIN ALEXIS CORZO BUSTOS</t>
        </is>
      </c>
    </row>
    <row r="11">
      <c r="A11" s="13" t="inlineStr">
        <is>
          <t>MANIZALES</t>
        </is>
      </c>
      <c r="B11" s="14" t="inlineStr">
        <is>
          <t>0004-0002</t>
        </is>
      </c>
      <c r="C11" s="14" t="inlineStr">
        <is>
          <t>Redeban Eje Cafetero (Pereira)</t>
        </is>
      </c>
      <c r="D11" s="14" t="inlineStr">
        <is>
          <t>DIEGO FERNANDO HENAO CARDONA</t>
        </is>
      </c>
    </row>
    <row r="12">
      <c r="A12" s="13" t="inlineStr">
        <is>
          <t>MEDELLIN</t>
        </is>
      </c>
      <c r="B12" s="14" t="inlineStr">
        <is>
          <t>0004-0005</t>
        </is>
      </c>
      <c r="C12" s="14" t="inlineStr">
        <is>
          <t>Redeban Noroccidente (Medellín)</t>
        </is>
      </c>
      <c r="D12" s="14" t="inlineStr">
        <is>
          <t>JUAN SEBASTIÁN RÍOS CASTRILLÓN</t>
        </is>
      </c>
    </row>
    <row r="13">
      <c r="A13" s="13" t="inlineStr">
        <is>
          <t>MONTERIA</t>
        </is>
      </c>
      <c r="B13" s="14" t="inlineStr">
        <is>
          <t>0004-0001</t>
        </is>
      </c>
      <c r="C13" s="14" t="inlineStr">
        <is>
          <t>Redeban Costa (Barranqullla)</t>
        </is>
      </c>
      <c r="D13" s="14" t="inlineStr">
        <is>
          <t>JOSE MAURICIO HERNANDEZ ROJAS</t>
        </is>
      </c>
    </row>
    <row r="14">
      <c r="A14" s="13" t="inlineStr">
        <is>
          <t>NEIVA</t>
        </is>
      </c>
      <c r="B14" s="14" t="inlineStr">
        <is>
          <t>0004-0007</t>
        </is>
      </c>
      <c r="C14" s="14" t="inlineStr">
        <is>
          <t>Redeban Oriente (Otros)</t>
        </is>
      </c>
      <c r="D14" s="14" t="inlineStr">
        <is>
          <t>KEVIN ALEXIS CORZO BUSTOS</t>
        </is>
      </c>
    </row>
    <row r="15">
      <c r="A15" s="13" t="inlineStr">
        <is>
          <t>PASTO</t>
        </is>
      </c>
      <c r="B15" s="14" t="inlineStr">
        <is>
          <t>0004-0003</t>
        </is>
      </c>
      <c r="C15" s="14" t="inlineStr">
        <is>
          <t>Redeban Suroccidente (Cali)</t>
        </is>
      </c>
      <c r="D15" s="14" t="inlineStr">
        <is>
          <t>DIEGO FERNANDO HENAO CARDONA</t>
        </is>
      </c>
    </row>
    <row r="16">
      <c r="A16" s="13" t="inlineStr">
        <is>
          <t>PEREIRA</t>
        </is>
      </c>
      <c r="B16" s="14" t="inlineStr">
        <is>
          <t>0004-0002</t>
        </is>
      </c>
      <c r="C16" s="14" t="inlineStr">
        <is>
          <t>Redeban Eje Cafetero (Pereira)</t>
        </is>
      </c>
      <c r="D16" s="14" t="inlineStr">
        <is>
          <t>DIEGO FERNANDO HENAO CARDONA</t>
        </is>
      </c>
    </row>
    <row r="17">
      <c r="A17" s="13" t="inlineStr">
        <is>
          <t>POPAYAN</t>
        </is>
      </c>
      <c r="B17" s="14" t="inlineStr">
        <is>
          <t>0004-0003</t>
        </is>
      </c>
      <c r="C17" s="14" t="inlineStr">
        <is>
          <t>Redeban Suroccidente (Cali)</t>
        </is>
      </c>
      <c r="D17" s="14" t="inlineStr">
        <is>
          <t>DIEGO FERNANDO HENAO CARDONA</t>
        </is>
      </c>
    </row>
    <row r="18">
      <c r="A18" s="13" t="inlineStr">
        <is>
          <t>SANTA MARTA</t>
        </is>
      </c>
      <c r="B18" s="14" t="inlineStr">
        <is>
          <t>0004-0001</t>
        </is>
      </c>
      <c r="C18" s="14" t="inlineStr">
        <is>
          <t>Redeban Costa (Barranqullla)</t>
        </is>
      </c>
      <c r="D18" s="14" t="inlineStr">
        <is>
          <t>JOSE MAURICIO HERNANDEZ ROJAS</t>
        </is>
      </c>
    </row>
    <row r="19">
      <c r="A19" s="13" t="inlineStr">
        <is>
          <t>SINCELEJO</t>
        </is>
      </c>
      <c r="B19" s="14" t="inlineStr">
        <is>
          <t>0004-0001</t>
        </is>
      </c>
      <c r="C19" s="14" t="inlineStr">
        <is>
          <t>Redeban Costa (Barranqullla)</t>
        </is>
      </c>
      <c r="D19" s="14" t="inlineStr">
        <is>
          <t>JOSE MAURICIO HERNANDEZ ROJAS</t>
        </is>
      </c>
    </row>
    <row r="20">
      <c r="A20" s="13" t="inlineStr">
        <is>
          <t>TUNJA</t>
        </is>
      </c>
      <c r="B20" s="14" t="inlineStr">
        <is>
          <t>0004-0008</t>
        </is>
      </c>
      <c r="C20" s="14" t="inlineStr">
        <is>
          <t>Redeban Santander</t>
        </is>
      </c>
      <c r="D20" s="14" t="inlineStr">
        <is>
          <t>MIGUEL JULIÁN HERNÁNDEZ GUARÍN</t>
        </is>
      </c>
    </row>
    <row r="21">
      <c r="A21" s="13" t="inlineStr">
        <is>
          <t>VALLEDUPAR</t>
        </is>
      </c>
      <c r="B21" s="14" t="inlineStr">
        <is>
          <t>0004-0001</t>
        </is>
      </c>
      <c r="C21" s="14" t="inlineStr">
        <is>
          <t>Redeban Costa (Barranqullla)</t>
        </is>
      </c>
      <c r="D21" s="14" t="inlineStr">
        <is>
          <t>JOSE MAURICIO HERNANDEZ ROJAS</t>
        </is>
      </c>
    </row>
    <row r="22">
      <c r="A22" s="13" t="inlineStr">
        <is>
          <t>VILLAVICENCIO</t>
        </is>
      </c>
      <c r="B22" s="14" t="inlineStr">
        <is>
          <t>0004-0007</t>
        </is>
      </c>
      <c r="C22" s="14" t="inlineStr">
        <is>
          <t>Redeban Oriente (Otros)</t>
        </is>
      </c>
      <c r="D22" s="14" t="inlineStr">
        <is>
          <t>KEVIN ALEXIS CORZO BUSTOS</t>
        </is>
      </c>
    </row>
    <row r="23">
      <c r="A23" s="13" t="inlineStr">
        <is>
          <t>YOPAL</t>
        </is>
      </c>
      <c r="B23" s="14" t="inlineStr">
        <is>
          <t>0004-0007</t>
        </is>
      </c>
      <c r="C23" s="14" t="inlineStr">
        <is>
          <t>Redeban Oriente (Otros)</t>
        </is>
      </c>
      <c r="D23" s="14" t="inlineStr">
        <is>
          <t>KEVIN ALEXIS CORZO BUSTOS</t>
        </is>
      </c>
    </row>
  </sheetData>
  <autoFilter ref="A1:D2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25" t="inlineStr">
        <is>
          <t>CIUDAD SEDE</t>
        </is>
      </c>
      <c r="B1" s="25" t="inlineStr">
        <is>
          <t>COORDINADOR</t>
        </is>
      </c>
      <c r="C1" s="25" t="inlineStr">
        <is>
          <t>CENTRO DE COSTOS LINEACOM</t>
        </is>
      </c>
      <c r="D1" s="25" t="inlineStr">
        <is>
          <t>CODIGO DANE</t>
        </is>
      </c>
      <c r="E1" s="25" t="inlineStr">
        <is>
          <t>TA/CODIGO ACTIVIDAD</t>
        </is>
      </c>
      <c r="F1" s="25" t="inlineStr">
        <is>
          <t>CODIGO CB</t>
        </is>
      </c>
      <c r="G1" s="25" t="inlineStr">
        <is>
          <t>ACTIVIDAD</t>
        </is>
      </c>
      <c r="H1" s="25" t="inlineStr">
        <is>
          <t>DEPARTAMENTO</t>
        </is>
      </c>
      <c r="I1" s="25" t="inlineStr">
        <is>
          <t>CIUDAD</t>
        </is>
      </c>
      <c r="J1" s="25" t="inlineStr">
        <is>
          <t xml:space="preserve">NOMBRE  DEL CB </t>
        </is>
      </c>
      <c r="K1" s="25" t="inlineStr">
        <is>
          <t>RED</t>
        </is>
      </c>
      <c r="L1" s="25" t="inlineStr">
        <is>
          <t>FO</t>
        </is>
      </c>
      <c r="M1" s="25" t="inlineStr">
        <is>
          <t>FECHA ASIGNACION A LINEA COMUNICACIONES</t>
        </is>
      </c>
      <c r="N1" s="25" t="inlineStr">
        <is>
          <t>FECHA CIERRE DEL TICKET (DD/MM/AAAA HH:MM)</t>
        </is>
      </c>
      <c r="O1" s="25" t="inlineStr">
        <is>
          <t>ACOMETIDA DATOS</t>
        </is>
      </c>
      <c r="P1" s="25" t="inlineStr">
        <is>
          <t>FORMATO</t>
        </is>
      </c>
      <c r="Q1" s="25" t="inlineStr">
        <is>
          <t>CADENA</t>
        </is>
      </c>
      <c r="R1" s="25" t="inlineStr">
        <is>
          <t>ESTADO</t>
        </is>
      </c>
      <c r="S1" s="25" t="inlineStr">
        <is>
          <t>CAUSAL ESTADO</t>
        </is>
      </c>
      <c r="T1" s="25" t="inlineStr">
        <is>
          <t>FORMA DE ATENCION</t>
        </is>
      </c>
      <c r="U1" s="25" t="inlineStr">
        <is>
          <t>TERMINAL(ES)</t>
        </is>
      </c>
      <c r="V1" s="25" t="inlineStr">
        <is>
          <t>TIPIFICACION</t>
        </is>
      </c>
      <c r="W1" s="25" t="inlineStr">
        <is>
          <t>TIPO DE TRAYECTO</t>
        </is>
      </c>
      <c r="X1" s="25" t="inlineStr">
        <is>
          <t>NOMBRE DEL TECNICO</t>
        </is>
      </c>
      <c r="Y1" s="25" t="inlineStr">
        <is>
          <t>DIAS DE VISITA</t>
        </is>
      </c>
      <c r="Z1" s="25" t="inlineStr">
        <is>
          <t>DIA ADICIONAL</t>
        </is>
      </c>
      <c r="AA1" s="25" t="inlineStr">
        <is>
          <t>VALOR FLANGER, SEPARADOR, STICKER, DISPLAY</t>
        </is>
      </c>
      <c r="AB1" s="25" t="inlineStr">
        <is>
          <t xml:space="preserve">VALOR INSTALACION DE AVISOS EXTERNOS </t>
        </is>
      </c>
      <c r="AC1" s="25" t="inlineStr">
        <is>
          <t>VALOR TRANSPORTE DE AVISO</t>
        </is>
      </c>
      <c r="AD1" s="25" t="inlineStr">
        <is>
          <t>VALOR TOTAL</t>
        </is>
      </c>
      <c r="AE1" s="25" t="inlineStr">
        <is>
          <t>VALOR TOTAL</t>
        </is>
      </c>
    </row>
    <row r="2">
      <c r="A2" t="inlineStr">
        <is>
          <t>SANTA MARTA</t>
        </is>
      </c>
      <c r="B2" t="inlineStr">
        <is>
          <t>COSTA</t>
        </is>
      </c>
      <c r="C2" t="inlineStr">
        <is>
          <t>0004-0001</t>
        </is>
      </c>
      <c r="D2" t="inlineStr">
        <is>
          <t>44430</t>
        </is>
      </c>
      <c r="E2" t="inlineStr">
        <is>
          <t>LC-CS-25-000007</t>
        </is>
      </c>
      <c r="F2" t="inlineStr">
        <is>
          <t>3007068485</t>
        </is>
      </c>
      <c r="G2" t="inlineStr">
        <is>
          <t>OC CIERRE</t>
        </is>
      </c>
      <c r="H2" t="inlineStr">
        <is>
          <t>LA GUAJIRA</t>
        </is>
      </c>
      <c r="I2" t="inlineStr">
        <is>
          <t>MAICAO</t>
        </is>
      </c>
      <c r="J2" t="inlineStr">
        <is>
          <t>DISTRICOL TIENDA Y&amp;A</t>
        </is>
      </c>
      <c r="K2" t="inlineStr">
        <is>
          <t>BANCOLOMBIA</t>
        </is>
      </c>
      <c r="L2" t="inlineStr">
        <is>
          <t>FO-25-1380449</t>
        </is>
      </c>
      <c r="M2" s="26" t="n">
        <v>45884.48333333333</v>
      </c>
      <c r="N2" s="26" t="n">
        <v>45895.43611111111</v>
      </c>
      <c r="O2" s="27" t="n">
        <v>0</v>
      </c>
      <c r="P2" t="inlineStr">
        <is>
          <t>AGREGADOR</t>
        </is>
      </c>
      <c r="Q2" t="inlineStr">
        <is>
          <t>DISTRICOL</t>
        </is>
      </c>
      <c r="R2" t="inlineStr">
        <is>
          <t>EJECUTADO / CANCELADO</t>
        </is>
      </c>
      <c r="S2" t="inlineStr">
        <is>
          <t>CB NO ENTREGA EQUIPO</t>
        </is>
      </c>
      <c r="T2" t="inlineStr">
        <is>
          <t>VISITA TECNICA</t>
        </is>
      </c>
      <c r="U2" t="inlineStr"/>
      <c r="V2" t="inlineStr">
        <is>
          <t>TIPO IV</t>
        </is>
      </c>
      <c r="W2" t="inlineStr">
        <is>
          <t>TERRESTRE</t>
        </is>
      </c>
      <c r="X2" t="inlineStr">
        <is>
          <t>THOMAS  CAMPO SIGIFREDO SEGUNDO</t>
        </is>
      </c>
      <c r="Y2" t="inlineStr">
        <is>
          <t>1</t>
        </is>
      </c>
      <c r="Z2" t="inlineStr">
        <is>
          <t>0</t>
        </is>
      </c>
      <c r="AA2" s="27" t="n">
        <v>0</v>
      </c>
      <c r="AB2" s="27" t="n">
        <v>0</v>
      </c>
      <c r="AC2" s="27" t="n">
        <v>0</v>
      </c>
      <c r="AD2" s="27" t="n">
        <v>464809</v>
      </c>
      <c r="AE2" s="27" t="n">
        <v>0</v>
      </c>
    </row>
    <row r="3">
      <c r="A3" t="inlineStr">
        <is>
          <t>CUCUTA</t>
        </is>
      </c>
      <c r="B3" t="inlineStr">
        <is>
          <t>SANTANDERES</t>
        </is>
      </c>
      <c r="C3" t="inlineStr">
        <is>
          <t>0004-0008</t>
        </is>
      </c>
      <c r="D3" t="inlineStr">
        <is>
          <t>54001</t>
        </is>
      </c>
      <c r="E3" t="inlineStr">
        <is>
          <t>LC-CS-25-000012</t>
        </is>
      </c>
      <c r="F3" t="inlineStr">
        <is>
          <t>3007071022</t>
        </is>
      </c>
      <c r="G3" t="inlineStr">
        <is>
          <t>OC CIERRE</t>
        </is>
      </c>
      <c r="H3" t="inlineStr">
        <is>
          <t>NORTE DE SANTANDER</t>
        </is>
      </c>
      <c r="I3" t="inlineStr">
        <is>
          <t>CUCUTA</t>
        </is>
      </c>
      <c r="J3" t="inlineStr">
        <is>
          <t>DISTRICOL CENTROPAG</t>
        </is>
      </c>
      <c r="K3" t="inlineStr">
        <is>
          <t>BANCOLOMBIA</t>
        </is>
      </c>
      <c r="L3" t="inlineStr">
        <is>
          <t>FO-25-1380519</t>
        </is>
      </c>
      <c r="M3" s="26" t="n">
        <v>45884.48333333333</v>
      </c>
      <c r="N3" s="26" t="n">
        <v>45885.46041666667</v>
      </c>
      <c r="O3" s="27" t="n">
        <v>0</v>
      </c>
      <c r="P3" t="inlineStr">
        <is>
          <t>AGREGADOR</t>
        </is>
      </c>
      <c r="Q3" t="inlineStr">
        <is>
          <t>DISTRICOL</t>
        </is>
      </c>
      <c r="R3" t="inlineStr">
        <is>
          <t>EJECUTADO / CANCELADO</t>
        </is>
      </c>
      <c r="S3" t="inlineStr">
        <is>
          <t>CB CERRADO - DESOCUPADO</t>
        </is>
      </c>
      <c r="T3" t="inlineStr">
        <is>
          <t>VISITA TECNICA</t>
        </is>
      </c>
      <c r="U3" t="inlineStr">
        <is>
          <t>NONE</t>
        </is>
      </c>
      <c r="V3" t="inlineStr">
        <is>
          <t>TIPO I</t>
        </is>
      </c>
      <c r="W3" t="inlineStr">
        <is>
          <t>TERRESTRE</t>
        </is>
      </c>
      <c r="X3" t="inlineStr">
        <is>
          <t>MORA VEGA JEAMPIER</t>
        </is>
      </c>
      <c r="Y3" t="inlineStr">
        <is>
          <t>1</t>
        </is>
      </c>
      <c r="Z3" t="inlineStr">
        <is>
          <t>0</t>
        </is>
      </c>
      <c r="AA3" s="27" t="n">
        <v>0</v>
      </c>
      <c r="AB3" s="27" t="n">
        <v>0</v>
      </c>
      <c r="AC3" s="27" t="n">
        <v>0</v>
      </c>
      <c r="AD3" s="27" t="n">
        <v>44560</v>
      </c>
      <c r="AE3" s="27" t="n">
        <v>0</v>
      </c>
    </row>
    <row r="4">
      <c r="A4" t="inlineStr">
        <is>
          <t>MEDELLIN</t>
        </is>
      </c>
      <c r="B4" t="inlineStr">
        <is>
          <t>NOROCCIDENTE</t>
        </is>
      </c>
      <c r="C4" t="inlineStr">
        <is>
          <t>0004-0005</t>
        </is>
      </c>
      <c r="D4" t="inlineStr">
        <is>
          <t>5088</t>
        </is>
      </c>
      <c r="E4" t="inlineStr">
        <is>
          <t>LC-CS-25-000021</t>
        </is>
      </c>
      <c r="F4" t="inlineStr">
        <is>
          <t>3007036435</t>
        </is>
      </c>
      <c r="G4" t="inlineStr">
        <is>
          <t>OC CIERRE</t>
        </is>
      </c>
      <c r="H4" t="inlineStr">
        <is>
          <t>ANTIOQUIA</t>
        </is>
      </c>
      <c r="I4" t="inlineStr">
        <is>
          <t>BELLO</t>
        </is>
      </c>
      <c r="J4" t="inlineStr">
        <is>
          <t>BARRIO PEREZ BELLO 1</t>
        </is>
      </c>
      <c r="K4" t="inlineStr">
        <is>
          <t>BANCOLOMBIA</t>
        </is>
      </c>
      <c r="L4" t="inlineStr">
        <is>
          <t>FO-25-1380875</t>
        </is>
      </c>
      <c r="M4" s="26" t="n">
        <v>45884.52777777778</v>
      </c>
      <c r="N4" s="26" t="n">
        <v>45886.60069444445</v>
      </c>
      <c r="O4" s="27" t="n">
        <v>0</v>
      </c>
      <c r="P4" t="inlineStr">
        <is>
          <t>UNO A UNO</t>
        </is>
      </c>
      <c r="Q4" t="inlineStr">
        <is>
          <t>CB UNO A UNO</t>
        </is>
      </c>
      <c r="R4" t="inlineStr">
        <is>
          <t>EJECUTADO / CANCELADO</t>
        </is>
      </c>
      <c r="S4" t="inlineStr">
        <is>
          <t>CB NO ENTREGA EQUIPO</t>
        </is>
      </c>
      <c r="T4" t="inlineStr">
        <is>
          <t>VISITA TECNICA</t>
        </is>
      </c>
      <c r="U4" t="inlineStr">
        <is>
          <t>AA00D811</t>
        </is>
      </c>
      <c r="V4" t="inlineStr">
        <is>
          <t>TIPO I</t>
        </is>
      </c>
      <c r="W4" t="inlineStr">
        <is>
          <t>TERRESTRE</t>
        </is>
      </c>
      <c r="X4" t="inlineStr">
        <is>
          <t>RAMIREZ TABARES JUAN DIEGO</t>
        </is>
      </c>
      <c r="Y4" t="inlineStr">
        <is>
          <t>1</t>
        </is>
      </c>
      <c r="Z4" t="inlineStr">
        <is>
          <t>0</t>
        </is>
      </c>
      <c r="AA4" s="27" t="n">
        <v>0</v>
      </c>
      <c r="AB4" s="27" t="n">
        <v>0</v>
      </c>
      <c r="AC4" s="27" t="n">
        <v>0</v>
      </c>
      <c r="AD4" s="27" t="n">
        <v>44560</v>
      </c>
      <c r="AE4" s="27" t="n">
        <v>0</v>
      </c>
    </row>
    <row r="5">
      <c r="A5" t="inlineStr">
        <is>
          <t>MEDELLIN</t>
        </is>
      </c>
      <c r="B5" t="inlineStr">
        <is>
          <t>NOROCCIDENTE</t>
        </is>
      </c>
      <c r="C5" t="inlineStr">
        <is>
          <t>0004-0005</t>
        </is>
      </c>
      <c r="D5" t="inlineStr">
        <is>
          <t>5088</t>
        </is>
      </c>
      <c r="E5" t="inlineStr">
        <is>
          <t>LC-CS-25-000022</t>
        </is>
      </c>
      <c r="F5" t="inlineStr">
        <is>
          <t>3007059809</t>
        </is>
      </c>
      <c r="G5" t="inlineStr">
        <is>
          <t>OC CIERRE</t>
        </is>
      </c>
      <c r="H5" t="inlineStr">
        <is>
          <t>ANTIOQUIA</t>
        </is>
      </c>
      <c r="I5" t="inlineStr">
        <is>
          <t>BELLO</t>
        </is>
      </c>
      <c r="J5" t="inlineStr">
        <is>
          <t>BARRIO BELLO BELLO 5</t>
        </is>
      </c>
      <c r="K5" t="inlineStr">
        <is>
          <t>BANCOLOMBIA</t>
        </is>
      </c>
      <c r="L5" t="inlineStr">
        <is>
          <t>FO-25-1380850</t>
        </is>
      </c>
      <c r="M5" s="26" t="n">
        <v>45884.52777777778</v>
      </c>
      <c r="N5" s="26" t="n">
        <v>45890.37916666667</v>
      </c>
      <c r="O5" s="27" t="n">
        <v>0</v>
      </c>
      <c r="P5" t="inlineStr">
        <is>
          <t>CB UNO A UNO</t>
        </is>
      </c>
      <c r="Q5" t="inlineStr">
        <is>
          <t>CB UNO A UNO</t>
        </is>
      </c>
      <c r="R5" t="inlineStr">
        <is>
          <t>EJECUTADO / CANCELADO</t>
        </is>
      </c>
      <c r="S5" t="inlineStr">
        <is>
          <t>CB CERRADO - DESOCUPADO</t>
        </is>
      </c>
      <c r="T5" t="inlineStr">
        <is>
          <t>VISITA TECNICA</t>
        </is>
      </c>
      <c r="U5" t="inlineStr"/>
      <c r="V5" t="inlineStr">
        <is>
          <t>TIPO I</t>
        </is>
      </c>
      <c r="W5" t="inlineStr">
        <is>
          <t>TERRESTRE</t>
        </is>
      </c>
      <c r="X5" t="inlineStr">
        <is>
          <t>ZAPATA LOPEZ EDWARD ASDRUBAL</t>
        </is>
      </c>
      <c r="Y5" t="inlineStr">
        <is>
          <t>1</t>
        </is>
      </c>
      <c r="Z5" t="inlineStr">
        <is>
          <t>0</t>
        </is>
      </c>
      <c r="AA5" s="27" t="n">
        <v>0</v>
      </c>
      <c r="AB5" s="27" t="n">
        <v>0</v>
      </c>
      <c r="AC5" s="27" t="n">
        <v>0</v>
      </c>
      <c r="AD5" s="27" t="n">
        <v>44560</v>
      </c>
      <c r="AE5" s="27" t="n">
        <v>0</v>
      </c>
    </row>
    <row r="6">
      <c r="A6" t="inlineStr">
        <is>
          <t>APARTADO</t>
        </is>
      </c>
      <c r="B6" t="inlineStr">
        <is>
          <t>NOROCCIDENTE</t>
        </is>
      </c>
      <c r="C6" t="inlineStr">
        <is>
          <t>0004-0005</t>
        </is>
      </c>
      <c r="D6" t="inlineStr">
        <is>
          <t>5172</t>
        </is>
      </c>
      <c r="E6" t="inlineStr">
        <is>
          <t>LC-CS-25-000023</t>
        </is>
      </c>
      <c r="F6" t="inlineStr">
        <is>
          <t>3007059671</t>
        </is>
      </c>
      <c r="G6" t="inlineStr">
        <is>
          <t>OC CIERRE</t>
        </is>
      </c>
      <c r="H6" t="inlineStr">
        <is>
          <t>ANTIOQUIA</t>
        </is>
      </c>
      <c r="I6" t="inlineStr">
        <is>
          <t>CHIGORODO</t>
        </is>
      </c>
      <c r="J6" t="inlineStr">
        <is>
          <t>BARRIO CHIGORODO CHIGORODO 2</t>
        </is>
      </c>
      <c r="K6" t="inlineStr">
        <is>
          <t>BANCOLOMBIA</t>
        </is>
      </c>
      <c r="L6" t="inlineStr">
        <is>
          <t>FO-25-1380901</t>
        </is>
      </c>
      <c r="M6" s="26" t="n">
        <v>45884.52777777778</v>
      </c>
      <c r="N6" s="26" t="n">
        <v>45897.40972222222</v>
      </c>
      <c r="O6" s="27" t="n">
        <v>0</v>
      </c>
      <c r="P6" t="inlineStr">
        <is>
          <t>UNO A UNO</t>
        </is>
      </c>
      <c r="Q6" t="inlineStr">
        <is>
          <t>CB UNO A UNO</t>
        </is>
      </c>
      <c r="R6" t="inlineStr">
        <is>
          <t>EJECUTADO / CANCELADO</t>
        </is>
      </c>
      <c r="S6" t="inlineStr">
        <is>
          <t>CB CERRADO - DESOCUPADO</t>
        </is>
      </c>
      <c r="T6" t="inlineStr">
        <is>
          <t>VISITA TECNICA</t>
        </is>
      </c>
      <c r="U6" t="inlineStr">
        <is>
          <t>LA009528</t>
        </is>
      </c>
      <c r="V6" t="inlineStr">
        <is>
          <t>TIPO II</t>
        </is>
      </c>
      <c r="W6" t="inlineStr">
        <is>
          <t>TERRESTRE</t>
        </is>
      </c>
      <c r="X6" t="inlineStr">
        <is>
          <t>MARTINEZ TOVAR OSCAR DAVID</t>
        </is>
      </c>
      <c r="Y6" t="inlineStr">
        <is>
          <t>1</t>
        </is>
      </c>
      <c r="Z6" t="inlineStr">
        <is>
          <t>0</t>
        </is>
      </c>
      <c r="AA6" s="27" t="n">
        <v>0</v>
      </c>
      <c r="AB6" s="27" t="n">
        <v>0</v>
      </c>
      <c r="AC6" s="27" t="n">
        <v>0</v>
      </c>
      <c r="AD6" s="27" t="n">
        <v>134411</v>
      </c>
      <c r="AE6" s="27" t="n">
        <v>0</v>
      </c>
    </row>
    <row r="7">
      <c r="A7" t="inlineStr">
        <is>
          <t>MONTERIA</t>
        </is>
      </c>
      <c r="B7" t="inlineStr">
        <is>
          <t>COSTA</t>
        </is>
      </c>
      <c r="C7" t="inlineStr">
        <is>
          <t>0004-0001</t>
        </is>
      </c>
      <c r="D7" t="inlineStr">
        <is>
          <t>23068</t>
        </is>
      </c>
      <c r="E7" t="inlineStr">
        <is>
          <t>LC-CS-25-000028</t>
        </is>
      </c>
      <c r="F7" t="inlineStr">
        <is>
          <t>3007072855</t>
        </is>
      </c>
      <c r="G7" t="inlineStr">
        <is>
          <t>OC CIERRE</t>
        </is>
      </c>
      <c r="H7" t="inlineStr">
        <is>
          <t>CORDOBA</t>
        </is>
      </c>
      <c r="I7" t="inlineStr">
        <is>
          <t>AYAPEL</t>
        </is>
      </c>
      <c r="J7" t="inlineStr">
        <is>
          <t>SANTA ANA AYAPEL</t>
        </is>
      </c>
      <c r="K7" t="inlineStr">
        <is>
          <t>BANCOLOMBIA</t>
        </is>
      </c>
      <c r="L7" t="inlineStr">
        <is>
          <t>FO-25-1380888</t>
        </is>
      </c>
      <c r="M7" s="26" t="n">
        <v>45884.52777777778</v>
      </c>
      <c r="N7" s="26" t="n">
        <v>45884.72361111111</v>
      </c>
      <c r="O7" s="27" t="n">
        <v>0</v>
      </c>
      <c r="P7" t="inlineStr">
        <is>
          <t>UNO A UNO</t>
        </is>
      </c>
      <c r="Q7" t="inlineStr">
        <is>
          <t>UNO A UNO</t>
        </is>
      </c>
      <c r="R7" t="inlineStr">
        <is>
          <t>EJECUTADO</t>
        </is>
      </c>
      <c r="S7" t="inlineStr">
        <is>
          <t>CB NO ENTREGA EQUIPO</t>
        </is>
      </c>
      <c r="T7" t="inlineStr">
        <is>
          <t>VISITA TECNICA</t>
        </is>
      </c>
      <c r="U7" t="inlineStr">
        <is>
          <t>0000000</t>
        </is>
      </c>
      <c r="V7" t="inlineStr">
        <is>
          <t>TIPO III</t>
        </is>
      </c>
      <c r="W7" t="inlineStr">
        <is>
          <t>TERRESTRE</t>
        </is>
      </c>
      <c r="X7" t="inlineStr">
        <is>
          <t>CALDERA SALCEDO CARLOS JULIO</t>
        </is>
      </c>
      <c r="Y7" t="inlineStr">
        <is>
          <t>1</t>
        </is>
      </c>
      <c r="Z7" t="inlineStr">
        <is>
          <t>0</t>
        </is>
      </c>
      <c r="AA7" s="27" t="n">
        <v>0</v>
      </c>
      <c r="AB7" s="27" t="n">
        <v>0</v>
      </c>
      <c r="AC7" s="27" t="n">
        <v>0</v>
      </c>
      <c r="AD7" s="27" t="n">
        <v>222904</v>
      </c>
      <c r="AE7" s="27" t="n">
        <v>0</v>
      </c>
    </row>
    <row r="8">
      <c r="A8" t="inlineStr">
        <is>
          <t>PASTO</t>
        </is>
      </c>
      <c r="B8" t="inlineStr">
        <is>
          <t>SUROCCIDENTE Y EJE CAFETERO</t>
        </is>
      </c>
      <c r="C8" t="inlineStr">
        <is>
          <t>0004-0003</t>
        </is>
      </c>
      <c r="D8" t="inlineStr">
        <is>
          <t>52051</t>
        </is>
      </c>
      <c r="E8" t="inlineStr">
        <is>
          <t>LC-CS-25-000033</t>
        </is>
      </c>
      <c r="F8" t="inlineStr">
        <is>
          <t>3007036250</t>
        </is>
      </c>
      <c r="G8" t="inlineStr">
        <is>
          <t>OC CIERRE</t>
        </is>
      </c>
      <c r="H8" t="inlineStr">
        <is>
          <t>NARIÑO</t>
        </is>
      </c>
      <c r="I8" t="inlineStr">
        <is>
          <t>ARBOLEDA</t>
        </is>
      </c>
      <c r="J8" t="inlineStr">
        <is>
          <t>BARRIO CENTRO ARBOLEDA</t>
        </is>
      </c>
      <c r="K8" t="inlineStr">
        <is>
          <t>BANCOLOMBIA</t>
        </is>
      </c>
      <c r="L8" t="inlineStr">
        <is>
          <t>FO-25-1380834</t>
        </is>
      </c>
      <c r="M8" s="26" t="n">
        <v>45884.52777777778</v>
      </c>
      <c r="N8" s="26" t="n">
        <v>45888.57013888889</v>
      </c>
      <c r="O8" s="27" t="n">
        <v>0</v>
      </c>
      <c r="P8" t="inlineStr">
        <is>
          <t>UNO A UNO</t>
        </is>
      </c>
      <c r="Q8" t="inlineStr">
        <is>
          <t>CB UNO A UNO</t>
        </is>
      </c>
      <c r="R8" t="inlineStr">
        <is>
          <t>EJECUTADO / CANCELADO</t>
        </is>
      </c>
      <c r="S8" t="inlineStr">
        <is>
          <t>CB CERRADO - DESOCUPADO</t>
        </is>
      </c>
      <c r="T8" t="inlineStr">
        <is>
          <t>VISITA TECNICA</t>
        </is>
      </c>
      <c r="U8" t="inlineStr">
        <is>
          <t>A301Z286</t>
        </is>
      </c>
      <c r="V8" t="inlineStr">
        <is>
          <t>TIPO II</t>
        </is>
      </c>
      <c r="W8" t="inlineStr">
        <is>
          <t>TERRESTRE</t>
        </is>
      </c>
      <c r="X8" t="inlineStr">
        <is>
          <t>CASTILLO HERRERA ALEX RICARDO</t>
        </is>
      </c>
      <c r="Y8" t="inlineStr">
        <is>
          <t>1</t>
        </is>
      </c>
      <c r="Z8" t="inlineStr">
        <is>
          <t>0</t>
        </is>
      </c>
      <c r="AA8" s="27" t="n">
        <v>0</v>
      </c>
      <c r="AB8" s="27" t="n">
        <v>0</v>
      </c>
      <c r="AC8" s="27" t="n">
        <v>0</v>
      </c>
      <c r="AD8" s="27" t="n">
        <v>134411</v>
      </c>
      <c r="AE8" s="27" t="n">
        <v>0</v>
      </c>
    </row>
    <row r="9">
      <c r="A9" t="inlineStr">
        <is>
          <t>CALI</t>
        </is>
      </c>
      <c r="B9" t="inlineStr">
        <is>
          <t>SUROCCIDENTE Y EJE CAFETERO</t>
        </is>
      </c>
      <c r="C9" t="inlineStr">
        <is>
          <t>0004-0003</t>
        </is>
      </c>
      <c r="D9" t="inlineStr">
        <is>
          <t>76001</t>
        </is>
      </c>
      <c r="E9" t="inlineStr">
        <is>
          <t>LC-CS-25-000038</t>
        </is>
      </c>
      <c r="F9" t="inlineStr">
        <is>
          <t>3007067145</t>
        </is>
      </c>
      <c r="G9" t="inlineStr">
        <is>
          <t>OC CIERRE</t>
        </is>
      </c>
      <c r="H9" t="inlineStr">
        <is>
          <t>VALLE DEL CAUCA</t>
        </is>
      </c>
      <c r="I9" t="inlineStr">
        <is>
          <t>CALI</t>
        </is>
      </c>
      <c r="J9" t="inlineStr">
        <is>
          <t>BARRIO ANDES CALI</t>
        </is>
      </c>
      <c r="K9" t="inlineStr">
        <is>
          <t>BANCOLOMBIA</t>
        </is>
      </c>
      <c r="L9" t="inlineStr">
        <is>
          <t>FO-25-1380864</t>
        </is>
      </c>
      <c r="M9" s="26" t="n">
        <v>45884.52777777778</v>
      </c>
      <c r="N9" s="26" t="n">
        <v>45885.66319444445</v>
      </c>
      <c r="O9" s="27" t="n">
        <v>0</v>
      </c>
      <c r="P9" t="inlineStr">
        <is>
          <t>CB UNO A UNO</t>
        </is>
      </c>
      <c r="Q9" t="inlineStr">
        <is>
          <t>CB UNO A UNO</t>
        </is>
      </c>
      <c r="R9" t="inlineStr">
        <is>
          <t>EJECUTADO / CANCELADO</t>
        </is>
      </c>
      <c r="S9" t="inlineStr">
        <is>
          <t>CB NO ENTREGA EQUIPO</t>
        </is>
      </c>
      <c r="T9" t="inlineStr">
        <is>
          <t>VISITA TECNICA</t>
        </is>
      </c>
      <c r="U9" t="inlineStr">
        <is>
          <t>NONE</t>
        </is>
      </c>
      <c r="V9" t="inlineStr">
        <is>
          <t>TIPO I</t>
        </is>
      </c>
      <c r="W9" t="inlineStr">
        <is>
          <t>TERRESTRE</t>
        </is>
      </c>
      <c r="X9" t="inlineStr">
        <is>
          <t>HERRERA MONAR GEOVANNY</t>
        </is>
      </c>
      <c r="Y9" t="inlineStr">
        <is>
          <t>1</t>
        </is>
      </c>
      <c r="Z9" t="inlineStr">
        <is>
          <t>0</t>
        </is>
      </c>
      <c r="AA9" s="27" t="n">
        <v>0</v>
      </c>
      <c r="AB9" s="27" t="n">
        <v>0</v>
      </c>
      <c r="AC9" s="27" t="n">
        <v>0</v>
      </c>
      <c r="AD9" s="27" t="n">
        <v>44560</v>
      </c>
      <c r="AE9" s="27" t="n">
        <v>0</v>
      </c>
    </row>
    <row r="10">
      <c r="A10" t="inlineStr">
        <is>
          <t>VILLAVICENCIO</t>
        </is>
      </c>
      <c r="B10" t="inlineStr">
        <is>
          <t>REMOTAS</t>
        </is>
      </c>
      <c r="C10" t="inlineStr">
        <is>
          <t>0004-0007</t>
        </is>
      </c>
      <c r="D10" t="inlineStr">
        <is>
          <t>85440</t>
        </is>
      </c>
      <c r="E10" t="inlineStr">
        <is>
          <t>LC-CS-25-000040</t>
        </is>
      </c>
      <c r="F10" t="inlineStr">
        <is>
          <t>3007034510</t>
        </is>
      </c>
      <c r="G10" t="inlineStr">
        <is>
          <t>OC CIERRE</t>
        </is>
      </c>
      <c r="H10" t="inlineStr">
        <is>
          <t>CASANARE</t>
        </is>
      </c>
      <c r="I10" t="inlineStr">
        <is>
          <t>VILLANUEVA</t>
        </is>
      </c>
      <c r="J10" t="inlineStr">
        <is>
          <t>BARRIO FUNDADORES VILLANUEVA</t>
        </is>
      </c>
      <c r="K10" t="inlineStr">
        <is>
          <t>BANCOLOMBIA</t>
        </is>
      </c>
      <c r="L10" t="inlineStr">
        <is>
          <t>FO-25-1380837</t>
        </is>
      </c>
      <c r="M10" s="26" t="n">
        <v>45884.52777777778</v>
      </c>
      <c r="N10" s="26" t="n">
        <v>45894.46597222222</v>
      </c>
      <c r="O10" s="27" t="n">
        <v>0</v>
      </c>
      <c r="P10" t="inlineStr">
        <is>
          <t>CB UNO A UNO</t>
        </is>
      </c>
      <c r="Q10" t="inlineStr">
        <is>
          <t>CB UNO A UNO</t>
        </is>
      </c>
      <c r="R10" t="inlineStr"/>
      <c r="S10" t="inlineStr">
        <is>
          <t>CB NO ENTREGA EQUIPO</t>
        </is>
      </c>
      <c r="T10" t="inlineStr">
        <is>
          <t>SOPORTE TELEFONICO</t>
        </is>
      </c>
      <c r="U10" t="inlineStr"/>
      <c r="V10" t="inlineStr">
        <is>
          <t>TIPO III</t>
        </is>
      </c>
      <c r="W10" t="inlineStr">
        <is>
          <t>TERRESTRE</t>
        </is>
      </c>
      <c r="X10" t="inlineStr">
        <is>
          <t>ROZO JIMENEZ EDGAR ARMANDO</t>
        </is>
      </c>
      <c r="Y10" t="inlineStr">
        <is>
          <t>2</t>
        </is>
      </c>
      <c r="Z10" t="inlineStr">
        <is>
          <t>0</t>
        </is>
      </c>
      <c r="AA10" s="27" t="n">
        <v>0</v>
      </c>
      <c r="AB10" s="27" t="n">
        <v>0</v>
      </c>
      <c r="AC10" s="27" t="n">
        <v>0</v>
      </c>
      <c r="AD10" s="27" t="n">
        <v>37905</v>
      </c>
      <c r="AE10" s="27" t="n">
        <v>0</v>
      </c>
    </row>
    <row r="11">
      <c r="A11" t="inlineStr">
        <is>
          <t>BOGOTA</t>
        </is>
      </c>
      <c r="B11" t="inlineStr">
        <is>
          <t>CUNDINAMARCA</t>
        </is>
      </c>
      <c r="C11" t="inlineStr">
        <is>
          <t>0004-0004</t>
        </is>
      </c>
      <c r="D11" t="inlineStr">
        <is>
          <t>11001</t>
        </is>
      </c>
      <c r="E11" t="inlineStr">
        <is>
          <t>LC-CS-25-000042</t>
        </is>
      </c>
      <c r="F11" t="inlineStr">
        <is>
          <t>3007077003</t>
        </is>
      </c>
      <c r="G11" t="inlineStr">
        <is>
          <t>OC CIERRE</t>
        </is>
      </c>
      <c r="H11" t="inlineStr">
        <is>
          <t>CUNDINAMARCA</t>
        </is>
      </c>
      <c r="I11" t="inlineStr">
        <is>
          <t>BOGOTA</t>
        </is>
      </c>
      <c r="J11" t="inlineStr">
        <is>
          <t>BARRIO BOSA SAN BERNARDO BOGOTA 1</t>
        </is>
      </c>
      <c r="K11" t="inlineStr">
        <is>
          <t>BANCOLOMBIA</t>
        </is>
      </c>
      <c r="L11" t="inlineStr">
        <is>
          <t>FO-25-1380912</t>
        </is>
      </c>
      <c r="M11" s="26" t="n">
        <v>45884.52777777778</v>
      </c>
      <c r="N11" s="26" t="n">
        <v>45885.64236111111</v>
      </c>
      <c r="O11" s="27" t="n">
        <v>0</v>
      </c>
      <c r="P11" t="inlineStr">
        <is>
          <t>UNO A UNO</t>
        </is>
      </c>
      <c r="Q11" t="inlineStr">
        <is>
          <t>UNO A UNO</t>
        </is>
      </c>
      <c r="R11" t="inlineStr">
        <is>
          <t>EJECUTADO / CANCELADO</t>
        </is>
      </c>
      <c r="S11" t="inlineStr">
        <is>
          <t>CB NO ENTREGA EQUIPO</t>
        </is>
      </c>
      <c r="T11" t="inlineStr">
        <is>
          <t>VISITA TECNICA</t>
        </is>
      </c>
      <c r="U11" t="inlineStr">
        <is>
          <t>LM5ZZ628</t>
        </is>
      </c>
      <c r="V11" t="inlineStr">
        <is>
          <t>TIPO I</t>
        </is>
      </c>
      <c r="W11" t="inlineStr">
        <is>
          <t>TERRESTRE</t>
        </is>
      </c>
      <c r="X11" t="inlineStr">
        <is>
          <t>HERNANDEZ NARANJO OSCAR EDUARDO</t>
        </is>
      </c>
      <c r="Y11" t="inlineStr">
        <is>
          <t>1</t>
        </is>
      </c>
      <c r="Z11" t="inlineStr">
        <is>
          <t>0</t>
        </is>
      </c>
      <c r="AA11" s="27" t="n">
        <v>0</v>
      </c>
      <c r="AB11" s="27" t="n">
        <v>0</v>
      </c>
      <c r="AC11" s="27" t="n">
        <v>0</v>
      </c>
      <c r="AD11" s="27" t="n">
        <v>44560</v>
      </c>
      <c r="AE11" s="27" t="n">
        <v>0</v>
      </c>
    </row>
    <row r="12">
      <c r="A12" t="inlineStr">
        <is>
          <t>APARTADO</t>
        </is>
      </c>
      <c r="B12" t="inlineStr">
        <is>
          <t>NOROCCIDENTE</t>
        </is>
      </c>
      <c r="C12" t="inlineStr">
        <is>
          <t>0004-0005</t>
        </is>
      </c>
      <c r="D12" t="inlineStr">
        <is>
          <t>27810</t>
        </is>
      </c>
      <c r="E12" t="inlineStr">
        <is>
          <t>LC-CS-25-000043</t>
        </is>
      </c>
      <c r="F12" t="inlineStr">
        <is>
          <t>3007038240</t>
        </is>
      </c>
      <c r="G12" t="inlineStr">
        <is>
          <t>OC CIERRE</t>
        </is>
      </c>
      <c r="H12" t="inlineStr">
        <is>
          <t>CHOCO</t>
        </is>
      </c>
      <c r="I12" t="inlineStr">
        <is>
          <t>UNION PANAMERICANA</t>
        </is>
      </c>
      <c r="J12" t="inlineStr">
        <is>
          <t>BARRIO LOURDES UNION PANAMERICANA</t>
        </is>
      </c>
      <c r="K12" t="inlineStr">
        <is>
          <t>BANCOLOMBIA</t>
        </is>
      </c>
      <c r="L12" t="inlineStr">
        <is>
          <t>FO-25-1380827</t>
        </is>
      </c>
      <c r="M12" s="26" t="n">
        <v>45884.52777777778</v>
      </c>
      <c r="N12" s="26" t="n">
        <v>45889.45416666667</v>
      </c>
      <c r="O12" s="27" t="n">
        <v>0</v>
      </c>
      <c r="P12" t="inlineStr">
        <is>
          <t>UNO A UNO</t>
        </is>
      </c>
      <c r="Q12" t="inlineStr">
        <is>
          <t>CB UNO A UNO</t>
        </is>
      </c>
      <c r="R12" t="inlineStr">
        <is>
          <t>EJECUTADO / CANCELADO</t>
        </is>
      </c>
      <c r="S12" t="inlineStr">
        <is>
          <t>CB CERRADO - DESOCUPADO</t>
        </is>
      </c>
      <c r="T12" t="inlineStr">
        <is>
          <t>VISITA TECNICA</t>
        </is>
      </c>
      <c r="U12" t="inlineStr">
        <is>
          <t>NO SUMINISTRA</t>
        </is>
      </c>
      <c r="V12" t="inlineStr">
        <is>
          <t>TIPO IV</t>
        </is>
      </c>
      <c r="W12" t="inlineStr">
        <is>
          <t>TERRESTRE</t>
        </is>
      </c>
      <c r="X12" t="inlineStr">
        <is>
          <t>ROBLEDO DIAZ ANDRES FELIPE</t>
        </is>
      </c>
      <c r="Y12" t="inlineStr">
        <is>
          <t>1</t>
        </is>
      </c>
      <c r="Z12" t="inlineStr">
        <is>
          <t>0</t>
        </is>
      </c>
      <c r="AA12" s="27" t="n">
        <v>0</v>
      </c>
      <c r="AB12" s="27" t="n">
        <v>0</v>
      </c>
      <c r="AC12" s="27" t="n">
        <v>0</v>
      </c>
      <c r="AD12" s="27" t="n">
        <v>464809</v>
      </c>
      <c r="AE12" s="27" t="n">
        <v>0</v>
      </c>
    </row>
    <row r="13">
      <c r="A13" t="inlineStr">
        <is>
          <t>PASTO</t>
        </is>
      </c>
      <c r="B13" t="inlineStr">
        <is>
          <t>SUROCCIDENTE Y EJE CAFETERO</t>
        </is>
      </c>
      <c r="C13" t="inlineStr">
        <is>
          <t>0004-0003</t>
        </is>
      </c>
      <c r="D13" t="inlineStr">
        <is>
          <t>86569</t>
        </is>
      </c>
      <c r="E13" t="inlineStr">
        <is>
          <t>LC-CS-25-000044</t>
        </is>
      </c>
      <c r="F13" t="inlineStr">
        <is>
          <t>3007055741</t>
        </is>
      </c>
      <c r="G13" t="inlineStr">
        <is>
          <t>OC CIERRE</t>
        </is>
      </c>
      <c r="H13" t="inlineStr">
        <is>
          <t>PUTUMAYO</t>
        </is>
      </c>
      <c r="I13" t="inlineStr">
        <is>
          <t>PUERTO CAICEDO</t>
        </is>
      </c>
      <c r="J13" t="inlineStr">
        <is>
          <t>BARRIO SANTA BARBARA PUERTO CA</t>
        </is>
      </c>
      <c r="K13" t="inlineStr">
        <is>
          <t>BANCOLOMBIA</t>
        </is>
      </c>
      <c r="L13" t="inlineStr">
        <is>
          <t>FO-25-1380867</t>
        </is>
      </c>
      <c r="M13" s="26" t="n">
        <v>45884.52777777778</v>
      </c>
      <c r="N13" s="26" t="n">
        <v>45891.32708333333</v>
      </c>
      <c r="O13" s="27" t="n">
        <v>0</v>
      </c>
      <c r="P13" t="inlineStr">
        <is>
          <t>UNO A UNO</t>
        </is>
      </c>
      <c r="Q13" t="inlineStr">
        <is>
          <t>CB UNO A UNO</t>
        </is>
      </c>
      <c r="R13" t="inlineStr">
        <is>
          <t>EJECUTADO / CANCELADO</t>
        </is>
      </c>
      <c r="S13" t="inlineStr">
        <is>
          <t>CB NO ENTREGA EQUIPO</t>
        </is>
      </c>
      <c r="T13" t="inlineStr">
        <is>
          <t>VISITA TECNICA</t>
        </is>
      </c>
      <c r="U13" t="inlineStr">
        <is>
          <t>IIHZZ021</t>
        </is>
      </c>
      <c r="V13" t="inlineStr">
        <is>
          <t>TIPO IV</t>
        </is>
      </c>
      <c r="W13" t="inlineStr">
        <is>
          <t>TERRESTRE</t>
        </is>
      </c>
      <c r="X13" t="inlineStr">
        <is>
          <t>GUERRERO RAMIREZ OSCAR DARIO</t>
        </is>
      </c>
      <c r="Y13" t="inlineStr">
        <is>
          <t>1</t>
        </is>
      </c>
      <c r="Z13" t="inlineStr">
        <is>
          <t>0</t>
        </is>
      </c>
      <c r="AA13" s="27" t="n">
        <v>0</v>
      </c>
      <c r="AB13" s="27" t="n">
        <v>0</v>
      </c>
      <c r="AC13" s="27" t="n">
        <v>0</v>
      </c>
      <c r="AD13" s="27" t="n">
        <v>464809</v>
      </c>
      <c r="AE13" s="27" t="n">
        <v>0</v>
      </c>
    </row>
    <row r="14">
      <c r="A14" t="inlineStr">
        <is>
          <t>MEDELLIN</t>
        </is>
      </c>
      <c r="B14" t="inlineStr">
        <is>
          <t>NOROCCIDENTE</t>
        </is>
      </c>
      <c r="C14" t="inlineStr">
        <is>
          <t>0004-0005</t>
        </is>
      </c>
      <c r="D14" t="inlineStr">
        <is>
          <t>5318</t>
        </is>
      </c>
      <c r="E14" t="inlineStr">
        <is>
          <t>LC-CS-25-000048</t>
        </is>
      </c>
      <c r="F14" t="inlineStr">
        <is>
          <t>3007069664</t>
        </is>
      </c>
      <c r="G14" t="inlineStr">
        <is>
          <t>OC CIERRE</t>
        </is>
      </c>
      <c r="H14" t="inlineStr">
        <is>
          <t>ANTIOQUIA</t>
        </is>
      </c>
      <c r="I14" t="inlineStr">
        <is>
          <t>GUARNE</t>
        </is>
      </c>
      <c r="J14" t="inlineStr">
        <is>
          <t>PTM GUARNE  MINIMERCADO LOS MA</t>
        </is>
      </c>
      <c r="K14" t="inlineStr">
        <is>
          <t>BANCOLOMBIA</t>
        </is>
      </c>
      <c r="L14" t="inlineStr">
        <is>
          <t>FO-25-1402428</t>
        </is>
      </c>
      <c r="M14" s="26" t="n">
        <v>45888.59513888889</v>
      </c>
      <c r="N14" s="26" t="n">
        <v>45891.43819444445</v>
      </c>
      <c r="O14" s="27" t="n">
        <v>0</v>
      </c>
      <c r="P14" t="inlineStr">
        <is>
          <t>AGREGADOR</t>
        </is>
      </c>
      <c r="Q14" t="inlineStr">
        <is>
          <t>COMCARD - PTM</t>
        </is>
      </c>
      <c r="R14" t="inlineStr">
        <is>
          <t>EJECUTADO</t>
        </is>
      </c>
      <c r="S14" t="inlineStr">
        <is>
          <t>CIERRE EXITOSO</t>
        </is>
      </c>
      <c r="T14" t="inlineStr">
        <is>
          <t>VISITA TECNICA</t>
        </is>
      </c>
      <c r="U14" t="inlineStr">
        <is>
          <t>MN000606 - MN000392</t>
        </is>
      </c>
      <c r="V14" t="inlineStr">
        <is>
          <t>TIPO II</t>
        </is>
      </c>
      <c r="W14" t="inlineStr">
        <is>
          <t>TERRESTRE</t>
        </is>
      </c>
      <c r="X14" t="inlineStr">
        <is>
          <t>HERNANDEZ CHAVARRIA JUAN CAMILO</t>
        </is>
      </c>
      <c r="Y14" t="inlineStr">
        <is>
          <t>2</t>
        </is>
      </c>
      <c r="Z14" t="inlineStr">
        <is>
          <t>0</t>
        </is>
      </c>
      <c r="AA14" s="27" t="n">
        <v>0</v>
      </c>
      <c r="AB14" s="27" t="n">
        <v>0</v>
      </c>
      <c r="AC14" s="27" t="n">
        <v>0</v>
      </c>
      <c r="AD14" s="27" t="n">
        <v>134411</v>
      </c>
      <c r="AE14" s="27" t="n">
        <v>0</v>
      </c>
    </row>
    <row r="15">
      <c r="A15" t="inlineStr">
        <is>
          <t>BARRANQUILLA</t>
        </is>
      </c>
      <c r="B15" t="inlineStr">
        <is>
          <t>COSTA</t>
        </is>
      </c>
      <c r="C15" t="inlineStr">
        <is>
          <t>0004-0001</t>
        </is>
      </c>
      <c r="D15" t="inlineStr">
        <is>
          <t>8758</t>
        </is>
      </c>
      <c r="E15" t="inlineStr">
        <is>
          <t>LC-CS-25-000054</t>
        </is>
      </c>
      <c r="F15" t="inlineStr">
        <is>
          <t>3007047346</t>
        </is>
      </c>
      <c r="G15" t="inlineStr">
        <is>
          <t>OC CIERRE</t>
        </is>
      </c>
      <c r="H15" t="inlineStr">
        <is>
          <t>ATLANTICO</t>
        </is>
      </c>
      <c r="I15" t="inlineStr">
        <is>
          <t>SOLEDAD</t>
        </is>
      </c>
      <c r="J15" t="inlineStr">
        <is>
          <t>PTM DROGUERIA LOS ALMENDROS TR</t>
        </is>
      </c>
      <c r="K15" t="inlineStr">
        <is>
          <t>BANCOLOMBIA</t>
        </is>
      </c>
      <c r="L15" t="inlineStr">
        <is>
          <t>FO-25-1392562</t>
        </is>
      </c>
      <c r="M15" s="26" t="n">
        <v>45888.59513888889</v>
      </c>
      <c r="N15" s="26" t="n">
        <v>45895.56944444445</v>
      </c>
      <c r="O15" s="27" t="n">
        <v>0</v>
      </c>
      <c r="P15" t="inlineStr">
        <is>
          <t>AGREGADOR</t>
        </is>
      </c>
      <c r="Q15" t="inlineStr">
        <is>
          <t>COMCARD - PTM</t>
        </is>
      </c>
      <c r="R15" t="inlineStr"/>
      <c r="S15" t="inlineStr">
        <is>
          <t>CB NO ENTREGA EQUIPO</t>
        </is>
      </c>
      <c r="T15" t="inlineStr">
        <is>
          <t>SOPORTE TELEFONICO</t>
        </is>
      </c>
      <c r="U15" t="inlineStr"/>
      <c r="V15" t="inlineStr">
        <is>
          <t>TIPO I</t>
        </is>
      </c>
      <c r="W15" t="inlineStr">
        <is>
          <t>TERRESTRE</t>
        </is>
      </c>
      <c r="X15" t="inlineStr">
        <is>
          <t>DE AGUAS MUÑOZ DAVID JOSE</t>
        </is>
      </c>
      <c r="Y15" t="inlineStr">
        <is>
          <t>1</t>
        </is>
      </c>
      <c r="Z15" t="inlineStr">
        <is>
          <t>0</t>
        </is>
      </c>
      <c r="AA15" s="27" t="n">
        <v>0</v>
      </c>
      <c r="AB15" s="27" t="n">
        <v>0</v>
      </c>
      <c r="AC15" s="27" t="n">
        <v>0</v>
      </c>
      <c r="AD15" s="27" t="n">
        <v>37905</v>
      </c>
      <c r="AE15" s="27" t="n">
        <v>0</v>
      </c>
    </row>
    <row r="16">
      <c r="A16" t="inlineStr">
        <is>
          <t>MEDELLIN</t>
        </is>
      </c>
      <c r="B16" t="inlineStr">
        <is>
          <t>NOROCCIDENTE</t>
        </is>
      </c>
      <c r="C16" t="inlineStr">
        <is>
          <t>0004-0005</t>
        </is>
      </c>
      <c r="D16" t="inlineStr">
        <is>
          <t>5660</t>
        </is>
      </c>
      <c r="E16" t="inlineStr">
        <is>
          <t>LC-CS-25-000055</t>
        </is>
      </c>
      <c r="F16" t="inlineStr">
        <is>
          <t>3007078762</t>
        </is>
      </c>
      <c r="G16" t="inlineStr">
        <is>
          <t>OC CIERRE</t>
        </is>
      </c>
      <c r="H16" t="inlineStr">
        <is>
          <t>ANTIOQUIA</t>
        </is>
      </c>
      <c r="I16" t="inlineStr">
        <is>
          <t>SAN LUIS</t>
        </is>
      </c>
      <c r="J16" t="inlineStr">
        <is>
          <t>DISTRICOL TECNOMARCAS</t>
        </is>
      </c>
      <c r="K16" t="inlineStr">
        <is>
          <t>BANCOLOMBIA</t>
        </is>
      </c>
      <c r="L16" t="inlineStr">
        <is>
          <t>FO-25-1392593</t>
        </is>
      </c>
      <c r="M16" s="26" t="n">
        <v>45888.59513888889</v>
      </c>
      <c r="N16" s="26" t="n">
        <v>45895.44097222222</v>
      </c>
      <c r="O16" s="27" t="n">
        <v>0</v>
      </c>
      <c r="P16" t="inlineStr">
        <is>
          <t>AGREGADOR</t>
        </is>
      </c>
      <c r="Q16" t="inlineStr">
        <is>
          <t>DISTRICOL</t>
        </is>
      </c>
      <c r="R16" t="inlineStr">
        <is>
          <t>EJECUTADO / CANCELADO</t>
        </is>
      </c>
      <c r="S16" t="inlineStr">
        <is>
          <t>CB CERRADO - DESOCUPADO</t>
        </is>
      </c>
      <c r="T16" t="inlineStr">
        <is>
          <t>VISITA TECNICA</t>
        </is>
      </c>
      <c r="U16" t="inlineStr">
        <is>
          <t>SXRZZ986</t>
        </is>
      </c>
      <c r="V16" t="inlineStr">
        <is>
          <t>TIPO III</t>
        </is>
      </c>
      <c r="W16" t="inlineStr">
        <is>
          <t>TERRESTRE</t>
        </is>
      </c>
      <c r="X16" t="inlineStr">
        <is>
          <t>ZAPATA LOPEZ EDWARD ASDRUBAL</t>
        </is>
      </c>
      <c r="Y16" t="inlineStr">
        <is>
          <t>1</t>
        </is>
      </c>
      <c r="Z16" t="inlineStr">
        <is>
          <t>0</t>
        </is>
      </c>
      <c r="AA16" s="27" t="n">
        <v>0</v>
      </c>
      <c r="AB16" s="27" t="n">
        <v>0</v>
      </c>
      <c r="AC16" s="27" t="n">
        <v>0</v>
      </c>
      <c r="AD16" s="27" t="n">
        <v>222904</v>
      </c>
      <c r="AE16" s="27" t="n">
        <v>0</v>
      </c>
    </row>
    <row r="17">
      <c r="A17" t="inlineStr">
        <is>
          <t>CUCUTA</t>
        </is>
      </c>
      <c r="B17" t="inlineStr">
        <is>
          <t>SANTANDERES</t>
        </is>
      </c>
      <c r="C17" t="inlineStr">
        <is>
          <t>0004-0008</t>
        </is>
      </c>
      <c r="D17" t="inlineStr">
        <is>
          <t>54810</t>
        </is>
      </c>
      <c r="E17" t="inlineStr">
        <is>
          <t>LC-CS-25-000056</t>
        </is>
      </c>
      <c r="F17" t="inlineStr">
        <is>
          <t>3007076045</t>
        </is>
      </c>
      <c r="G17" t="inlineStr">
        <is>
          <t>OC CIERRE</t>
        </is>
      </c>
      <c r="H17" t="inlineStr">
        <is>
          <t>NORTE DE SANTANDER</t>
        </is>
      </c>
      <c r="I17" t="inlineStr">
        <is>
          <t>TIBU</t>
        </is>
      </c>
      <c r="J17" t="inlineStr">
        <is>
          <t>PTM TIBU J STORE</t>
        </is>
      </c>
      <c r="K17" t="inlineStr">
        <is>
          <t>BANCOLOMBIA</t>
        </is>
      </c>
      <c r="L17" t="inlineStr">
        <is>
          <t>FO-25-1392543</t>
        </is>
      </c>
      <c r="M17" s="26" t="n">
        <v>45888.59513888889</v>
      </c>
      <c r="N17" s="26" t="n">
        <v>45891.37986111111</v>
      </c>
      <c r="O17" s="27" t="n">
        <v>0</v>
      </c>
      <c r="P17" t="inlineStr">
        <is>
          <t>AGREGADOR</t>
        </is>
      </c>
      <c r="Q17" t="inlineStr">
        <is>
          <t>COMCARD - PTM</t>
        </is>
      </c>
      <c r="R17" t="inlineStr"/>
      <c r="S17" t="inlineStr">
        <is>
          <t>CB NO ENTREGA EQUIPO</t>
        </is>
      </c>
      <c r="T17" t="inlineStr">
        <is>
          <t>SOPORTE TELEFONICO</t>
        </is>
      </c>
      <c r="U17" t="inlineStr"/>
      <c r="V17" t="inlineStr">
        <is>
          <t>TIPO IV ESPECIAL</t>
        </is>
      </c>
      <c r="W17" t="inlineStr">
        <is>
          <t>TERRESTRE</t>
        </is>
      </c>
      <c r="X17" t="inlineStr">
        <is>
          <t>DURAN ACOSTA FRANK YONNY</t>
        </is>
      </c>
      <c r="Y17" t="inlineStr">
        <is>
          <t>1</t>
        </is>
      </c>
      <c r="Z17" t="inlineStr">
        <is>
          <t>0</t>
        </is>
      </c>
      <c r="AA17" s="27" t="n">
        <v>0</v>
      </c>
      <c r="AB17" s="27" t="n">
        <v>0</v>
      </c>
      <c r="AC17" s="27" t="n">
        <v>0</v>
      </c>
      <c r="AD17" s="27" t="n">
        <v>37905</v>
      </c>
      <c r="AE17" s="27" t="n">
        <v>0</v>
      </c>
    </row>
    <row r="18">
      <c r="A18" t="inlineStr">
        <is>
          <t>VALLEDUPAR</t>
        </is>
      </c>
      <c r="B18" t="inlineStr">
        <is>
          <t>COSTA</t>
        </is>
      </c>
      <c r="C18" t="inlineStr">
        <is>
          <t>0004-0001</t>
        </is>
      </c>
      <c r="D18" t="inlineStr">
        <is>
          <t>20001</t>
        </is>
      </c>
      <c r="E18" t="inlineStr">
        <is>
          <t>LC-CS-25-000059</t>
        </is>
      </c>
      <c r="F18" t="inlineStr">
        <is>
          <t>3007075703</t>
        </is>
      </c>
      <c r="G18" t="inlineStr">
        <is>
          <t>OC CIERRE</t>
        </is>
      </c>
      <c r="H18" t="inlineStr">
        <is>
          <t>CESAR</t>
        </is>
      </c>
      <c r="I18" t="inlineStr">
        <is>
          <t>VALLEDUPAR</t>
        </is>
      </c>
      <c r="J18" t="inlineStr">
        <is>
          <t>DISTRICOL DM SERVICIOS Y SUMIN</t>
        </is>
      </c>
      <c r="K18" t="inlineStr">
        <is>
          <t>BANCOLOMBIA</t>
        </is>
      </c>
      <c r="L18" t="inlineStr">
        <is>
          <t>FO-25-1392552</t>
        </is>
      </c>
      <c r="M18" s="26" t="n">
        <v>45888.59513888889</v>
      </c>
      <c r="N18" s="26" t="n">
        <v>45890.40416666667</v>
      </c>
      <c r="O18" s="27" t="n">
        <v>0</v>
      </c>
      <c r="P18" t="inlineStr">
        <is>
          <t>AGREGADOR</t>
        </is>
      </c>
      <c r="Q18" t="inlineStr">
        <is>
          <t>DISTRICOL</t>
        </is>
      </c>
      <c r="R18" t="inlineStr">
        <is>
          <t>EJECUTADO / CANCELADO</t>
        </is>
      </c>
      <c r="S18" t="inlineStr">
        <is>
          <t>CB CERRADO - DESOCUPADO</t>
        </is>
      </c>
      <c r="T18" t="inlineStr">
        <is>
          <t>VISITA TECNICA</t>
        </is>
      </c>
      <c r="U18" t="inlineStr">
        <is>
          <t>1000R521</t>
        </is>
      </c>
      <c r="V18" t="inlineStr">
        <is>
          <t>TIPO I</t>
        </is>
      </c>
      <c r="W18" t="inlineStr">
        <is>
          <t>TERRESTRE</t>
        </is>
      </c>
      <c r="X18" t="inlineStr">
        <is>
          <t>BENITEZ CARVAJAL ALVARO JAVIER</t>
        </is>
      </c>
      <c r="Y18" t="inlineStr">
        <is>
          <t>1</t>
        </is>
      </c>
      <c r="Z18" t="inlineStr">
        <is>
          <t>0</t>
        </is>
      </c>
      <c r="AA18" s="27" t="n">
        <v>0</v>
      </c>
      <c r="AB18" s="27" t="n">
        <v>0</v>
      </c>
      <c r="AC18" s="27" t="n">
        <v>0</v>
      </c>
      <c r="AD18" s="27" t="n">
        <v>44560</v>
      </c>
      <c r="AE18" s="27" t="n">
        <v>0</v>
      </c>
    </row>
    <row r="19">
      <c r="A19" t="inlineStr">
        <is>
          <t>BUCARAMANGA</t>
        </is>
      </c>
      <c r="B19" t="inlineStr">
        <is>
          <t>SANTANDERES</t>
        </is>
      </c>
      <c r="C19" t="inlineStr">
        <is>
          <t>0004-0008</t>
        </is>
      </c>
      <c r="D19" t="inlineStr">
        <is>
          <t>68001</t>
        </is>
      </c>
      <c r="E19" t="inlineStr">
        <is>
          <t>LC-CS-25-000061</t>
        </is>
      </c>
      <c r="F19" t="inlineStr">
        <is>
          <t>3007054639</t>
        </is>
      </c>
      <c r="G19" t="inlineStr">
        <is>
          <t>OC CIERRE</t>
        </is>
      </c>
      <c r="H19" t="inlineStr">
        <is>
          <t>SANTANDER</t>
        </is>
      </c>
      <c r="I19" t="inlineStr">
        <is>
          <t>BUCARAMANGA</t>
        </is>
      </c>
      <c r="J19" t="inlineStr">
        <is>
          <t>PTM BUCARAMANGA PAPELERIA PAPE</t>
        </is>
      </c>
      <c r="K19" t="inlineStr">
        <is>
          <t>BANCOLOMBIA</t>
        </is>
      </c>
      <c r="L19" t="inlineStr">
        <is>
          <t>FO-25-1396999</t>
        </is>
      </c>
      <c r="M19" s="26" t="n">
        <v>45888.59513888889</v>
      </c>
      <c r="N19" s="26" t="n">
        <v>45895.57777777778</v>
      </c>
      <c r="O19" s="27" t="n">
        <v>0</v>
      </c>
      <c r="P19" t="inlineStr">
        <is>
          <t>AGREGADOR</t>
        </is>
      </c>
      <c r="Q19" t="inlineStr">
        <is>
          <t>COMCARD - PTM</t>
        </is>
      </c>
      <c r="R19" t="inlineStr">
        <is>
          <t>EJECUTADO / CANCELADO</t>
        </is>
      </c>
      <c r="S19" t="inlineStr">
        <is>
          <t>CB CERRADO - DESOCUPADO</t>
        </is>
      </c>
      <c r="T19" t="inlineStr">
        <is>
          <t>VISITA TECNICA</t>
        </is>
      </c>
      <c r="U19" t="inlineStr">
        <is>
          <t>XP8ZZ968</t>
        </is>
      </c>
      <c r="V19" t="inlineStr">
        <is>
          <t>TIPO I</t>
        </is>
      </c>
      <c r="W19" t="inlineStr">
        <is>
          <t>TERRESTRE</t>
        </is>
      </c>
      <c r="X19" t="inlineStr">
        <is>
          <t>SANTOS GONZALEZ JOHAN FABIAN</t>
        </is>
      </c>
      <c r="Y19" t="inlineStr">
        <is>
          <t>2</t>
        </is>
      </c>
      <c r="Z19" t="inlineStr">
        <is>
          <t>0</t>
        </is>
      </c>
      <c r="AA19" s="27" t="n">
        <v>0</v>
      </c>
      <c r="AB19" s="27" t="n">
        <v>0</v>
      </c>
      <c r="AC19" s="27" t="n">
        <v>0</v>
      </c>
      <c r="AD19" s="27" t="n">
        <v>89120</v>
      </c>
      <c r="AE19" s="27" t="n">
        <v>0</v>
      </c>
    </row>
    <row r="20">
      <c r="A20" t="inlineStr">
        <is>
          <t>BOGOTA</t>
        </is>
      </c>
      <c r="B20" t="inlineStr">
        <is>
          <t>CUNDINAMARCA</t>
        </is>
      </c>
      <c r="C20" t="inlineStr">
        <is>
          <t>0004-0004</t>
        </is>
      </c>
      <c r="D20" t="inlineStr">
        <is>
          <t>25740</t>
        </is>
      </c>
      <c r="E20" t="inlineStr">
        <is>
          <t>LC-CS-25-000062</t>
        </is>
      </c>
      <c r="F20" t="inlineStr">
        <is>
          <t>3007048232</t>
        </is>
      </c>
      <c r="G20" t="inlineStr">
        <is>
          <t>OC CIERRE</t>
        </is>
      </c>
      <c r="H20" t="inlineStr">
        <is>
          <t>CUNDINAMARCA</t>
        </is>
      </c>
      <c r="I20" t="inlineStr">
        <is>
          <t>SIBATE</t>
        </is>
      </c>
      <c r="J20" t="inlineStr">
        <is>
          <t>DISTRICOL TABEEL</t>
        </is>
      </c>
      <c r="K20" t="inlineStr">
        <is>
          <t>BANCOLOMBIA</t>
        </is>
      </c>
      <c r="L20" t="inlineStr">
        <is>
          <t>FO-25-1392558</t>
        </is>
      </c>
      <c r="M20" s="26" t="n">
        <v>45888.59513888889</v>
      </c>
      <c r="N20" s="26" t="n">
        <v>45890.60138888889</v>
      </c>
      <c r="O20" s="27" t="n">
        <v>0</v>
      </c>
      <c r="P20" t="inlineStr">
        <is>
          <t>AGREGADOR</t>
        </is>
      </c>
      <c r="Q20" t="inlineStr">
        <is>
          <t>DISTRICOL</t>
        </is>
      </c>
      <c r="R20" t="inlineStr">
        <is>
          <t>EJECUTADO / CANCELADO</t>
        </is>
      </c>
      <c r="S20" t="inlineStr">
        <is>
          <t>CB CERRADO - DESOCUPADO</t>
        </is>
      </c>
      <c r="T20" t="inlineStr">
        <is>
          <t>VISITA TECNICA</t>
        </is>
      </c>
      <c r="U20" t="inlineStr"/>
      <c r="V20" t="inlineStr">
        <is>
          <t>TIPO II</t>
        </is>
      </c>
      <c r="W20" t="inlineStr">
        <is>
          <t>TERRESTRE</t>
        </is>
      </c>
      <c r="X20" t="inlineStr">
        <is>
          <t>GALEANO SORIANO JUAN DAVID</t>
        </is>
      </c>
      <c r="Y20" t="inlineStr">
        <is>
          <t>1</t>
        </is>
      </c>
      <c r="Z20" t="inlineStr">
        <is>
          <t>0</t>
        </is>
      </c>
      <c r="AA20" s="27" t="n">
        <v>0</v>
      </c>
      <c r="AB20" s="27" t="n">
        <v>0</v>
      </c>
      <c r="AC20" s="27" t="n">
        <v>0</v>
      </c>
      <c r="AD20" s="27" t="n">
        <v>134411</v>
      </c>
      <c r="AE20" s="27" t="n">
        <v>0</v>
      </c>
    </row>
    <row r="21">
      <c r="A21" t="inlineStr">
        <is>
          <t>CUCUTA</t>
        </is>
      </c>
      <c r="B21" t="inlineStr">
        <is>
          <t>SANTANDERES</t>
        </is>
      </c>
      <c r="C21" t="inlineStr">
        <is>
          <t>0004-0008</t>
        </is>
      </c>
      <c r="D21" t="inlineStr">
        <is>
          <t>54498</t>
        </is>
      </c>
      <c r="E21" t="inlineStr">
        <is>
          <t>LC-CS-25-000063</t>
        </is>
      </c>
      <c r="F21" t="inlineStr">
        <is>
          <t>3007045252</t>
        </is>
      </c>
      <c r="G21" t="inlineStr">
        <is>
          <t>OC CIERRE</t>
        </is>
      </c>
      <c r="H21" t="inlineStr">
        <is>
          <t>NORTE DE SANTANDER</t>
        </is>
      </c>
      <c r="I21" t="inlineStr">
        <is>
          <t>OCAÑA</t>
        </is>
      </c>
      <c r="J21" t="inlineStr">
        <is>
          <t>DISTRICOL DROGUERIA LA COLINA</t>
        </is>
      </c>
      <c r="K21" t="inlineStr">
        <is>
          <t>BANCOLOMBIA</t>
        </is>
      </c>
      <c r="L21" t="inlineStr">
        <is>
          <t>FO-25-1409474</t>
        </is>
      </c>
      <c r="M21" s="26" t="n">
        <v>45888.59513888889</v>
      </c>
      <c r="N21" s="26" t="n">
        <v>45893.59027777778</v>
      </c>
      <c r="O21" s="27" t="n">
        <v>0</v>
      </c>
      <c r="P21" t="inlineStr">
        <is>
          <t>AGREGADOR</t>
        </is>
      </c>
      <c r="Q21" t="inlineStr">
        <is>
          <t>DISTRICOL</t>
        </is>
      </c>
      <c r="R21" t="inlineStr">
        <is>
          <t>EJECUTADO</t>
        </is>
      </c>
      <c r="S21" t="inlineStr">
        <is>
          <t>CIERRE EXITOSO</t>
        </is>
      </c>
      <c r="T21" t="inlineStr">
        <is>
          <t>VISITA TECNICA</t>
        </is>
      </c>
      <c r="U21" t="inlineStr">
        <is>
          <t>GA0LZ547</t>
        </is>
      </c>
      <c r="V21" t="inlineStr">
        <is>
          <t>TIPO IV</t>
        </is>
      </c>
      <c r="W21" t="inlineStr">
        <is>
          <t>TERRESTRE</t>
        </is>
      </c>
      <c r="X21" t="inlineStr">
        <is>
          <t>MORA VEGA JEAMPIER</t>
        </is>
      </c>
      <c r="Y21" t="inlineStr">
        <is>
          <t>2</t>
        </is>
      </c>
      <c r="Z21" t="inlineStr">
        <is>
          <t>0</t>
        </is>
      </c>
      <c r="AA21" s="27" t="n">
        <v>0</v>
      </c>
      <c r="AB21" s="27" t="n">
        <v>0</v>
      </c>
      <c r="AC21" s="27" t="n">
        <v>0</v>
      </c>
      <c r="AD21" s="27" t="n">
        <v>464809</v>
      </c>
      <c r="AE21" s="27" t="n">
        <v>0</v>
      </c>
    </row>
    <row r="22">
      <c r="A22" t="inlineStr">
        <is>
          <t>BOGOTA</t>
        </is>
      </c>
      <c r="B22" t="inlineStr">
        <is>
          <t>CUNDINAMARCA</t>
        </is>
      </c>
      <c r="C22" t="inlineStr">
        <is>
          <t>0004-0004</t>
        </is>
      </c>
      <c r="D22" t="inlineStr">
        <is>
          <t>11001</t>
        </is>
      </c>
      <c r="E22" t="inlineStr">
        <is>
          <t>LC-CS-25-000065</t>
        </is>
      </c>
      <c r="F22" t="inlineStr">
        <is>
          <t>3007068439</t>
        </is>
      </c>
      <c r="G22" t="inlineStr">
        <is>
          <t>OC CIERRE</t>
        </is>
      </c>
      <c r="H22" t="inlineStr">
        <is>
          <t>CUNDINAMARCA</t>
        </is>
      </c>
      <c r="I22" t="inlineStr">
        <is>
          <t>BOGOTA</t>
        </is>
      </c>
      <c r="J22" t="inlineStr">
        <is>
          <t>PTM BOGOTA REYES MULTISERVICI</t>
        </is>
      </c>
      <c r="K22" t="inlineStr">
        <is>
          <t>BANCOLOMBIA</t>
        </is>
      </c>
      <c r="L22" t="inlineStr">
        <is>
          <t>FO-25-1392550</t>
        </is>
      </c>
      <c r="M22" s="26" t="n">
        <v>45888.59513888889</v>
      </c>
      <c r="N22" s="26" t="n">
        <v>45894.59861111111</v>
      </c>
      <c r="O22" s="27" t="n">
        <v>0</v>
      </c>
      <c r="P22" t="inlineStr">
        <is>
          <t>AGREGADOR</t>
        </is>
      </c>
      <c r="Q22" t="inlineStr">
        <is>
          <t>COMCARD - PTM</t>
        </is>
      </c>
      <c r="R22" t="inlineStr">
        <is>
          <t>EJECUTADO / CANCELADO</t>
        </is>
      </c>
      <c r="S22" t="inlineStr">
        <is>
          <t>CB CERRADO - DESOCUPADO</t>
        </is>
      </c>
      <c r="T22" t="inlineStr">
        <is>
          <t>VISITA TECNICA</t>
        </is>
      </c>
      <c r="U22" t="inlineStr">
        <is>
          <t>NONE</t>
        </is>
      </c>
      <c r="V22" t="inlineStr">
        <is>
          <t>TIPO I</t>
        </is>
      </c>
      <c r="W22" t="inlineStr">
        <is>
          <t>TERRESTRE</t>
        </is>
      </c>
      <c r="X22" t="inlineStr">
        <is>
          <t>VEGA MANRIQUE JONATAN MAURICIO</t>
        </is>
      </c>
      <c r="Y22" t="inlineStr">
        <is>
          <t>1</t>
        </is>
      </c>
      <c r="Z22" t="inlineStr">
        <is>
          <t>0</t>
        </is>
      </c>
      <c r="AA22" s="27" t="n">
        <v>0</v>
      </c>
      <c r="AB22" s="27" t="n">
        <v>0</v>
      </c>
      <c r="AC22" s="27" t="n">
        <v>0</v>
      </c>
      <c r="AD22" s="27" t="n">
        <v>44560</v>
      </c>
      <c r="AE22" s="27" t="n">
        <v>0</v>
      </c>
    </row>
    <row r="23">
      <c r="A23" t="inlineStr">
        <is>
          <t>BOGOTA</t>
        </is>
      </c>
      <c r="B23" t="inlineStr">
        <is>
          <t>CUNDINAMARCA</t>
        </is>
      </c>
      <c r="C23" t="inlineStr">
        <is>
          <t>0004-0004</t>
        </is>
      </c>
      <c r="D23" t="inlineStr">
        <is>
          <t>11001</t>
        </is>
      </c>
      <c r="E23" t="inlineStr">
        <is>
          <t>LC-CS-25-000069</t>
        </is>
      </c>
      <c r="F23" t="inlineStr">
        <is>
          <t>3007045415</t>
        </is>
      </c>
      <c r="G23" t="inlineStr">
        <is>
          <t>OC CIERRE</t>
        </is>
      </c>
      <c r="H23" t="inlineStr">
        <is>
          <t>CUNDINAMARCA</t>
        </is>
      </c>
      <c r="I23" t="inlineStr">
        <is>
          <t>BOGOTA</t>
        </is>
      </c>
      <c r="J23" t="inlineStr">
        <is>
          <t>BARRIO RESTREPO BOGOTA 7</t>
        </is>
      </c>
      <c r="K23" t="inlineStr">
        <is>
          <t>BANCOLOMBIA</t>
        </is>
      </c>
      <c r="L23" t="inlineStr">
        <is>
          <t>FO-25-1393695</t>
        </is>
      </c>
      <c r="M23" s="26" t="n">
        <v>45888.65138888889</v>
      </c>
      <c r="N23" s="26" t="n">
        <v>45893.58680555555</v>
      </c>
      <c r="O23" s="27" t="n">
        <v>0</v>
      </c>
      <c r="P23" t="inlineStr">
        <is>
          <t>CB UNO A UNO</t>
        </is>
      </c>
      <c r="Q23" t="inlineStr">
        <is>
          <t>CB UNO A UNO</t>
        </is>
      </c>
      <c r="R23" t="inlineStr">
        <is>
          <t>EJECUTADO / CANCELADO</t>
        </is>
      </c>
      <c r="S23" t="inlineStr">
        <is>
          <t>CB CERRADO - DESOCUPADO</t>
        </is>
      </c>
      <c r="T23" t="inlineStr">
        <is>
          <t>VISITA TECNICA</t>
        </is>
      </c>
      <c r="U23" t="inlineStr"/>
      <c r="V23" t="inlineStr">
        <is>
          <t>TIPO I</t>
        </is>
      </c>
      <c r="W23" t="inlineStr">
        <is>
          <t>TERRESTRE</t>
        </is>
      </c>
      <c r="X23" t="inlineStr">
        <is>
          <t>VEGA MANRIQUE JONATAN MAURICIO</t>
        </is>
      </c>
      <c r="Y23" t="inlineStr">
        <is>
          <t>1</t>
        </is>
      </c>
      <c r="Z23" t="inlineStr">
        <is>
          <t>0</t>
        </is>
      </c>
      <c r="AA23" s="27" t="n">
        <v>0</v>
      </c>
      <c r="AB23" s="27" t="n">
        <v>0</v>
      </c>
      <c r="AC23" s="27" t="n">
        <v>0</v>
      </c>
      <c r="AD23" s="27" t="n">
        <v>44560</v>
      </c>
      <c r="AE23" s="27" t="n">
        <v>0</v>
      </c>
    </row>
    <row r="24">
      <c r="A24" t="inlineStr">
        <is>
          <t>BUCARAMANGA</t>
        </is>
      </c>
      <c r="B24" t="inlineStr">
        <is>
          <t>SANTANDERES</t>
        </is>
      </c>
      <c r="C24" t="inlineStr">
        <is>
          <t>0004-0008</t>
        </is>
      </c>
      <c r="D24" t="inlineStr">
        <is>
          <t>68001</t>
        </is>
      </c>
      <c r="E24" t="inlineStr">
        <is>
          <t>LC-CS-25-000072</t>
        </is>
      </c>
      <c r="F24" t="inlineStr">
        <is>
          <t>3007031325</t>
        </is>
      </c>
      <c r="G24" t="inlineStr">
        <is>
          <t>OC CIERRE</t>
        </is>
      </c>
      <c r="H24" t="inlineStr">
        <is>
          <t>SANTANDER</t>
        </is>
      </c>
      <c r="I24" t="inlineStr">
        <is>
          <t>BUCARAMANGA</t>
        </is>
      </c>
      <c r="J24" t="inlineStr">
        <is>
          <t>BARRIO CIUDAD BOLIVAR</t>
        </is>
      </c>
      <c r="K24" t="inlineStr">
        <is>
          <t>BANCOLOMBIA</t>
        </is>
      </c>
      <c r="L24" t="inlineStr">
        <is>
          <t>FO-25-1393708</t>
        </is>
      </c>
      <c r="M24" s="26" t="n">
        <v>45888.65138888889</v>
      </c>
      <c r="N24" s="26" t="n">
        <v>45891.32430555556</v>
      </c>
      <c r="O24" s="27" t="n">
        <v>0</v>
      </c>
      <c r="P24" t="inlineStr">
        <is>
          <t>CB UNO A UNO</t>
        </is>
      </c>
      <c r="Q24" t="inlineStr">
        <is>
          <t>CB UNO A UNO</t>
        </is>
      </c>
      <c r="R24" t="inlineStr">
        <is>
          <t>EJECUTADO / CANCELADO</t>
        </is>
      </c>
      <c r="S24" t="inlineStr">
        <is>
          <t>CB CERRADO - DESOCUPADO</t>
        </is>
      </c>
      <c r="T24" t="inlineStr">
        <is>
          <t>VISITA TECNICA</t>
        </is>
      </c>
      <c r="U24" t="inlineStr">
        <is>
          <t>11115906</t>
        </is>
      </c>
      <c r="V24" t="inlineStr">
        <is>
          <t>TIPO I</t>
        </is>
      </c>
      <c r="W24" t="inlineStr">
        <is>
          <t>TERRESTRE</t>
        </is>
      </c>
      <c r="X24" t="inlineStr">
        <is>
          <t>BARAJAS BERMUDEZ YAHIR MAURICIO</t>
        </is>
      </c>
      <c r="Y24" t="inlineStr">
        <is>
          <t>1</t>
        </is>
      </c>
      <c r="Z24" t="inlineStr">
        <is>
          <t>0</t>
        </is>
      </c>
      <c r="AA24" s="27" t="n">
        <v>0</v>
      </c>
      <c r="AB24" s="27" t="n">
        <v>0</v>
      </c>
      <c r="AC24" s="27" t="n">
        <v>0</v>
      </c>
      <c r="AD24" s="27" t="n">
        <v>44560</v>
      </c>
      <c r="AE24" s="27" t="n">
        <v>0</v>
      </c>
    </row>
    <row r="25">
      <c r="A25" t="inlineStr">
        <is>
          <t>MEDELLIN</t>
        </is>
      </c>
      <c r="B25" t="inlineStr">
        <is>
          <t>NOROCCIDENTE</t>
        </is>
      </c>
      <c r="C25" t="inlineStr">
        <is>
          <t>0004-0005</t>
        </is>
      </c>
      <c r="D25" t="inlineStr">
        <is>
          <t>5001</t>
        </is>
      </c>
      <c r="E25" t="inlineStr">
        <is>
          <t>LC-CS-25-000086</t>
        </is>
      </c>
      <c r="F25" t="inlineStr">
        <is>
          <t>3007075311</t>
        </is>
      </c>
      <c r="G25" t="inlineStr">
        <is>
          <t>OC CIERRE</t>
        </is>
      </c>
      <c r="H25" t="inlineStr">
        <is>
          <t>ANTIOQUIA</t>
        </is>
      </c>
      <c r="I25" t="inlineStr">
        <is>
          <t>MEDELLIN</t>
        </is>
      </c>
      <c r="J25" t="inlineStr">
        <is>
          <t>BARRIO CENTRO MEDELLIN  103</t>
        </is>
      </c>
      <c r="K25" t="inlineStr">
        <is>
          <t>BANCOLOMBIA</t>
        </is>
      </c>
      <c r="L25" t="inlineStr">
        <is>
          <t>FO-25-1419905</t>
        </is>
      </c>
      <c r="M25" s="26" t="n">
        <v>45889.58333333334</v>
      </c>
      <c r="N25" s="26" t="n">
        <v>45896.39791666667</v>
      </c>
      <c r="O25" s="27" t="n">
        <v>0</v>
      </c>
      <c r="P25" t="inlineStr">
        <is>
          <t>UNO A UNO</t>
        </is>
      </c>
      <c r="Q25" t="inlineStr">
        <is>
          <t>UNO A UNO</t>
        </is>
      </c>
      <c r="R25" t="inlineStr">
        <is>
          <t>EJECUTADO / CANCELADO</t>
        </is>
      </c>
      <c r="S25" t="inlineStr">
        <is>
          <t>CB CERRADO - DESOCUPADO</t>
        </is>
      </c>
      <c r="T25" t="inlineStr">
        <is>
          <t>VISITA TECNICA</t>
        </is>
      </c>
      <c r="U25" t="inlineStr">
        <is>
          <t>NONE</t>
        </is>
      </c>
      <c r="V25" t="inlineStr">
        <is>
          <t>TIPO I</t>
        </is>
      </c>
      <c r="W25" t="inlineStr">
        <is>
          <t>TERRESTRE</t>
        </is>
      </c>
      <c r="X25" t="inlineStr">
        <is>
          <t>HERNANDEZ CHAVARRIA JUAN CAMILO</t>
        </is>
      </c>
      <c r="Y25" t="inlineStr">
        <is>
          <t>2</t>
        </is>
      </c>
      <c r="Z25" t="inlineStr">
        <is>
          <t>0</t>
        </is>
      </c>
      <c r="AA25" s="27" t="n">
        <v>0</v>
      </c>
      <c r="AB25" s="27" t="n">
        <v>0</v>
      </c>
      <c r="AC25" s="27" t="n">
        <v>0</v>
      </c>
      <c r="AD25" s="27" t="n">
        <v>89120</v>
      </c>
      <c r="AE25" s="27" t="n">
        <v>0</v>
      </c>
    </row>
    <row r="26">
      <c r="A26" t="inlineStr">
        <is>
          <t>BOGOTA</t>
        </is>
      </c>
      <c r="B26" t="inlineStr">
        <is>
          <t>CUNDINAMARCA</t>
        </is>
      </c>
      <c r="C26" t="inlineStr">
        <is>
          <t>0004-0004</t>
        </is>
      </c>
      <c r="D26" t="inlineStr">
        <is>
          <t>11001</t>
        </is>
      </c>
      <c r="E26" t="inlineStr">
        <is>
          <t>LC-CS-25-000090</t>
        </is>
      </c>
      <c r="F26" t="inlineStr">
        <is>
          <t>3007057327</t>
        </is>
      </c>
      <c r="G26" t="inlineStr">
        <is>
          <t>OC CIERRE</t>
        </is>
      </c>
      <c r="H26" t="inlineStr">
        <is>
          <t>CUNDINAMARCA</t>
        </is>
      </c>
      <c r="I26" t="inlineStr">
        <is>
          <t>BOGOTA</t>
        </is>
      </c>
      <c r="J26" t="inlineStr">
        <is>
          <t>BARRIO PINAR BOGOTA</t>
        </is>
      </c>
      <c r="K26" t="inlineStr">
        <is>
          <t>BANCOLOMBIA</t>
        </is>
      </c>
      <c r="L26" t="inlineStr">
        <is>
          <t>FO-25-1397900</t>
        </is>
      </c>
      <c r="M26" s="26" t="n">
        <v>45889.58333333334</v>
      </c>
      <c r="N26" s="26" t="n">
        <v>45896.64652777778</v>
      </c>
      <c r="O26" s="27" t="n">
        <v>0</v>
      </c>
      <c r="P26" t="inlineStr">
        <is>
          <t>CB UNO A UNO</t>
        </is>
      </c>
      <c r="Q26" t="inlineStr">
        <is>
          <t>CB UNO A UNO</t>
        </is>
      </c>
      <c r="R26" t="inlineStr">
        <is>
          <t>EJECUTADO / CANCELADO</t>
        </is>
      </c>
      <c r="S26" t="inlineStr">
        <is>
          <t>CB NO ENTREGA EQUIPO</t>
        </is>
      </c>
      <c r="T26" t="inlineStr">
        <is>
          <t>VISITA TECNICA</t>
        </is>
      </c>
      <c r="U26" t="inlineStr">
        <is>
          <t>TRSZZ894</t>
        </is>
      </c>
      <c r="V26" t="inlineStr">
        <is>
          <t>TIPO I</t>
        </is>
      </c>
      <c r="W26" t="inlineStr">
        <is>
          <t>TERRESTRE</t>
        </is>
      </c>
      <c r="X26" t="inlineStr">
        <is>
          <t>VEGA MANRIQUE JONATAN MAURICIO</t>
        </is>
      </c>
      <c r="Y26" t="inlineStr">
        <is>
          <t>1</t>
        </is>
      </c>
      <c r="Z26" t="inlineStr">
        <is>
          <t>0</t>
        </is>
      </c>
      <c r="AA26" s="27" t="n">
        <v>0</v>
      </c>
      <c r="AB26" s="27" t="n">
        <v>0</v>
      </c>
      <c r="AC26" s="27" t="n">
        <v>0</v>
      </c>
      <c r="AD26" s="27" t="n">
        <v>44560</v>
      </c>
      <c r="AE26" s="27" t="n">
        <v>0</v>
      </c>
    </row>
    <row r="27">
      <c r="A27" t="inlineStr">
        <is>
          <t>BOGOTA</t>
        </is>
      </c>
      <c r="B27" t="inlineStr">
        <is>
          <t>CUNDINAMARCA</t>
        </is>
      </c>
      <c r="C27" t="inlineStr">
        <is>
          <t>0004-0004</t>
        </is>
      </c>
      <c r="D27" t="inlineStr">
        <is>
          <t>11001</t>
        </is>
      </c>
      <c r="E27" t="inlineStr">
        <is>
          <t>LC-CS-25-000092</t>
        </is>
      </c>
      <c r="F27" t="inlineStr">
        <is>
          <t>3007069346</t>
        </is>
      </c>
      <c r="G27" t="inlineStr">
        <is>
          <t>OC CIERRE</t>
        </is>
      </c>
      <c r="H27" t="inlineStr">
        <is>
          <t>CUNDINAMARCA</t>
        </is>
      </c>
      <c r="I27" t="inlineStr">
        <is>
          <t>BOGOTA</t>
        </is>
      </c>
      <c r="J27" t="inlineStr">
        <is>
          <t>BARRIO VIRREY BOGOTA 5</t>
        </is>
      </c>
      <c r="K27" t="inlineStr">
        <is>
          <t>BANCOLOMBIA</t>
        </is>
      </c>
      <c r="L27" t="inlineStr">
        <is>
          <t>FO-25-1397915</t>
        </is>
      </c>
      <c r="M27" s="26" t="n">
        <v>45889.58333333334</v>
      </c>
      <c r="N27" s="26" t="n">
        <v>45894.69652777778</v>
      </c>
      <c r="O27" s="27" t="n">
        <v>0</v>
      </c>
      <c r="P27" t="inlineStr">
        <is>
          <t>UNO A UNO</t>
        </is>
      </c>
      <c r="Q27" t="inlineStr">
        <is>
          <t>CB UNO A UNO</t>
        </is>
      </c>
      <c r="R27" t="inlineStr">
        <is>
          <t>EJECUTADO / CANCELADO</t>
        </is>
      </c>
      <c r="S27" t="inlineStr">
        <is>
          <t>CB CERRADO - DESOCUPADO</t>
        </is>
      </c>
      <c r="T27" t="inlineStr">
        <is>
          <t>VISITA TECNICA</t>
        </is>
      </c>
      <c r="U27" t="inlineStr">
        <is>
          <t>0</t>
        </is>
      </c>
      <c r="V27" t="inlineStr">
        <is>
          <t>TIPO I</t>
        </is>
      </c>
      <c r="W27" t="inlineStr">
        <is>
          <t>TERRESTRE</t>
        </is>
      </c>
      <c r="X27" t="inlineStr">
        <is>
          <t>BUSTOS MORA DIEGO MANUEL</t>
        </is>
      </c>
      <c r="Y27" t="inlineStr">
        <is>
          <t>1</t>
        </is>
      </c>
      <c r="Z27" t="inlineStr">
        <is>
          <t>0</t>
        </is>
      </c>
      <c r="AA27" s="27" t="n">
        <v>0</v>
      </c>
      <c r="AB27" s="27" t="n">
        <v>0</v>
      </c>
      <c r="AC27" s="27" t="n">
        <v>0</v>
      </c>
      <c r="AD27" s="27" t="n">
        <v>44560</v>
      </c>
      <c r="AE27" s="27" t="n">
        <v>0</v>
      </c>
    </row>
    <row r="28">
      <c r="A28" t="inlineStr">
        <is>
          <t>BOGOTA</t>
        </is>
      </c>
      <c r="B28" t="inlineStr">
        <is>
          <t>CUNDINAMARCA</t>
        </is>
      </c>
      <c r="C28" t="inlineStr">
        <is>
          <t>0004-0004</t>
        </is>
      </c>
      <c r="D28" t="inlineStr">
        <is>
          <t>11001</t>
        </is>
      </c>
      <c r="E28" t="inlineStr">
        <is>
          <t>LC-CS-25-000100</t>
        </is>
      </c>
      <c r="F28" t="inlineStr">
        <is>
          <t>3007023154</t>
        </is>
      </c>
      <c r="G28" t="inlineStr">
        <is>
          <t>OC CIERRE</t>
        </is>
      </c>
      <c r="H28" t="inlineStr">
        <is>
          <t>CUNDINAMARCA</t>
        </is>
      </c>
      <c r="I28" t="inlineStr">
        <is>
          <t>BOGOTA</t>
        </is>
      </c>
      <c r="J28" t="inlineStr">
        <is>
          <t>BARRIO PUENTE ARANDA VIII BOGO</t>
        </is>
      </c>
      <c r="K28" t="inlineStr">
        <is>
          <t>BANCOLOMBIA</t>
        </is>
      </c>
      <c r="L28" t="inlineStr">
        <is>
          <t>FO-25-1406215</t>
        </is>
      </c>
      <c r="M28" s="26" t="n">
        <v>45891.33333333334</v>
      </c>
      <c r="N28" s="26" t="n">
        <v>45894.39097222222</v>
      </c>
      <c r="O28" s="27" t="n">
        <v>0</v>
      </c>
      <c r="P28" t="inlineStr">
        <is>
          <t>UNO A UNO</t>
        </is>
      </c>
      <c r="Q28" t="inlineStr">
        <is>
          <t>CB UNO A UNO</t>
        </is>
      </c>
      <c r="R28" t="inlineStr">
        <is>
          <t>EJECUTADO / CANCELADO</t>
        </is>
      </c>
      <c r="S28" t="inlineStr">
        <is>
          <t>CB NO ENTREGA EQUIPO</t>
        </is>
      </c>
      <c r="T28" t="inlineStr">
        <is>
          <t>VISITA TECNICA</t>
        </is>
      </c>
      <c r="U28" t="inlineStr">
        <is>
          <t>NO</t>
        </is>
      </c>
      <c r="V28" t="inlineStr">
        <is>
          <t>TIPO I</t>
        </is>
      </c>
      <c r="W28" t="inlineStr">
        <is>
          <t>TERRESTRE</t>
        </is>
      </c>
      <c r="X28" t="inlineStr">
        <is>
          <t>GALINDO ROJAS LUIS FELIPE</t>
        </is>
      </c>
      <c r="Y28" t="inlineStr">
        <is>
          <t>1</t>
        </is>
      </c>
      <c r="Z28" t="inlineStr">
        <is>
          <t>0</t>
        </is>
      </c>
      <c r="AA28" s="27" t="n">
        <v>0</v>
      </c>
      <c r="AB28" s="27" t="n">
        <v>0</v>
      </c>
      <c r="AC28" s="27" t="n">
        <v>0</v>
      </c>
      <c r="AD28" s="27" t="n">
        <v>44560</v>
      </c>
      <c r="AE28" s="27" t="n">
        <v>0</v>
      </c>
    </row>
    <row r="29">
      <c r="A29" t="inlineStr">
        <is>
          <t>PEREIRA</t>
        </is>
      </c>
      <c r="B29" t="inlineStr">
        <is>
          <t>SUROCCIDENTE Y EJE CAFETERO</t>
        </is>
      </c>
      <c r="C29" t="inlineStr">
        <is>
          <t>0004-0002</t>
        </is>
      </c>
      <c r="D29" t="inlineStr">
        <is>
          <t>63130</t>
        </is>
      </c>
      <c r="E29" t="inlineStr">
        <is>
          <t>LC-CS-25-000103</t>
        </is>
      </c>
      <c r="F29" t="inlineStr">
        <is>
          <t>3007068002</t>
        </is>
      </c>
      <c r="G29" t="inlineStr">
        <is>
          <t>OC CIERRE</t>
        </is>
      </c>
      <c r="H29" t="inlineStr">
        <is>
          <t>QUINDIO</t>
        </is>
      </c>
      <c r="I29" t="inlineStr">
        <is>
          <t>CALARCA</t>
        </is>
      </c>
      <c r="J29" t="inlineStr">
        <is>
          <t>BARRIO CENTRO CALARCA 11</t>
        </is>
      </c>
      <c r="K29" t="inlineStr">
        <is>
          <t>BANCOLOMBIA</t>
        </is>
      </c>
      <c r="L29" t="inlineStr">
        <is>
          <t>FO-25-1406226</t>
        </is>
      </c>
      <c r="M29" s="26" t="n">
        <v>45891.33333333334</v>
      </c>
      <c r="N29" s="26" t="n">
        <v>45891.47986111111</v>
      </c>
      <c r="O29" s="27" t="n">
        <v>0</v>
      </c>
      <c r="P29" t="inlineStr">
        <is>
          <t>UNO A UNO</t>
        </is>
      </c>
      <c r="Q29" t="inlineStr">
        <is>
          <t>CB UNO A UNO</t>
        </is>
      </c>
      <c r="R29" t="inlineStr">
        <is>
          <t>EJECUTADO / CANCELADO</t>
        </is>
      </c>
      <c r="S29" t="inlineStr">
        <is>
          <t>CB CERRADO - DESOCUPADO</t>
        </is>
      </c>
      <c r="T29" t="inlineStr">
        <is>
          <t>VISITA TECNICA</t>
        </is>
      </c>
      <c r="U29" t="inlineStr">
        <is>
          <t>9L00V516</t>
        </is>
      </c>
      <c r="V29" t="inlineStr">
        <is>
          <t>TIPO II</t>
        </is>
      </c>
      <c r="W29" t="inlineStr">
        <is>
          <t>TERRESTRE</t>
        </is>
      </c>
      <c r="X29" t="inlineStr">
        <is>
          <t>SANCHEZ SOLORZANO JUAN SEBASTIAN</t>
        </is>
      </c>
      <c r="Y29" t="inlineStr">
        <is>
          <t>1</t>
        </is>
      </c>
      <c r="Z29" t="inlineStr">
        <is>
          <t>0</t>
        </is>
      </c>
      <c r="AA29" s="27" t="n">
        <v>0</v>
      </c>
      <c r="AB29" s="27" t="n">
        <v>0</v>
      </c>
      <c r="AC29" s="27" t="n">
        <v>0</v>
      </c>
      <c r="AD29" s="27" t="n">
        <v>134411</v>
      </c>
      <c r="AE29" s="27" t="n">
        <v>0</v>
      </c>
    </row>
    <row r="30">
      <c r="A30" t="inlineStr">
        <is>
          <t>BOGOTA</t>
        </is>
      </c>
      <c r="B30" t="inlineStr">
        <is>
          <t>CUNDINAMARCA</t>
        </is>
      </c>
      <c r="C30" t="inlineStr">
        <is>
          <t>0004-0004</t>
        </is>
      </c>
      <c r="D30" t="inlineStr">
        <is>
          <t>11001</t>
        </is>
      </c>
      <c r="E30" t="inlineStr">
        <is>
          <t>LC-CS-25-000105</t>
        </is>
      </c>
      <c r="F30" t="inlineStr">
        <is>
          <t>3007072530</t>
        </is>
      </c>
      <c r="G30" t="inlineStr">
        <is>
          <t>OC CIERRE</t>
        </is>
      </c>
      <c r="H30" t="inlineStr">
        <is>
          <t>CUNDINAMARCA</t>
        </is>
      </c>
      <c r="I30" t="inlineStr">
        <is>
          <t>BOGOTA</t>
        </is>
      </c>
      <c r="J30" t="inlineStr">
        <is>
          <t>LA CASTELLANA BOGOTA 3</t>
        </is>
      </c>
      <c r="K30" t="inlineStr">
        <is>
          <t>BANCOLOMBIA</t>
        </is>
      </c>
      <c r="L30" t="inlineStr">
        <is>
          <t>FO-25-1406236</t>
        </is>
      </c>
      <c r="M30" s="26" t="n">
        <v>45891.33333333334</v>
      </c>
      <c r="N30" s="26" t="n">
        <v>45892.57569444444</v>
      </c>
      <c r="O30" s="27" t="n">
        <v>0</v>
      </c>
      <c r="P30" t="inlineStr">
        <is>
          <t>UNO A UNO</t>
        </is>
      </c>
      <c r="Q30" t="inlineStr">
        <is>
          <t>UNO A UNO</t>
        </is>
      </c>
      <c r="R30" t="inlineStr">
        <is>
          <t>EJECUTADO / CANCELADO</t>
        </is>
      </c>
      <c r="S30" t="inlineStr">
        <is>
          <t>CB CERRADO - DESOCUPADO</t>
        </is>
      </c>
      <c r="T30" t="inlineStr">
        <is>
          <t>VISITA TECNICA</t>
        </is>
      </c>
      <c r="U30" t="inlineStr">
        <is>
          <t>NONE</t>
        </is>
      </c>
      <c r="V30" t="inlineStr">
        <is>
          <t>TIPO I</t>
        </is>
      </c>
      <c r="W30" t="inlineStr">
        <is>
          <t>TERRESTRE</t>
        </is>
      </c>
      <c r="X30" t="inlineStr">
        <is>
          <t>VEGA MANRIQUE JONATAN MAURICIO</t>
        </is>
      </c>
      <c r="Y30" t="inlineStr">
        <is>
          <t>1</t>
        </is>
      </c>
      <c r="Z30" t="inlineStr">
        <is>
          <t>0</t>
        </is>
      </c>
      <c r="AA30" s="27" t="n">
        <v>0</v>
      </c>
      <c r="AB30" s="27" t="n">
        <v>0</v>
      </c>
      <c r="AC30" s="27" t="n">
        <v>0</v>
      </c>
      <c r="AD30" s="27" t="n">
        <v>44560</v>
      </c>
      <c r="AE30" s="27" t="n">
        <v>0</v>
      </c>
    </row>
    <row r="31">
      <c r="A31" t="inlineStr">
        <is>
          <t>CALI</t>
        </is>
      </c>
      <c r="B31" t="inlineStr">
        <is>
          <t>SUROCCIDENTE Y EJE CAFETERO</t>
        </is>
      </c>
      <c r="C31" t="inlineStr">
        <is>
          <t>0004-0003</t>
        </is>
      </c>
      <c r="D31" t="inlineStr">
        <is>
          <t>76109</t>
        </is>
      </c>
      <c r="E31" t="inlineStr">
        <is>
          <t>LC-CS-25-000106</t>
        </is>
      </c>
      <c r="F31" t="inlineStr">
        <is>
          <t>3007076884</t>
        </is>
      </c>
      <c r="G31" t="inlineStr">
        <is>
          <t>OC CIERRE</t>
        </is>
      </c>
      <c r="H31" t="inlineStr">
        <is>
          <t>VALLE DEL CAUCA</t>
        </is>
      </c>
      <c r="I31" t="inlineStr">
        <is>
          <t>BUENAVENTURA</t>
        </is>
      </c>
      <c r="J31" t="inlineStr">
        <is>
          <t>BARRIO BAHIA MALAGA</t>
        </is>
      </c>
      <c r="K31" t="inlineStr">
        <is>
          <t>BANCOLOMBIA</t>
        </is>
      </c>
      <c r="L31" t="inlineStr">
        <is>
          <t>FO-25-1406218</t>
        </is>
      </c>
      <c r="M31" s="26" t="n">
        <v>45891.33333333334</v>
      </c>
      <c r="N31" s="26" t="n">
        <v>45895.57569444444</v>
      </c>
      <c r="O31" s="27" t="n">
        <v>0</v>
      </c>
      <c r="P31" t="inlineStr">
        <is>
          <t>UNO A UNO</t>
        </is>
      </c>
      <c r="Q31" t="inlineStr">
        <is>
          <t>UNO A UNO</t>
        </is>
      </c>
      <c r="R31" t="inlineStr">
        <is>
          <t>EJECUTADO</t>
        </is>
      </c>
      <c r="S31" t="inlineStr">
        <is>
          <t>PARCIAL EXITOSO PTE. DATAFONO</t>
        </is>
      </c>
      <c r="T31" t="inlineStr">
        <is>
          <t>VISITA TECNICA</t>
        </is>
      </c>
      <c r="U31" t="inlineStr">
        <is>
          <t>A16ZZ183</t>
        </is>
      </c>
      <c r="V31" t="inlineStr">
        <is>
          <t>TIPO III</t>
        </is>
      </c>
      <c r="W31" t="inlineStr">
        <is>
          <t>TERRESTRE</t>
        </is>
      </c>
      <c r="X31" t="inlineStr">
        <is>
          <t>HERRERA MONAR GEOVANNY</t>
        </is>
      </c>
      <c r="Y31" t="inlineStr">
        <is>
          <t>1</t>
        </is>
      </c>
      <c r="Z31" t="inlineStr">
        <is>
          <t>0</t>
        </is>
      </c>
      <c r="AA31" s="27" t="n">
        <v>0</v>
      </c>
      <c r="AB31" s="27" t="n">
        <v>0</v>
      </c>
      <c r="AC31" s="27" t="n">
        <v>0</v>
      </c>
      <c r="AD31" s="27" t="n">
        <v>222904</v>
      </c>
      <c r="AE31" s="27" t="n">
        <v>0</v>
      </c>
    </row>
    <row r="32">
      <c r="A32" t="inlineStr">
        <is>
          <t>BOGOTA</t>
        </is>
      </c>
      <c r="B32" t="inlineStr">
        <is>
          <t>CUNDINAMARCA</t>
        </is>
      </c>
      <c r="C32" t="inlineStr">
        <is>
          <t>0004-0004</t>
        </is>
      </c>
      <c r="D32" t="inlineStr">
        <is>
          <t>11001</t>
        </is>
      </c>
      <c r="E32" t="inlineStr">
        <is>
          <t>LC-CS-25-000111</t>
        </is>
      </c>
      <c r="F32" t="inlineStr">
        <is>
          <t>3007032886</t>
        </is>
      </c>
      <c r="G32" t="inlineStr">
        <is>
          <t>OC CIERRE</t>
        </is>
      </c>
      <c r="H32" t="inlineStr">
        <is>
          <t>CUNDINAMARCA</t>
        </is>
      </c>
      <c r="I32" t="inlineStr">
        <is>
          <t>BOGOTA</t>
        </is>
      </c>
      <c r="J32" t="inlineStr">
        <is>
          <t>BARRIO PERDOMO BOGOTA 5</t>
        </is>
      </c>
      <c r="K32" t="inlineStr">
        <is>
          <t>BANCOLOMBIA</t>
        </is>
      </c>
      <c r="L32" t="inlineStr">
        <is>
          <t>FO-25-1410482</t>
        </is>
      </c>
      <c r="M32" s="26" t="n">
        <v>45891.5625</v>
      </c>
      <c r="N32" s="26" t="n">
        <v>45892.57361111111</v>
      </c>
      <c r="O32" s="27" t="n">
        <v>0</v>
      </c>
      <c r="P32" t="inlineStr">
        <is>
          <t>UNO A UNO</t>
        </is>
      </c>
      <c r="Q32" t="inlineStr">
        <is>
          <t>UNO A UNO</t>
        </is>
      </c>
      <c r="R32" t="inlineStr">
        <is>
          <t>EJECUTADO / CANCELADO</t>
        </is>
      </c>
      <c r="S32" t="inlineStr">
        <is>
          <t>CB NO ENTREGA EQUIPO</t>
        </is>
      </c>
      <c r="T32" t="inlineStr">
        <is>
          <t>VISITA TECNICA</t>
        </is>
      </c>
      <c r="U32" t="inlineStr">
        <is>
          <t>0</t>
        </is>
      </c>
      <c r="V32" t="inlineStr">
        <is>
          <t>TIPO I</t>
        </is>
      </c>
      <c r="W32" t="inlineStr">
        <is>
          <t>TERRESTRE</t>
        </is>
      </c>
      <c r="X32" t="inlineStr">
        <is>
          <t>GARCIA PASTRANA KEVIN FERNANDO</t>
        </is>
      </c>
      <c r="Y32" t="inlineStr">
        <is>
          <t>1</t>
        </is>
      </c>
      <c r="Z32" t="inlineStr">
        <is>
          <t>0</t>
        </is>
      </c>
      <c r="AA32" s="27" t="n">
        <v>0</v>
      </c>
      <c r="AB32" s="27" t="n">
        <v>0</v>
      </c>
      <c r="AC32" s="27" t="n">
        <v>0</v>
      </c>
      <c r="AD32" s="27" t="n">
        <v>44560</v>
      </c>
      <c r="AE32" s="27" t="n">
        <v>0</v>
      </c>
    </row>
    <row r="33">
      <c r="A33" t="inlineStr">
        <is>
          <t>BARRANQUILLA</t>
        </is>
      </c>
      <c r="B33" t="inlineStr">
        <is>
          <t>COSTA</t>
        </is>
      </c>
      <c r="C33" t="inlineStr">
        <is>
          <t>0004-0001</t>
        </is>
      </c>
      <c r="D33" t="inlineStr">
        <is>
          <t>8436</t>
        </is>
      </c>
      <c r="E33" t="inlineStr">
        <is>
          <t>LC-CS-25-000115</t>
        </is>
      </c>
      <c r="F33" t="inlineStr">
        <is>
          <t>3007054295</t>
        </is>
      </c>
      <c r="G33" t="inlineStr">
        <is>
          <t>OC CIERRE</t>
        </is>
      </c>
      <c r="H33" t="inlineStr">
        <is>
          <t>ATLANTICO</t>
        </is>
      </c>
      <c r="I33" t="inlineStr">
        <is>
          <t>MANATI</t>
        </is>
      </c>
      <c r="J33" t="inlineStr">
        <is>
          <t>PTM MANATI PAPELERIA JC &amp; NA</t>
        </is>
      </c>
      <c r="K33" t="inlineStr">
        <is>
          <t>BANCOLOMBIA</t>
        </is>
      </c>
      <c r="L33" t="inlineStr">
        <is>
          <t>FO-25-1410403</t>
        </is>
      </c>
      <c r="M33" s="26" t="n">
        <v>45891.5625</v>
      </c>
      <c r="N33" s="26" t="n">
        <v>45894.63611111111</v>
      </c>
      <c r="O33" s="27" t="n">
        <v>0</v>
      </c>
      <c r="P33" t="inlineStr">
        <is>
          <t>AGREGADOR</t>
        </is>
      </c>
      <c r="Q33" t="inlineStr">
        <is>
          <t>COMCARD - PTM</t>
        </is>
      </c>
      <c r="R33" t="inlineStr">
        <is>
          <t>EJECUTADO / CANCELADO</t>
        </is>
      </c>
      <c r="S33" t="inlineStr">
        <is>
          <t>CB NO ENTREGA EQUIPO</t>
        </is>
      </c>
      <c r="T33" t="inlineStr">
        <is>
          <t>VISITA TECNICA</t>
        </is>
      </c>
      <c r="U33" t="inlineStr">
        <is>
          <t xml:space="preserve">NO SE TIENE EL DATO </t>
        </is>
      </c>
      <c r="V33" t="inlineStr">
        <is>
          <t>TIPO II</t>
        </is>
      </c>
      <c r="W33" t="inlineStr">
        <is>
          <t>TERRESTRE</t>
        </is>
      </c>
      <c r="X33" t="inlineStr">
        <is>
          <t>DE AGUAS MUÑOZ DAVID JOSE</t>
        </is>
      </c>
      <c r="Y33" t="inlineStr">
        <is>
          <t>1</t>
        </is>
      </c>
      <c r="Z33" t="inlineStr">
        <is>
          <t>0</t>
        </is>
      </c>
      <c r="AA33" s="27" t="n">
        <v>0</v>
      </c>
      <c r="AB33" s="27" t="n">
        <v>0</v>
      </c>
      <c r="AC33" s="27" t="n">
        <v>0</v>
      </c>
      <c r="AD33" s="27" t="n">
        <v>134411</v>
      </c>
      <c r="AE33" s="27" t="n">
        <v>0</v>
      </c>
    </row>
    <row r="34">
      <c r="A34" t="inlineStr">
        <is>
          <t>BOGOTA</t>
        </is>
      </c>
      <c r="B34" t="inlineStr">
        <is>
          <t>CUNDINAMARCA</t>
        </is>
      </c>
      <c r="C34" t="inlineStr">
        <is>
          <t>0004-0004</t>
        </is>
      </c>
      <c r="D34" t="inlineStr">
        <is>
          <t>25398</t>
        </is>
      </c>
      <c r="E34" t="inlineStr">
        <is>
          <t>LC-CS-25-000116</t>
        </is>
      </c>
      <c r="F34" t="inlineStr">
        <is>
          <t>3007061075</t>
        </is>
      </c>
      <c r="G34" t="inlineStr">
        <is>
          <t>OC CIERRE</t>
        </is>
      </c>
      <c r="H34" t="inlineStr">
        <is>
          <t>CUNDINAMARCA</t>
        </is>
      </c>
      <c r="I34" t="inlineStr">
        <is>
          <t>LA PEÑA</t>
        </is>
      </c>
      <c r="J34" t="inlineStr">
        <is>
          <t>PTM LA PEÑA PUNTO MODA J.G CR</t>
        </is>
      </c>
      <c r="K34" t="inlineStr">
        <is>
          <t>BANCOLOMBIA</t>
        </is>
      </c>
      <c r="L34" t="inlineStr">
        <is>
          <t>FO-25-1410419</t>
        </is>
      </c>
      <c r="M34" s="26" t="n">
        <v>45891.5625</v>
      </c>
      <c r="N34" s="26" t="n">
        <v>45897.64166666667</v>
      </c>
      <c r="O34" s="27" t="n">
        <v>0</v>
      </c>
      <c r="P34" t="inlineStr">
        <is>
          <t>AGREGADOR</t>
        </is>
      </c>
      <c r="Q34" t="inlineStr">
        <is>
          <t>COMCARD - PTM</t>
        </is>
      </c>
      <c r="R34" t="inlineStr">
        <is>
          <t>EJECUTADO</t>
        </is>
      </c>
      <c r="S34" t="inlineStr">
        <is>
          <t>CB CERRADO - DESOCUPADO</t>
        </is>
      </c>
      <c r="T34" t="inlineStr">
        <is>
          <t>VISITA TECNICA</t>
        </is>
      </c>
      <c r="U34" t="inlineStr"/>
      <c r="V34" t="inlineStr">
        <is>
          <t>TIPO III</t>
        </is>
      </c>
      <c r="W34" t="inlineStr">
        <is>
          <t>TERRESTRE</t>
        </is>
      </c>
      <c r="X34" t="inlineStr">
        <is>
          <t>ROMERO ROJAS BREIDY JHOHAN</t>
        </is>
      </c>
      <c r="Y34" t="inlineStr">
        <is>
          <t>1</t>
        </is>
      </c>
      <c r="Z34" t="inlineStr">
        <is>
          <t>0</t>
        </is>
      </c>
      <c r="AA34" s="27" t="n">
        <v>0</v>
      </c>
      <c r="AB34" s="27" t="n">
        <v>0</v>
      </c>
      <c r="AC34" s="27" t="n">
        <v>0</v>
      </c>
      <c r="AD34" s="27" t="n">
        <v>222904</v>
      </c>
      <c r="AE34" s="27" t="n">
        <v>0</v>
      </c>
    </row>
    <row r="35">
      <c r="A35" t="inlineStr">
        <is>
          <t>CUCUTA</t>
        </is>
      </c>
      <c r="B35" t="inlineStr">
        <is>
          <t>SANTANDERES</t>
        </is>
      </c>
      <c r="C35" t="inlineStr">
        <is>
          <t>0004-0008</t>
        </is>
      </c>
      <c r="D35" t="inlineStr">
        <is>
          <t>54405</t>
        </is>
      </c>
      <c r="E35" t="inlineStr">
        <is>
          <t>LC-CS-25-000121</t>
        </is>
      </c>
      <c r="F35" t="inlineStr">
        <is>
          <t>3007077857</t>
        </is>
      </c>
      <c r="G35" t="inlineStr">
        <is>
          <t>OC CIERRE</t>
        </is>
      </c>
      <c r="H35" t="inlineStr">
        <is>
          <t>NORTE DE SANTANDER</t>
        </is>
      </c>
      <c r="I35" t="inlineStr">
        <is>
          <t>LOS PATIOS</t>
        </is>
      </c>
      <c r="J35" t="inlineStr">
        <is>
          <t>PTM PUNTOSERVIS LOS PATIOS 1 L</t>
        </is>
      </c>
      <c r="K35" t="inlineStr">
        <is>
          <t>BANCOLOMBIA</t>
        </is>
      </c>
      <c r="L35" t="inlineStr">
        <is>
          <t>FO-25-1416809</t>
        </is>
      </c>
      <c r="M35" s="26" t="n">
        <v>45891.5625</v>
      </c>
      <c r="N35" s="26" t="n">
        <v>45895.43125</v>
      </c>
      <c r="O35" s="27" t="n">
        <v>0</v>
      </c>
      <c r="P35" t="inlineStr">
        <is>
          <t>AGREGADOR</t>
        </is>
      </c>
      <c r="Q35" t="inlineStr">
        <is>
          <t>COMCARD - PTM</t>
        </is>
      </c>
      <c r="R35" t="inlineStr">
        <is>
          <t>EJECUTADO / CANCELADO</t>
        </is>
      </c>
      <c r="S35" t="inlineStr">
        <is>
          <t>CB CERRADO - DESOCUPADO</t>
        </is>
      </c>
      <c r="T35" t="inlineStr">
        <is>
          <t>VISITA TECNICA</t>
        </is>
      </c>
      <c r="U35" t="inlineStr">
        <is>
          <t>NONE</t>
        </is>
      </c>
      <c r="V35" t="inlineStr">
        <is>
          <t>TIPO I</t>
        </is>
      </c>
      <c r="W35" t="inlineStr">
        <is>
          <t>TERRESTRE</t>
        </is>
      </c>
      <c r="Y35" t="inlineStr">
        <is>
          <t>2</t>
        </is>
      </c>
      <c r="Z35" t="inlineStr">
        <is>
          <t>0</t>
        </is>
      </c>
      <c r="AA35" s="27" t="n">
        <v>0</v>
      </c>
      <c r="AB35" s="27" t="n">
        <v>0</v>
      </c>
      <c r="AC35" s="27" t="n">
        <v>0</v>
      </c>
      <c r="AD35" s="27" t="n">
        <v>89120</v>
      </c>
      <c r="AE35" s="27" t="n">
        <v>0</v>
      </c>
    </row>
    <row r="36">
      <c r="A36" t="inlineStr">
        <is>
          <t>IBAGUE</t>
        </is>
      </c>
      <c r="B36" t="inlineStr">
        <is>
          <t>REMOTAS</t>
        </is>
      </c>
      <c r="C36" t="inlineStr">
        <is>
          <t>0004-0007</t>
        </is>
      </c>
      <c r="D36" t="inlineStr">
        <is>
          <t>73001</t>
        </is>
      </c>
      <c r="E36" t="inlineStr">
        <is>
          <t>LC-CS-25-000124</t>
        </is>
      </c>
      <c r="F36" t="inlineStr">
        <is>
          <t>3007063213</t>
        </is>
      </c>
      <c r="G36" t="inlineStr">
        <is>
          <t>OC CIERRE</t>
        </is>
      </c>
      <c r="H36" t="inlineStr">
        <is>
          <t>TOLIMA</t>
        </is>
      </c>
      <c r="I36" t="inlineStr">
        <is>
          <t>IBAGUE</t>
        </is>
      </c>
      <c r="J36" t="inlineStr">
        <is>
          <t>PTM IBAGUE DISTRIBUIDORA AYV</t>
        </is>
      </c>
      <c r="K36" t="inlineStr">
        <is>
          <t>BANCOLOMBIA</t>
        </is>
      </c>
      <c r="L36" t="inlineStr">
        <is>
          <t>FO-25-1410458</t>
        </is>
      </c>
      <c r="M36" s="26" t="n">
        <v>45891.5625</v>
      </c>
      <c r="N36" s="26" t="n">
        <v>45892.56944444445</v>
      </c>
      <c r="O36" s="27" t="n">
        <v>0</v>
      </c>
      <c r="P36" t="inlineStr">
        <is>
          <t>AGREGADOR</t>
        </is>
      </c>
      <c r="Q36" t="inlineStr">
        <is>
          <t>COMCARD - PTM</t>
        </is>
      </c>
      <c r="R36" t="inlineStr">
        <is>
          <t>EJECUTADO / CANCELADO</t>
        </is>
      </c>
      <c r="S36" t="inlineStr">
        <is>
          <t>CB CERRADO - DESOCUPADO</t>
        </is>
      </c>
      <c r="T36" t="inlineStr">
        <is>
          <t>VISITA TECNICA</t>
        </is>
      </c>
      <c r="U36" t="inlineStr"/>
      <c r="V36" t="inlineStr">
        <is>
          <t>TIPO I</t>
        </is>
      </c>
      <c r="W36" t="inlineStr">
        <is>
          <t>TERRESTRE</t>
        </is>
      </c>
      <c r="X36" t="inlineStr">
        <is>
          <t>BARRAGAN TAFUR EDWIN ESTEBAN</t>
        </is>
      </c>
      <c r="Y36" t="inlineStr">
        <is>
          <t>1</t>
        </is>
      </c>
      <c r="Z36" t="inlineStr">
        <is>
          <t>0</t>
        </is>
      </c>
      <c r="AA36" s="27" t="n">
        <v>0</v>
      </c>
      <c r="AB36" s="27" t="n">
        <v>0</v>
      </c>
      <c r="AC36" s="27" t="n">
        <v>0</v>
      </c>
      <c r="AD36" s="27" t="n">
        <v>44560</v>
      </c>
      <c r="AE36" s="27" t="n">
        <v>0</v>
      </c>
    </row>
    <row r="37">
      <c r="A37" t="inlineStr">
        <is>
          <t>APARTADO</t>
        </is>
      </c>
      <c r="B37" t="inlineStr">
        <is>
          <t>NOROCCIDENTE</t>
        </is>
      </c>
      <c r="C37" t="inlineStr">
        <is>
          <t>0004-0005</t>
        </is>
      </c>
      <c r="D37" t="inlineStr">
        <is>
          <t>5045</t>
        </is>
      </c>
      <c r="E37" t="inlineStr">
        <is>
          <t>LC-CS-25-000139</t>
        </is>
      </c>
      <c r="F37" t="inlineStr">
        <is>
          <t>3007041725</t>
        </is>
      </c>
      <c r="G37" t="inlineStr">
        <is>
          <t>OC CIERRE</t>
        </is>
      </c>
      <c r="H37" t="inlineStr">
        <is>
          <t>ANTIOQUIA</t>
        </is>
      </c>
      <c r="I37" t="inlineStr">
        <is>
          <t>APARTADO</t>
        </is>
      </c>
      <c r="J37" t="inlineStr">
        <is>
          <t>BARRIO LAURELES APARTADO</t>
        </is>
      </c>
      <c r="K37" t="inlineStr">
        <is>
          <t>BANCOLOMBIA</t>
        </is>
      </c>
      <c r="L37" t="inlineStr">
        <is>
          <t>FO-25-1435254</t>
        </is>
      </c>
      <c r="M37" s="26" t="n">
        <v>45894.33333333334</v>
      </c>
      <c r="N37" s="26" t="n">
        <v>45897.65902777778</v>
      </c>
      <c r="O37" s="27" t="n">
        <v>0</v>
      </c>
      <c r="P37" t="inlineStr">
        <is>
          <t>CB UNO A UNO</t>
        </is>
      </c>
      <c r="Q37" t="inlineStr">
        <is>
          <t>CB UNO A UNO</t>
        </is>
      </c>
      <c r="R37" t="inlineStr">
        <is>
          <t>EJECUTADO / CANCELADO</t>
        </is>
      </c>
      <c r="S37" t="inlineStr">
        <is>
          <t>CB NO ENTREGA EQUIPO</t>
        </is>
      </c>
      <c r="T37" t="inlineStr">
        <is>
          <t>VISITA TECNICA</t>
        </is>
      </c>
      <c r="U37" t="inlineStr">
        <is>
          <t>AA0UZ924</t>
        </is>
      </c>
      <c r="V37" t="inlineStr">
        <is>
          <t>TIPO I</t>
        </is>
      </c>
      <c r="W37" t="inlineStr">
        <is>
          <t>TERRESTRE</t>
        </is>
      </c>
      <c r="X37" t="inlineStr">
        <is>
          <t>CASTRO HENAO DANIEL ESTEBAN</t>
        </is>
      </c>
      <c r="Y37" t="inlineStr">
        <is>
          <t>1</t>
        </is>
      </c>
      <c r="Z37" t="inlineStr">
        <is>
          <t>0</t>
        </is>
      </c>
      <c r="AA37" s="27" t="n">
        <v>0</v>
      </c>
      <c r="AB37" s="27" t="n">
        <v>0</v>
      </c>
      <c r="AC37" s="27" t="n">
        <v>0</v>
      </c>
      <c r="AD37" s="27" t="n">
        <v>44560</v>
      </c>
      <c r="AE37" s="27" t="n">
        <v>0</v>
      </c>
    </row>
    <row r="38">
      <c r="A38" t="inlineStr">
        <is>
          <t>MEDELLIN</t>
        </is>
      </c>
      <c r="B38" t="inlineStr">
        <is>
          <t>NOROCCIDENTE</t>
        </is>
      </c>
      <c r="C38" t="inlineStr">
        <is>
          <t>0004-0005</t>
        </is>
      </c>
      <c r="D38" t="inlineStr">
        <is>
          <t>5266</t>
        </is>
      </c>
      <c r="E38" t="inlineStr">
        <is>
          <t>LC-CS-25-000145</t>
        </is>
      </c>
      <c r="F38" t="inlineStr">
        <is>
          <t>3007064680</t>
        </is>
      </c>
      <c r="G38" t="inlineStr">
        <is>
          <t>OC CIERRE</t>
        </is>
      </c>
      <c r="H38" t="inlineStr">
        <is>
          <t>ANTIOQUIA</t>
        </is>
      </c>
      <c r="I38" t="inlineStr">
        <is>
          <t>ENVIGADO</t>
        </is>
      </c>
      <c r="J38" t="inlineStr">
        <is>
          <t>DISTRICOL DROGUERIA AMERICANA</t>
        </is>
      </c>
      <c r="K38" t="inlineStr">
        <is>
          <t>BANCOLOMBIA</t>
        </is>
      </c>
      <c r="L38" t="inlineStr">
        <is>
          <t>FO-25-1424061</t>
        </is>
      </c>
      <c r="M38" s="26" t="n">
        <v>45895.33333333334</v>
      </c>
      <c r="N38" s="26" t="n">
        <v>45895.51180555556</v>
      </c>
      <c r="O38" s="27" t="n">
        <v>0</v>
      </c>
      <c r="P38" t="inlineStr">
        <is>
          <t>AGREGADOR</t>
        </is>
      </c>
      <c r="Q38" t="inlineStr">
        <is>
          <t>DISTRICOL</t>
        </is>
      </c>
      <c r="R38" t="inlineStr">
        <is>
          <t>EJECUTADO / CANCELADO</t>
        </is>
      </c>
      <c r="S38" t="inlineStr">
        <is>
          <t>CB NO ENTREGA EQUIPO</t>
        </is>
      </c>
      <c r="T38" t="inlineStr">
        <is>
          <t>VISITA TECNICA</t>
        </is>
      </c>
      <c r="U38" t="inlineStr">
        <is>
          <t>3A003057</t>
        </is>
      </c>
      <c r="V38" t="inlineStr">
        <is>
          <t>TIPO I</t>
        </is>
      </c>
      <c r="W38" t="inlineStr">
        <is>
          <t>TERRESTRE</t>
        </is>
      </c>
      <c r="X38" t="inlineStr">
        <is>
          <t>CASTAÑEDA PALACIO CARLOS FELIPE</t>
        </is>
      </c>
      <c r="Y38" t="inlineStr">
        <is>
          <t>1</t>
        </is>
      </c>
      <c r="Z38" t="inlineStr">
        <is>
          <t>0</t>
        </is>
      </c>
      <c r="AA38" s="27" t="n">
        <v>0</v>
      </c>
      <c r="AB38" s="27" t="n">
        <v>0</v>
      </c>
      <c r="AC38" s="27" t="n">
        <v>0</v>
      </c>
      <c r="AD38" s="27" t="n">
        <v>44560</v>
      </c>
      <c r="AE38" s="27" t="n">
        <v>0</v>
      </c>
    </row>
    <row r="39">
      <c r="A39" t="inlineStr">
        <is>
          <t>BOGOTA</t>
        </is>
      </c>
      <c r="B39" t="inlineStr">
        <is>
          <t>CUNDINAMARCA</t>
        </is>
      </c>
      <c r="C39" t="inlineStr">
        <is>
          <t>0004-0004</t>
        </is>
      </c>
      <c r="D39" t="inlineStr">
        <is>
          <t>11001</t>
        </is>
      </c>
      <c r="E39" t="inlineStr">
        <is>
          <t>LC-CS-25-000149</t>
        </is>
      </c>
      <c r="F39" t="inlineStr">
        <is>
          <t>3007064871</t>
        </is>
      </c>
      <c r="G39" t="inlineStr">
        <is>
          <t>OC CIERRE</t>
        </is>
      </c>
      <c r="H39" t="inlineStr">
        <is>
          <t>CUNDINAMARCA</t>
        </is>
      </c>
      <c r="I39" t="inlineStr">
        <is>
          <t>BOGOTA</t>
        </is>
      </c>
      <c r="J39" t="inlineStr">
        <is>
          <t>PTM BOGOTA DISTRIBUIDORA DE VI</t>
        </is>
      </c>
      <c r="K39" t="inlineStr">
        <is>
          <t>BANCOLOMBIA</t>
        </is>
      </c>
      <c r="L39" t="inlineStr">
        <is>
          <t>FO-25-1424028</t>
        </is>
      </c>
      <c r="M39" s="26" t="n">
        <v>45895.33333333334</v>
      </c>
      <c r="N39" s="26" t="n">
        <v>45896.38194444445</v>
      </c>
      <c r="O39" s="27" t="n">
        <v>0</v>
      </c>
      <c r="P39" t="inlineStr">
        <is>
          <t>AGREGADOR</t>
        </is>
      </c>
      <c r="Q39" t="inlineStr">
        <is>
          <t>COMCARD - PTM</t>
        </is>
      </c>
      <c r="R39" t="inlineStr">
        <is>
          <t>EJECUTADO / CANCELADO</t>
        </is>
      </c>
      <c r="S39" t="inlineStr">
        <is>
          <t>CB CERRADO - DESOCUPADO</t>
        </is>
      </c>
      <c r="T39" t="inlineStr">
        <is>
          <t>VISITA TECNICA</t>
        </is>
      </c>
      <c r="U39" t="inlineStr">
        <is>
          <t>0</t>
        </is>
      </c>
      <c r="V39" t="inlineStr">
        <is>
          <t>TIPO I</t>
        </is>
      </c>
      <c r="W39" t="inlineStr">
        <is>
          <t>TERRESTRE</t>
        </is>
      </c>
      <c r="X39" t="inlineStr">
        <is>
          <t>BUSTOS MORA DIEGO MANUEL</t>
        </is>
      </c>
      <c r="Y39" t="inlineStr">
        <is>
          <t>1</t>
        </is>
      </c>
      <c r="Z39" t="inlineStr">
        <is>
          <t>0</t>
        </is>
      </c>
      <c r="AA39" s="27" t="n">
        <v>0</v>
      </c>
      <c r="AB39" s="27" t="n">
        <v>0</v>
      </c>
      <c r="AC39" s="27" t="n">
        <v>0</v>
      </c>
      <c r="AD39" s="27" t="n">
        <v>44560</v>
      </c>
      <c r="AE39" s="27" t="n">
        <v>0</v>
      </c>
    </row>
    <row r="40">
      <c r="A40" t="inlineStr">
        <is>
          <t>PEREIRA</t>
        </is>
      </c>
      <c r="B40" t="inlineStr">
        <is>
          <t>SUROCCIDENTE Y EJE CAFETERO</t>
        </is>
      </c>
      <c r="C40" t="inlineStr">
        <is>
          <t>0004-0002</t>
        </is>
      </c>
      <c r="D40" t="inlineStr">
        <is>
          <t>63594</t>
        </is>
      </c>
      <c r="E40" t="inlineStr">
        <is>
          <t>LC-CS-25-000151</t>
        </is>
      </c>
      <c r="F40" t="inlineStr">
        <is>
          <t>3007067248</t>
        </is>
      </c>
      <c r="G40" t="inlineStr">
        <is>
          <t>OC CIERRE</t>
        </is>
      </c>
      <c r="H40" t="inlineStr">
        <is>
          <t>QUINDIO</t>
        </is>
      </c>
      <c r="I40" t="inlineStr">
        <is>
          <t>QUIMBAYA</t>
        </is>
      </c>
      <c r="J40" t="inlineStr">
        <is>
          <t>DISTRICOL RC RODRIGUEZ LACTEOS</t>
        </is>
      </c>
      <c r="K40" t="inlineStr">
        <is>
          <t>BANCOLOMBIA</t>
        </is>
      </c>
      <c r="L40" t="inlineStr">
        <is>
          <t>FO-25-1424075</t>
        </is>
      </c>
      <c r="M40" s="26" t="n">
        <v>45895.33333333334</v>
      </c>
      <c r="N40" s="26" t="n">
        <v>45898.45694444444</v>
      </c>
      <c r="O40" s="27" t="n">
        <v>0</v>
      </c>
      <c r="P40" t="inlineStr">
        <is>
          <t>AGREGADOR</t>
        </is>
      </c>
      <c r="Q40" t="inlineStr">
        <is>
          <t>DISTRICOL</t>
        </is>
      </c>
      <c r="R40" t="inlineStr">
        <is>
          <t>EJECUTADO / CANCELADO</t>
        </is>
      </c>
      <c r="S40" t="inlineStr">
        <is>
          <t>CB NO ENTREGA EQUIPO</t>
        </is>
      </c>
      <c r="T40" t="inlineStr">
        <is>
          <t>VISITA TECNICA</t>
        </is>
      </c>
      <c r="U40" t="inlineStr">
        <is>
          <t>AAJ05702</t>
        </is>
      </c>
      <c r="V40" t="inlineStr">
        <is>
          <t>TIPO II</t>
        </is>
      </c>
      <c r="W40" t="inlineStr">
        <is>
          <t>TERRESTRE</t>
        </is>
      </c>
      <c r="X40" t="inlineStr">
        <is>
          <t>SANCHEZ SOLORZANO JUAN SEBASTIAN</t>
        </is>
      </c>
      <c r="Y40" t="inlineStr">
        <is>
          <t>1</t>
        </is>
      </c>
      <c r="Z40" t="inlineStr">
        <is>
          <t>0</t>
        </is>
      </c>
      <c r="AA40" s="27" t="n">
        <v>0</v>
      </c>
      <c r="AB40" s="27" t="n">
        <v>0</v>
      </c>
      <c r="AC40" s="27" t="n">
        <v>0</v>
      </c>
      <c r="AD40" s="27" t="n">
        <v>134411</v>
      </c>
      <c r="AE40" s="27" t="n">
        <v>0</v>
      </c>
    </row>
    <row r="41">
      <c r="A41" t="inlineStr">
        <is>
          <t>CALI</t>
        </is>
      </c>
      <c r="B41" t="inlineStr">
        <is>
          <t>SUROCCIDENTE Y EJE CAFETERO</t>
        </is>
      </c>
      <c r="C41" t="inlineStr">
        <is>
          <t>0004-0003</t>
        </is>
      </c>
      <c r="D41" t="inlineStr">
        <is>
          <t>76834</t>
        </is>
      </c>
      <c r="E41" t="inlineStr">
        <is>
          <t>LC-CS-25-000166</t>
        </is>
      </c>
      <c r="F41" t="inlineStr">
        <is>
          <t>3007010782</t>
        </is>
      </c>
      <c r="G41" t="inlineStr">
        <is>
          <t>OC CIERRE</t>
        </is>
      </c>
      <c r="H41" t="inlineStr">
        <is>
          <t>VALLE DEL CAUCA</t>
        </is>
      </c>
      <c r="I41" t="inlineStr">
        <is>
          <t>TULUA</t>
        </is>
      </c>
      <c r="J41" t="inlineStr">
        <is>
          <t>BARRIO SAMAN DEL NORTE - TULUA</t>
        </is>
      </c>
      <c r="K41" t="inlineStr">
        <is>
          <t>BANCOLOMBIA</t>
        </is>
      </c>
      <c r="L41" t="inlineStr">
        <is>
          <t>FO-25-1430271</t>
        </is>
      </c>
      <c r="M41" s="26" t="n">
        <v>45895.33333333334</v>
      </c>
      <c r="N41" s="26" t="n">
        <v>45898.66736111111</v>
      </c>
      <c r="O41" s="27" t="n">
        <v>0</v>
      </c>
      <c r="P41" t="inlineStr">
        <is>
          <t>UNO A UNO</t>
        </is>
      </c>
      <c r="Q41" t="inlineStr">
        <is>
          <t>CB UNO A UNO</t>
        </is>
      </c>
      <c r="R41" t="inlineStr">
        <is>
          <t>EJECUTADO / CANCELADO</t>
        </is>
      </c>
      <c r="S41" t="inlineStr">
        <is>
          <t>CB NO ENTREGA EQUIPO</t>
        </is>
      </c>
      <c r="T41" t="inlineStr">
        <is>
          <t>VISITA TECNICA</t>
        </is>
      </c>
      <c r="U41" t="inlineStr">
        <is>
          <t xml:space="preserve">NO APLICA </t>
        </is>
      </c>
      <c r="V41" t="inlineStr">
        <is>
          <t>TIPO II</t>
        </is>
      </c>
      <c r="W41" t="inlineStr">
        <is>
          <t>TERRESTRE</t>
        </is>
      </c>
      <c r="X41" t="inlineStr">
        <is>
          <t>BOLAÑOS TABORDA JORGE ENRIQUE</t>
        </is>
      </c>
      <c r="Y41" t="inlineStr">
        <is>
          <t>1</t>
        </is>
      </c>
      <c r="Z41" t="inlineStr">
        <is>
          <t>0</t>
        </is>
      </c>
      <c r="AA41" s="27" t="n">
        <v>0</v>
      </c>
      <c r="AB41" s="27" t="n">
        <v>0</v>
      </c>
      <c r="AC41" s="27" t="n">
        <v>0</v>
      </c>
      <c r="AD41" s="27" t="n">
        <v>134411</v>
      </c>
      <c r="AE41" s="27" t="n">
        <v>0</v>
      </c>
    </row>
    <row r="42">
      <c r="A42" t="inlineStr">
        <is>
          <t>MEDELLIN</t>
        </is>
      </c>
      <c r="B42" t="inlineStr">
        <is>
          <t>NOROCCIDENTE</t>
        </is>
      </c>
      <c r="C42" t="inlineStr">
        <is>
          <t>0004-0005</t>
        </is>
      </c>
      <c r="D42" t="inlineStr">
        <is>
          <t>5308</t>
        </is>
      </c>
      <c r="E42" t="inlineStr">
        <is>
          <t>LC-CS-25-000179</t>
        </is>
      </c>
      <c r="F42" t="inlineStr">
        <is>
          <t>3007029502</t>
        </is>
      </c>
      <c r="G42" t="inlineStr">
        <is>
          <t>OC CIERRE</t>
        </is>
      </c>
      <c r="H42" t="inlineStr">
        <is>
          <t>ANTIOQUIA</t>
        </is>
      </c>
      <c r="I42" t="inlineStr">
        <is>
          <t>GIRARDOTA</t>
        </is>
      </c>
      <c r="J42" t="inlineStr">
        <is>
          <t>BARRIO 0 GIRARDOTA</t>
        </is>
      </c>
      <c r="K42" t="inlineStr">
        <is>
          <t>BANCOLOMBIA</t>
        </is>
      </c>
      <c r="L42" t="inlineStr">
        <is>
          <t>FO-25-1442661</t>
        </is>
      </c>
      <c r="M42" s="26" t="n">
        <v>45897.70138888889</v>
      </c>
      <c r="N42" s="26" t="n">
        <v>45899.68611111111</v>
      </c>
      <c r="O42" s="27" t="n">
        <v>0</v>
      </c>
      <c r="P42" t="inlineStr">
        <is>
          <t>UNO A UNO</t>
        </is>
      </c>
      <c r="Q42" t="inlineStr">
        <is>
          <t>CB UNO A UNO</t>
        </is>
      </c>
      <c r="R42" t="inlineStr"/>
      <c r="S42" t="inlineStr">
        <is>
          <t>CB NO ENTREGA EQUIPO</t>
        </is>
      </c>
      <c r="T42" t="inlineStr">
        <is>
          <t>SOPORTE TELEFONICO</t>
        </is>
      </c>
      <c r="U42" t="inlineStr"/>
      <c r="V42" t="inlineStr">
        <is>
          <t>TIPO I</t>
        </is>
      </c>
      <c r="W42" t="inlineStr">
        <is>
          <t>TERRESTRE</t>
        </is>
      </c>
      <c r="X42" t="inlineStr">
        <is>
          <t>ZAPATA LOPEZ EDWARD ASDRUBAL</t>
        </is>
      </c>
      <c r="Y42" t="inlineStr">
        <is>
          <t>1</t>
        </is>
      </c>
      <c r="Z42" t="inlineStr">
        <is>
          <t>0</t>
        </is>
      </c>
      <c r="AA42" s="27" t="n">
        <v>0</v>
      </c>
      <c r="AB42" s="27" t="n">
        <v>0</v>
      </c>
      <c r="AC42" s="27" t="n">
        <v>0</v>
      </c>
      <c r="AD42" s="27" t="n">
        <v>37905</v>
      </c>
      <c r="AE42" s="27" t="n">
        <v>0</v>
      </c>
    </row>
    <row r="43">
      <c r="A43" t="inlineStr">
        <is>
          <t>CUCUTA</t>
        </is>
      </c>
      <c r="B43" t="inlineStr">
        <is>
          <t>SANTANDERES</t>
        </is>
      </c>
      <c r="C43" t="inlineStr">
        <is>
          <t>0004-0008</t>
        </is>
      </c>
      <c r="D43" t="inlineStr">
        <is>
          <t>54001</t>
        </is>
      </c>
      <c r="E43" t="inlineStr">
        <is>
          <t>LC-CS-25-000191</t>
        </is>
      </c>
      <c r="F43" t="inlineStr">
        <is>
          <t>3007073339</t>
        </is>
      </c>
      <c r="G43" t="inlineStr">
        <is>
          <t>OC CIERRE</t>
        </is>
      </c>
      <c r="H43" t="inlineStr">
        <is>
          <t>NORTE DE SANTANDER</t>
        </is>
      </c>
      <c r="I43" t="inlineStr">
        <is>
          <t>CUCUTA</t>
        </is>
      </c>
      <c r="J43" t="inlineStr">
        <is>
          <t>BARRIO AEROPUERTO CUCUTA 15</t>
        </is>
      </c>
      <c r="K43" t="inlineStr">
        <is>
          <t>BANCOLOMBIA</t>
        </is>
      </c>
      <c r="L43" t="inlineStr">
        <is>
          <t>FO-25-1442461</t>
        </is>
      </c>
      <c r="M43" s="26" t="n">
        <v>45897.70138888889</v>
      </c>
      <c r="N43" s="26" t="n">
        <v>45899.7</v>
      </c>
      <c r="O43" s="27" t="n">
        <v>0</v>
      </c>
      <c r="P43" t="inlineStr">
        <is>
          <t>UNO A UNO</t>
        </is>
      </c>
      <c r="Q43" t="inlineStr">
        <is>
          <t>UNO A UNO</t>
        </is>
      </c>
      <c r="R43" t="inlineStr">
        <is>
          <t>EJECUTADO / CANCELADO</t>
        </is>
      </c>
      <c r="S43" t="inlineStr">
        <is>
          <t>CB CERRADO - DESOCUPADO</t>
        </is>
      </c>
      <c r="T43" t="inlineStr">
        <is>
          <t>VISITA TECNICA</t>
        </is>
      </c>
      <c r="U43" t="inlineStr"/>
      <c r="V43" t="inlineStr">
        <is>
          <t>TIPO I</t>
        </is>
      </c>
      <c r="W43" t="inlineStr">
        <is>
          <t>TERRESTRE</t>
        </is>
      </c>
      <c r="X43" t="inlineStr">
        <is>
          <t>NARANJO AFANADOR RUBEN JESUS</t>
        </is>
      </c>
      <c r="Y43" t="inlineStr">
        <is>
          <t>1</t>
        </is>
      </c>
      <c r="Z43" t="inlineStr">
        <is>
          <t>0</t>
        </is>
      </c>
      <c r="AA43" s="27" t="n">
        <v>0</v>
      </c>
      <c r="AB43" s="27" t="n">
        <v>0</v>
      </c>
      <c r="AC43" s="27" t="n">
        <v>0</v>
      </c>
      <c r="AD43" s="27" t="n">
        <v>44560</v>
      </c>
      <c r="AE43" s="27" t="n">
        <v>0</v>
      </c>
    </row>
    <row r="44">
      <c r="A44" t="inlineStr">
        <is>
          <t>BOGOTA</t>
        </is>
      </c>
      <c r="B44" t="inlineStr">
        <is>
          <t>CUNDINAMARCA</t>
        </is>
      </c>
      <c r="C44" t="inlineStr">
        <is>
          <t>0004-0004</t>
        </is>
      </c>
      <c r="D44" t="inlineStr">
        <is>
          <t>11001</t>
        </is>
      </c>
      <c r="E44" t="inlineStr">
        <is>
          <t>LC-CS-25-000201</t>
        </is>
      </c>
      <c r="F44" t="inlineStr">
        <is>
          <t>3007032053</t>
        </is>
      </c>
      <c r="G44" t="inlineStr">
        <is>
          <t>OC CIERRE</t>
        </is>
      </c>
      <c r="H44" t="inlineStr">
        <is>
          <t>CUNDINAMARCA</t>
        </is>
      </c>
      <c r="I44" t="inlineStr">
        <is>
          <t>BOGOTA</t>
        </is>
      </c>
      <c r="J44" t="inlineStr">
        <is>
          <t>BARRIO RESTREPO 13 BOGOTA</t>
        </is>
      </c>
      <c r="K44" t="inlineStr">
        <is>
          <t>BANCOLOMBIA</t>
        </is>
      </c>
      <c r="L44" t="inlineStr">
        <is>
          <t>FO-25-1442717</t>
        </is>
      </c>
      <c r="M44" s="26" t="n">
        <v>45897.70138888889</v>
      </c>
      <c r="N44" s="26" t="n">
        <v>45899.68888888889</v>
      </c>
      <c r="O44" s="27" t="n">
        <v>0</v>
      </c>
      <c r="P44" t="inlineStr">
        <is>
          <t>CB UNO A UNO</t>
        </is>
      </c>
      <c r="Q44" t="inlineStr">
        <is>
          <t>CB UNO A UNO</t>
        </is>
      </c>
      <c r="R44" t="inlineStr">
        <is>
          <t>EJECUTADO / CANCELADO</t>
        </is>
      </c>
      <c r="S44" t="inlineStr">
        <is>
          <t>CB NO ENTREGA EQUIPO</t>
        </is>
      </c>
      <c r="T44" t="inlineStr">
        <is>
          <t>VISITA TECNICA</t>
        </is>
      </c>
      <c r="U44" t="inlineStr">
        <is>
          <t>0</t>
        </is>
      </c>
      <c r="V44" t="inlineStr">
        <is>
          <t>TIPO I</t>
        </is>
      </c>
      <c r="W44" t="inlineStr">
        <is>
          <t>TERRESTRE</t>
        </is>
      </c>
      <c r="X44" t="inlineStr">
        <is>
          <t>GOMEZ VEGA DAVID SNEYDER</t>
        </is>
      </c>
      <c r="Y44" t="inlineStr">
        <is>
          <t>1</t>
        </is>
      </c>
      <c r="Z44" t="inlineStr">
        <is>
          <t>0</t>
        </is>
      </c>
      <c r="AA44" s="27" t="n">
        <v>0</v>
      </c>
      <c r="AB44" s="27" t="n">
        <v>0</v>
      </c>
      <c r="AC44" s="27" t="n">
        <v>0</v>
      </c>
      <c r="AD44" s="27" t="n">
        <v>44560</v>
      </c>
      <c r="AE44" s="27" t="n">
        <v>0</v>
      </c>
    </row>
    <row r="45">
      <c r="A45" t="inlineStr">
        <is>
          <t>BOGOTA</t>
        </is>
      </c>
      <c r="B45" t="inlineStr">
        <is>
          <t>CUNDINAMARCA</t>
        </is>
      </c>
      <c r="C45" t="inlineStr">
        <is>
          <t>0004-0004</t>
        </is>
      </c>
      <c r="D45" t="inlineStr">
        <is>
          <t>11001</t>
        </is>
      </c>
      <c r="E45" t="inlineStr">
        <is>
          <t>LC-CS-25-000202</t>
        </is>
      </c>
      <c r="F45" t="inlineStr">
        <is>
          <t>3007038177</t>
        </is>
      </c>
      <c r="G45" t="inlineStr">
        <is>
          <t>OC CIERRE</t>
        </is>
      </c>
      <c r="H45" t="inlineStr">
        <is>
          <t>CUNDINAMARCA</t>
        </is>
      </c>
      <c r="I45" t="inlineStr">
        <is>
          <t>BOGOTA</t>
        </is>
      </c>
      <c r="J45" t="inlineStr">
        <is>
          <t>BARRIO ZARAZOTA BOGOTA</t>
        </is>
      </c>
      <c r="K45" t="inlineStr">
        <is>
          <t>BANCOLOMBIA</t>
        </is>
      </c>
      <c r="L45" t="inlineStr">
        <is>
          <t>FO-25-1442612</t>
        </is>
      </c>
      <c r="M45" s="26" t="n">
        <v>45897.70138888889</v>
      </c>
      <c r="N45" s="26" t="n">
        <v>45899.69513888889</v>
      </c>
      <c r="O45" s="27" t="n">
        <v>0</v>
      </c>
      <c r="P45" t="inlineStr">
        <is>
          <t>UNO A UNO</t>
        </is>
      </c>
      <c r="Q45" t="inlineStr">
        <is>
          <t>CB UNO A UNO</t>
        </is>
      </c>
      <c r="R45" t="inlineStr">
        <is>
          <t>EJECUTADO / CANCELADO</t>
        </is>
      </c>
      <c r="S45" t="inlineStr">
        <is>
          <t>CB CERRADO - DESOCUPADO</t>
        </is>
      </c>
      <c r="T45" t="inlineStr">
        <is>
          <t>VISITA TECNICA</t>
        </is>
      </c>
      <c r="U45" t="inlineStr"/>
      <c r="V45" t="inlineStr">
        <is>
          <t>TIPO I</t>
        </is>
      </c>
      <c r="W45" t="inlineStr">
        <is>
          <t>TERRESTRE</t>
        </is>
      </c>
      <c r="X45" t="inlineStr">
        <is>
          <t>LOZADA ROJAS CHRISTIAN ANDRES</t>
        </is>
      </c>
      <c r="Y45" t="inlineStr">
        <is>
          <t>1</t>
        </is>
      </c>
      <c r="Z45" t="inlineStr">
        <is>
          <t>0</t>
        </is>
      </c>
      <c r="AA45" s="27" t="n">
        <v>0</v>
      </c>
      <c r="AB45" s="27" t="n">
        <v>0</v>
      </c>
      <c r="AC45" s="27" t="n">
        <v>0</v>
      </c>
      <c r="AD45" s="27" t="n">
        <v>44560</v>
      </c>
      <c r="AE45" s="27" t="n">
        <v>0</v>
      </c>
    </row>
    <row r="46">
      <c r="A46" t="inlineStr">
        <is>
          <t>BOGOTA</t>
        </is>
      </c>
      <c r="B46" t="inlineStr">
        <is>
          <t>CUNDINAMARCA</t>
        </is>
      </c>
      <c r="C46" t="inlineStr">
        <is>
          <t>0004-0004</t>
        </is>
      </c>
      <c r="D46" t="inlineStr">
        <is>
          <t>11001</t>
        </is>
      </c>
      <c r="E46" t="inlineStr">
        <is>
          <t>LC-CS-25-000204</t>
        </is>
      </c>
      <c r="F46" t="inlineStr">
        <is>
          <t>3007046874</t>
        </is>
      </c>
      <c r="G46" t="inlineStr">
        <is>
          <t>OC CIERRE</t>
        </is>
      </c>
      <c r="H46" t="inlineStr">
        <is>
          <t>CUNDINAMARCA</t>
        </is>
      </c>
      <c r="I46" t="inlineStr">
        <is>
          <t>BOGOTA</t>
        </is>
      </c>
      <c r="J46" t="inlineStr">
        <is>
          <t>BARRIO ESTANCIA BOGOTA 3</t>
        </is>
      </c>
      <c r="K46" t="inlineStr">
        <is>
          <t>BANCOLOMBIA</t>
        </is>
      </c>
      <c r="L46" t="inlineStr">
        <is>
          <t>FO-25-1442705</t>
        </is>
      </c>
      <c r="M46" s="26" t="n">
        <v>45897.70138888889</v>
      </c>
      <c r="N46" s="26" t="n">
        <v>45899.69166666667</v>
      </c>
      <c r="O46" s="27" t="n">
        <v>0</v>
      </c>
      <c r="P46" t="inlineStr">
        <is>
          <t>UNO A UNO</t>
        </is>
      </c>
      <c r="Q46" t="inlineStr">
        <is>
          <t>CB UNO A UNO</t>
        </is>
      </c>
      <c r="R46" t="inlineStr">
        <is>
          <t>EJECUTADO / CANCELADO</t>
        </is>
      </c>
      <c r="S46" t="inlineStr">
        <is>
          <t>CB CERRADO - DESOCUPADO</t>
        </is>
      </c>
      <c r="T46" t="inlineStr">
        <is>
          <t>VISITA TECNICA</t>
        </is>
      </c>
      <c r="U46" t="inlineStr"/>
      <c r="V46" t="inlineStr">
        <is>
          <t>TIPO I</t>
        </is>
      </c>
      <c r="W46" t="inlineStr">
        <is>
          <t>TERRESTRE</t>
        </is>
      </c>
      <c r="X46" t="inlineStr">
        <is>
          <t>GALEANO SORIANO JUAN DAVID</t>
        </is>
      </c>
      <c r="Y46" t="inlineStr">
        <is>
          <t>1</t>
        </is>
      </c>
      <c r="Z46" t="inlineStr">
        <is>
          <t>0</t>
        </is>
      </c>
      <c r="AA46" s="27" t="n">
        <v>0</v>
      </c>
      <c r="AB46" s="27" t="n">
        <v>0</v>
      </c>
      <c r="AC46" s="27" t="n">
        <v>0</v>
      </c>
      <c r="AD46" s="27" t="n">
        <v>44560</v>
      </c>
      <c r="AE46" s="27" t="n">
        <v>0</v>
      </c>
    </row>
    <row r="47">
      <c r="A47" t="inlineStr">
        <is>
          <t>BOGOTA</t>
        </is>
      </c>
      <c r="B47" t="inlineStr">
        <is>
          <t>CUNDINAMARCA</t>
        </is>
      </c>
      <c r="C47" t="inlineStr">
        <is>
          <t>0004-0004</t>
        </is>
      </c>
      <c r="D47" t="inlineStr">
        <is>
          <t>11001</t>
        </is>
      </c>
      <c r="E47" t="inlineStr">
        <is>
          <t>TA-25-1034478</t>
        </is>
      </c>
      <c r="F47" t="inlineStr">
        <is>
          <t>3007036751</t>
        </is>
      </c>
      <c r="G47" t="inlineStr">
        <is>
          <t>OC CIERRE</t>
        </is>
      </c>
      <c r="H47" t="inlineStr">
        <is>
          <t>CUNDINAMARCA</t>
        </is>
      </c>
      <c r="I47" t="inlineStr">
        <is>
          <t>BOGOTA</t>
        </is>
      </c>
      <c r="J47" t="inlineStr">
        <is>
          <t>REVAL ENGATIVA</t>
        </is>
      </c>
      <c r="K47" t="inlineStr">
        <is>
          <t>BANCOLOMBIA</t>
        </is>
      </c>
      <c r="L47" t="inlineStr">
        <is>
          <t>FO-25-1433937</t>
        </is>
      </c>
      <c r="M47" s="26" t="n">
        <v>45896.51597222222</v>
      </c>
      <c r="N47" s="26" t="n">
        <v>45897.31944444445</v>
      </c>
      <c r="O47" s="27" t="n">
        <v>0</v>
      </c>
      <c r="P47" t="inlineStr">
        <is>
          <t>ROBUSTO</t>
        </is>
      </c>
      <c r="Q47" t="inlineStr">
        <is>
          <t>REVAL</t>
        </is>
      </c>
      <c r="R47" t="inlineStr">
        <is>
          <t>EJECUTADO</t>
        </is>
      </c>
      <c r="S47" t="inlineStr">
        <is>
          <t>PARCIAL EXITOSO PTE. DATAFONO</t>
        </is>
      </c>
      <c r="T47" t="inlineStr">
        <is>
          <t>VISITA TECNICA</t>
        </is>
      </c>
      <c r="U47" t="inlineStr">
        <is>
          <t>AB00G058</t>
        </is>
      </c>
      <c r="V47" t="inlineStr">
        <is>
          <t>TIPO I</t>
        </is>
      </c>
      <c r="W47" t="inlineStr">
        <is>
          <t>TERRESTRE</t>
        </is>
      </c>
      <c r="X47" t="inlineStr">
        <is>
          <t>MURCIA HERNANDEZ HARVEY IGNACIO</t>
        </is>
      </c>
      <c r="Y47" t="inlineStr">
        <is>
          <t>1</t>
        </is>
      </c>
      <c r="Z47" t="inlineStr">
        <is>
          <t>0</t>
        </is>
      </c>
      <c r="AA47" s="27" t="n">
        <v>0</v>
      </c>
      <c r="AB47" s="27" t="n">
        <v>0</v>
      </c>
      <c r="AC47" s="27" t="n">
        <v>0</v>
      </c>
      <c r="AD47" s="27" t="n">
        <v>44560</v>
      </c>
      <c r="AE47" s="27" t="n">
        <v>0</v>
      </c>
    </row>
    <row r="48">
      <c r="A48" t="inlineStr">
        <is>
          <t>IBAGUE</t>
        </is>
      </c>
      <c r="B48" t="inlineStr">
        <is>
          <t>REMOTAS</t>
        </is>
      </c>
      <c r="C48" t="inlineStr">
        <is>
          <t>0004-0007</t>
        </is>
      </c>
      <c r="D48" t="inlineStr">
        <is>
          <t>73001</t>
        </is>
      </c>
      <c r="E48" t="inlineStr">
        <is>
          <t>TA-25-884664</t>
        </is>
      </c>
      <c r="F48" t="inlineStr">
        <is>
          <t>3007063213</t>
        </is>
      </c>
      <c r="G48" t="inlineStr">
        <is>
          <t>OC CIERRE</t>
        </is>
      </c>
      <c r="H48" t="inlineStr">
        <is>
          <t>TOLIMA</t>
        </is>
      </c>
      <c r="I48" t="inlineStr">
        <is>
          <t>IBAGUE</t>
        </is>
      </c>
      <c r="J48" t="inlineStr">
        <is>
          <t>PTM IBAGUE DISTRIBUIDORA AYV</t>
        </is>
      </c>
      <c r="K48" t="inlineStr">
        <is>
          <t>BANCOLOMBIA</t>
        </is>
      </c>
      <c r="L48" t="inlineStr">
        <is>
          <t>FO-25-1270637</t>
        </is>
      </c>
      <c r="M48" s="26" t="n">
        <v>45861.33333333334</v>
      </c>
      <c r="N48" s="26" t="n">
        <v>45874.39513888889</v>
      </c>
      <c r="O48" s="27" t="n">
        <v>0</v>
      </c>
      <c r="P48" t="inlineStr">
        <is>
          <t>AGREGADOR</t>
        </is>
      </c>
      <c r="Q48" t="inlineStr">
        <is>
          <t>COMCARD - PTM</t>
        </is>
      </c>
      <c r="R48" t="inlineStr">
        <is>
          <t>EJECUTADO / CANCELADO</t>
        </is>
      </c>
      <c r="S48" t="inlineStr">
        <is>
          <t>CB CERRADO - DESOCUPADO</t>
        </is>
      </c>
      <c r="T48" t="inlineStr">
        <is>
          <t>VISITA TECNICA</t>
        </is>
      </c>
      <c r="U48" t="inlineStr">
        <is>
          <t>NONE</t>
        </is>
      </c>
      <c r="V48" t="inlineStr">
        <is>
          <t>TIPO I</t>
        </is>
      </c>
      <c r="W48" t="inlineStr">
        <is>
          <t>TERRESTRE</t>
        </is>
      </c>
      <c r="X48" t="inlineStr">
        <is>
          <t>BARRAGAN TAFUR EDWIN ESTEBAN</t>
        </is>
      </c>
      <c r="Y48" t="inlineStr">
        <is>
          <t>1</t>
        </is>
      </c>
      <c r="Z48" t="inlineStr">
        <is>
          <t>0</t>
        </is>
      </c>
      <c r="AA48" s="27" t="n">
        <v>0</v>
      </c>
      <c r="AB48" s="27" t="n">
        <v>0</v>
      </c>
      <c r="AC48" s="27" t="n">
        <v>0</v>
      </c>
      <c r="AD48" s="27" t="n">
        <v>44560</v>
      </c>
      <c r="AE48" s="27" t="n">
        <v>0</v>
      </c>
    </row>
    <row r="49">
      <c r="A49" t="inlineStr">
        <is>
          <t>BOGOTA</t>
        </is>
      </c>
      <c r="B49" t="inlineStr">
        <is>
          <t>CUNDINAMARCA</t>
        </is>
      </c>
      <c r="C49" t="inlineStr">
        <is>
          <t>0004-0004</t>
        </is>
      </c>
      <c r="D49" t="inlineStr">
        <is>
          <t>11001</t>
        </is>
      </c>
      <c r="E49" t="inlineStr">
        <is>
          <t>TA-25-889028</t>
        </is>
      </c>
      <c r="F49" t="inlineStr">
        <is>
          <t>3007070801</t>
        </is>
      </c>
      <c r="G49" t="inlineStr">
        <is>
          <t>OC CIERRE</t>
        </is>
      </c>
      <c r="H49" t="inlineStr">
        <is>
          <t>CUNDINAMARCA</t>
        </is>
      </c>
      <c r="I49" t="inlineStr">
        <is>
          <t>BOGOTA</t>
        </is>
      </c>
      <c r="J49" t="inlineStr">
        <is>
          <t>PTM BOGOTA  DISTRIBUIDORA DE P</t>
        </is>
      </c>
      <c r="K49" t="inlineStr">
        <is>
          <t>BANCOLOMBIA</t>
        </is>
      </c>
      <c r="L49" t="inlineStr">
        <is>
          <t>FO-25-1278511</t>
        </is>
      </c>
      <c r="M49" s="26" t="n">
        <v>45862.33333333334</v>
      </c>
      <c r="N49" s="26" t="n">
        <v>45888.58402777778</v>
      </c>
      <c r="O49" s="27" t="n">
        <v>0</v>
      </c>
      <c r="P49" t="inlineStr">
        <is>
          <t>AGREGADOR</t>
        </is>
      </c>
      <c r="Q49" t="inlineStr">
        <is>
          <t>COMCARD - PTM</t>
        </is>
      </c>
      <c r="R49" t="inlineStr">
        <is>
          <t>EJECUTADO / CANCELADO</t>
        </is>
      </c>
      <c r="S49" t="inlineStr">
        <is>
          <t>CB CERRADO - DESOCUPADO</t>
        </is>
      </c>
      <c r="T49" t="inlineStr">
        <is>
          <t>VISITA TECNICA</t>
        </is>
      </c>
      <c r="U49" t="inlineStr"/>
      <c r="V49" t="inlineStr">
        <is>
          <t>TIPO I</t>
        </is>
      </c>
      <c r="W49" t="inlineStr">
        <is>
          <t>TERRESTRE</t>
        </is>
      </c>
      <c r="X49" t="inlineStr">
        <is>
          <t>SOTO MUNAR DYLAN DAVID</t>
        </is>
      </c>
      <c r="Y49" t="inlineStr">
        <is>
          <t>1</t>
        </is>
      </c>
      <c r="Z49" t="inlineStr">
        <is>
          <t>0</t>
        </is>
      </c>
      <c r="AA49" s="27" t="n">
        <v>0</v>
      </c>
      <c r="AB49" s="27" t="n">
        <v>0</v>
      </c>
      <c r="AC49" s="27" t="n">
        <v>0</v>
      </c>
      <c r="AD49" s="27" t="n">
        <v>44560</v>
      </c>
      <c r="AE49" s="27" t="n">
        <v>0</v>
      </c>
    </row>
    <row r="50">
      <c r="A50" t="inlineStr">
        <is>
          <t>MEDELLIN</t>
        </is>
      </c>
      <c r="B50" t="inlineStr">
        <is>
          <t>NOROCCIDENTE</t>
        </is>
      </c>
      <c r="C50" t="inlineStr">
        <is>
          <t>0004-0005</t>
        </is>
      </c>
      <c r="D50" t="inlineStr">
        <is>
          <t>5197</t>
        </is>
      </c>
      <c r="E50" t="inlineStr">
        <is>
          <t>TA-25-899457</t>
        </is>
      </c>
      <c r="F50" t="inlineStr">
        <is>
          <t>3007059566</t>
        </is>
      </c>
      <c r="G50" t="inlineStr">
        <is>
          <t>OC CIERRE</t>
        </is>
      </c>
      <c r="H50" t="inlineStr">
        <is>
          <t>ANTIOQUIA</t>
        </is>
      </c>
      <c r="I50" t="inlineStr">
        <is>
          <t>COCORNA</t>
        </is>
      </c>
      <c r="J50" t="inlineStr">
        <is>
          <t>DISTRICOL VARIEDADES ARCO IRIS</t>
        </is>
      </c>
      <c r="K50" t="inlineStr">
        <is>
          <t>BANCOLOMBIA</t>
        </is>
      </c>
      <c r="L50" t="inlineStr">
        <is>
          <t>FO-25-1297476</t>
        </is>
      </c>
      <c r="M50" s="26" t="n">
        <v>45867.31527777778</v>
      </c>
      <c r="N50" s="26" t="n">
        <v>45873.48888888889</v>
      </c>
      <c r="O50" s="27" t="n">
        <v>0</v>
      </c>
      <c r="P50" t="inlineStr">
        <is>
          <t>AGREGADOR</t>
        </is>
      </c>
      <c r="Q50" t="inlineStr">
        <is>
          <t>DISTRICOL</t>
        </is>
      </c>
      <c r="R50" t="inlineStr">
        <is>
          <t>EJECUTADO / CANCELADO</t>
        </is>
      </c>
      <c r="S50" t="inlineStr">
        <is>
          <t>CB NO ENTREGA EQUIPO</t>
        </is>
      </c>
      <c r="T50" t="inlineStr">
        <is>
          <t>VISITA TECNICA</t>
        </is>
      </c>
      <c r="U50" t="inlineStr">
        <is>
          <t>HA008119</t>
        </is>
      </c>
      <c r="V50" t="inlineStr">
        <is>
          <t>TIPO II</t>
        </is>
      </c>
      <c r="W50" t="inlineStr">
        <is>
          <t>TERRESTRE</t>
        </is>
      </c>
      <c r="X50" t="inlineStr">
        <is>
          <t>RUA ALVAREZ RICHARD ANDRES</t>
        </is>
      </c>
      <c r="Y50" t="inlineStr">
        <is>
          <t>1</t>
        </is>
      </c>
      <c r="Z50" t="inlineStr">
        <is>
          <t>0</t>
        </is>
      </c>
      <c r="AA50" s="27" t="n">
        <v>0</v>
      </c>
      <c r="AB50" s="27" t="n">
        <v>0</v>
      </c>
      <c r="AC50" s="27" t="n">
        <v>0</v>
      </c>
      <c r="AD50" s="27" t="n">
        <v>134411</v>
      </c>
      <c r="AE50" s="27" t="n">
        <v>0</v>
      </c>
    </row>
    <row r="51">
      <c r="A51" t="inlineStr">
        <is>
          <t>APARTADO</t>
        </is>
      </c>
      <c r="B51" t="inlineStr">
        <is>
          <t>NOROCCIDENTE</t>
        </is>
      </c>
      <c r="C51" t="inlineStr">
        <is>
          <t>0004-0005</t>
        </is>
      </c>
      <c r="D51" t="inlineStr">
        <is>
          <t>5490</t>
        </is>
      </c>
      <c r="E51" t="inlineStr">
        <is>
          <t>TA-25-899458</t>
        </is>
      </c>
      <c r="F51" t="inlineStr">
        <is>
          <t>3007071512</t>
        </is>
      </c>
      <c r="G51" t="inlineStr">
        <is>
          <t>OC CIERRE</t>
        </is>
      </c>
      <c r="H51" t="inlineStr">
        <is>
          <t>ANTIOQUIA</t>
        </is>
      </c>
      <c r="I51" t="inlineStr">
        <is>
          <t>NECOCLI</t>
        </is>
      </c>
      <c r="J51" t="inlineStr">
        <is>
          <t>DISTRICOL LA 44 DE DORKI</t>
        </is>
      </c>
      <c r="K51" t="inlineStr">
        <is>
          <t>BANCOLOMBIA</t>
        </is>
      </c>
      <c r="L51" t="inlineStr">
        <is>
          <t>FO-25-1297487</t>
        </is>
      </c>
      <c r="M51" s="26" t="n">
        <v>45867.57222222222</v>
      </c>
      <c r="N51" s="26" t="n">
        <v>45873.37083333333</v>
      </c>
      <c r="O51" s="27" t="n">
        <v>0</v>
      </c>
      <c r="P51" t="inlineStr">
        <is>
          <t>AGREGADOR</t>
        </is>
      </c>
      <c r="Q51" t="inlineStr">
        <is>
          <t>DISTRICOL</t>
        </is>
      </c>
      <c r="R51" t="inlineStr"/>
      <c r="S51" t="inlineStr">
        <is>
          <t>CB NO ENTREGA EQUIPO</t>
        </is>
      </c>
      <c r="T51" t="inlineStr">
        <is>
          <t>SOPORTE TELEFONICO</t>
        </is>
      </c>
      <c r="U51" t="inlineStr"/>
      <c r="V51" t="inlineStr">
        <is>
          <t>TIPO II</t>
        </is>
      </c>
      <c r="W51" t="inlineStr">
        <is>
          <t>TERRESTRE</t>
        </is>
      </c>
      <c r="X51" t="inlineStr">
        <is>
          <t>SALDARRIAGA MIRANDA SANTIAGO</t>
        </is>
      </c>
      <c r="Y51" t="inlineStr">
        <is>
          <t>1</t>
        </is>
      </c>
      <c r="Z51" t="inlineStr">
        <is>
          <t>0</t>
        </is>
      </c>
      <c r="AA51" s="27" t="n">
        <v>0</v>
      </c>
      <c r="AB51" s="27" t="n">
        <v>0</v>
      </c>
      <c r="AC51" s="27" t="n">
        <v>0</v>
      </c>
      <c r="AD51" s="27" t="n">
        <v>37905</v>
      </c>
      <c r="AE51" s="27" t="n">
        <v>0</v>
      </c>
    </row>
    <row r="52">
      <c r="A52" t="inlineStr">
        <is>
          <t>APARTADO</t>
        </is>
      </c>
      <c r="B52" t="inlineStr">
        <is>
          <t>NOROCCIDENTE</t>
        </is>
      </c>
      <c r="C52" t="inlineStr">
        <is>
          <t>0004-0005</t>
        </is>
      </c>
      <c r="D52" t="inlineStr">
        <is>
          <t>5837</t>
        </is>
      </c>
      <c r="E52" t="inlineStr">
        <is>
          <t>TA-25-899462</t>
        </is>
      </c>
      <c r="F52" t="inlineStr">
        <is>
          <t>3007037620</t>
        </is>
      </c>
      <c r="G52" t="inlineStr">
        <is>
          <t>OC CIERRE</t>
        </is>
      </c>
      <c r="H52" t="inlineStr">
        <is>
          <t>ANTIOQUIA</t>
        </is>
      </c>
      <c r="I52" t="inlineStr">
        <is>
          <t>TURBO</t>
        </is>
      </c>
      <c r="J52" t="inlineStr">
        <is>
          <t>DISTRICOL PAPELERIA BEERM</t>
        </is>
      </c>
      <c r="K52" t="inlineStr">
        <is>
          <t>BANCOLOMBIA</t>
        </is>
      </c>
      <c r="L52" t="inlineStr">
        <is>
          <t>FO-25-1297489</t>
        </is>
      </c>
      <c r="M52" s="26" t="n">
        <v>45867.57222222222</v>
      </c>
      <c r="N52" s="26" t="n">
        <v>45873.40972222222</v>
      </c>
      <c r="O52" s="27" t="n">
        <v>0</v>
      </c>
      <c r="P52" t="inlineStr">
        <is>
          <t>AGREGADOR</t>
        </is>
      </c>
      <c r="Q52" t="inlineStr">
        <is>
          <t>DISTRICOL</t>
        </is>
      </c>
      <c r="R52" t="inlineStr"/>
      <c r="S52" t="inlineStr">
        <is>
          <t>CB NO ENTREGA EQUIPO</t>
        </is>
      </c>
      <c r="T52" t="inlineStr">
        <is>
          <t>SOPORTE TELEFONICO</t>
        </is>
      </c>
      <c r="U52" t="inlineStr"/>
      <c r="V52" t="inlineStr">
        <is>
          <t>TIPO II</t>
        </is>
      </c>
      <c r="W52" t="inlineStr">
        <is>
          <t>TERRESTRE</t>
        </is>
      </c>
      <c r="X52" t="inlineStr">
        <is>
          <t>SALDARRIAGA MIRANDA SANTIAGO</t>
        </is>
      </c>
      <c r="Y52" t="inlineStr">
        <is>
          <t>1</t>
        </is>
      </c>
      <c r="Z52" t="inlineStr">
        <is>
          <t>0</t>
        </is>
      </c>
      <c r="AA52" s="27" t="n">
        <v>0</v>
      </c>
      <c r="AB52" s="27" t="n">
        <v>0</v>
      </c>
      <c r="AC52" s="27" t="n">
        <v>0</v>
      </c>
      <c r="AD52" s="27" t="n">
        <v>37905</v>
      </c>
      <c r="AE52" s="27" t="n">
        <v>0</v>
      </c>
    </row>
    <row r="53">
      <c r="A53" t="inlineStr">
        <is>
          <t>APARTADO</t>
        </is>
      </c>
      <c r="B53" t="inlineStr">
        <is>
          <t>NOROCCIDENTE</t>
        </is>
      </c>
      <c r="C53" t="inlineStr">
        <is>
          <t>0004-0005</t>
        </is>
      </c>
      <c r="D53" t="inlineStr">
        <is>
          <t>27615</t>
        </is>
      </c>
      <c r="E53" t="inlineStr">
        <is>
          <t>TA-25-899476</t>
        </is>
      </c>
      <c r="F53" t="inlineStr">
        <is>
          <t>3007058825</t>
        </is>
      </c>
      <c r="G53" t="inlineStr">
        <is>
          <t>OC CIERRE</t>
        </is>
      </c>
      <c r="H53" t="inlineStr">
        <is>
          <t>CHOCO</t>
        </is>
      </c>
      <c r="I53" t="inlineStr">
        <is>
          <t>RIOSUCIO</t>
        </is>
      </c>
      <c r="J53" t="inlineStr">
        <is>
          <t>DISTRICOL MAYORISTA LA BODEGA</t>
        </is>
      </c>
      <c r="K53" t="inlineStr">
        <is>
          <t>BANCOLOMBIA</t>
        </is>
      </c>
      <c r="L53" t="inlineStr">
        <is>
          <t>FO-25-1297516</t>
        </is>
      </c>
      <c r="M53" s="26" t="n">
        <v>45867.43680555555</v>
      </c>
      <c r="N53" s="26" t="n">
        <v>45870.56319444445</v>
      </c>
      <c r="O53" s="27" t="n">
        <v>0</v>
      </c>
      <c r="P53" t="inlineStr">
        <is>
          <t>AGREGADOR</t>
        </is>
      </c>
      <c r="Q53" t="inlineStr">
        <is>
          <t>DISTRICOL</t>
        </is>
      </c>
      <c r="R53" t="inlineStr"/>
      <c r="S53" t="inlineStr">
        <is>
          <t>CB NO ENTREGA EQUIPO</t>
        </is>
      </c>
      <c r="T53" t="inlineStr">
        <is>
          <t>SOPORTE TELEFONICO</t>
        </is>
      </c>
      <c r="U53" t="inlineStr"/>
      <c r="V53" t="inlineStr">
        <is>
          <t>TIPO IV ESPECIAL</t>
        </is>
      </c>
      <c r="W53" t="inlineStr">
        <is>
          <t>TERRESTRE/FLUVIAL</t>
        </is>
      </c>
      <c r="X53" t="inlineStr">
        <is>
          <t>SALDARRIAGA MIRANDA SANTIAGO</t>
        </is>
      </c>
      <c r="Y53" t="inlineStr">
        <is>
          <t>1</t>
        </is>
      </c>
      <c r="Z53" t="inlineStr">
        <is>
          <t>0</t>
        </is>
      </c>
      <c r="AA53" s="27" t="n">
        <v>0</v>
      </c>
      <c r="AB53" s="27" t="n">
        <v>0</v>
      </c>
      <c r="AC53" s="27" t="n">
        <v>0</v>
      </c>
      <c r="AD53" s="27" t="n">
        <v>37905</v>
      </c>
      <c r="AE53" s="27" t="n">
        <v>0</v>
      </c>
    </row>
    <row r="54">
      <c r="A54" t="inlineStr">
        <is>
          <t>MEDELLIN</t>
        </is>
      </c>
      <c r="B54" t="inlineStr">
        <is>
          <t>NOROCCIDENTE</t>
        </is>
      </c>
      <c r="C54" t="inlineStr">
        <is>
          <t>0004-0005</t>
        </is>
      </c>
      <c r="D54" t="inlineStr">
        <is>
          <t>5001</t>
        </is>
      </c>
      <c r="E54" t="inlineStr">
        <is>
          <t>TA-25-899481</t>
        </is>
      </c>
      <c r="F54" t="inlineStr">
        <is>
          <t>3007032236</t>
        </is>
      </c>
      <c r="G54" t="inlineStr">
        <is>
          <t>OC CIERRE</t>
        </is>
      </c>
      <c r="H54" t="inlineStr">
        <is>
          <t>ANTIOQUIA</t>
        </is>
      </c>
      <c r="I54" t="inlineStr">
        <is>
          <t>MEDELLIN</t>
        </is>
      </c>
      <c r="J54" t="inlineStr">
        <is>
          <t>COMCARD MED PIEDRANET 2</t>
        </is>
      </c>
      <c r="K54" t="inlineStr">
        <is>
          <t>BANCOLOMBIA</t>
        </is>
      </c>
      <c r="L54" t="inlineStr">
        <is>
          <t>FO-25-1297532</t>
        </is>
      </c>
      <c r="M54" s="26" t="n">
        <v>45867.50416666667</v>
      </c>
      <c r="N54" s="26" t="n">
        <v>45873.33611111111</v>
      </c>
      <c r="O54" s="27" t="n">
        <v>0</v>
      </c>
      <c r="P54" t="inlineStr">
        <is>
          <t>AGREGADOR</t>
        </is>
      </c>
      <c r="Q54" t="inlineStr">
        <is>
          <t>COMCARD - PTM</t>
        </is>
      </c>
      <c r="R54" t="inlineStr">
        <is>
          <t>CANCELADO</t>
        </is>
      </c>
      <c r="S54" t="inlineStr">
        <is>
          <t>CB CERRADO - DESOCUPADO</t>
        </is>
      </c>
      <c r="T54" t="inlineStr">
        <is>
          <t>VISITA TECNICA</t>
        </is>
      </c>
      <c r="U54" t="inlineStr">
        <is>
          <t xml:space="preserve">NO DISPONIBLE </t>
        </is>
      </c>
      <c r="V54" t="inlineStr">
        <is>
          <t>TIPO I</t>
        </is>
      </c>
      <c r="W54" t="inlineStr">
        <is>
          <t>TERRESTRE</t>
        </is>
      </c>
      <c r="X54" t="inlineStr">
        <is>
          <t>BADEL ACUÑA LUIS ALBERTO</t>
        </is>
      </c>
      <c r="Y54" t="inlineStr">
        <is>
          <t>1</t>
        </is>
      </c>
      <c r="Z54" t="inlineStr">
        <is>
          <t>0</t>
        </is>
      </c>
      <c r="AA54" s="27" t="n">
        <v>0</v>
      </c>
      <c r="AB54" s="27" t="n">
        <v>0</v>
      </c>
      <c r="AC54" s="27" t="n">
        <v>0</v>
      </c>
      <c r="AD54" s="27" t="n">
        <v>44560</v>
      </c>
      <c r="AE54" s="27" t="n">
        <v>0</v>
      </c>
    </row>
    <row r="55">
      <c r="A55" t="inlineStr">
        <is>
          <t>CALI</t>
        </is>
      </c>
      <c r="B55" t="inlineStr">
        <is>
          <t>SUROCCIDENTE Y EJE CAFETERO</t>
        </is>
      </c>
      <c r="C55" t="inlineStr">
        <is>
          <t>0004-0003</t>
        </is>
      </c>
      <c r="D55" t="inlineStr">
        <is>
          <t>76001</t>
        </is>
      </c>
      <c r="E55" t="inlineStr">
        <is>
          <t>TA-25-899505</t>
        </is>
      </c>
      <c r="F55" t="inlineStr">
        <is>
          <t>3007065166</t>
        </is>
      </c>
      <c r="G55" t="inlineStr">
        <is>
          <t>OC CIERRE</t>
        </is>
      </c>
      <c r="H55" t="inlineStr">
        <is>
          <t>VALLE DEL CAUCA</t>
        </is>
      </c>
      <c r="I55" t="inlineStr">
        <is>
          <t>CALI</t>
        </is>
      </c>
      <c r="J55" t="inlineStr">
        <is>
          <t>PTM CALI NARU STORE</t>
        </is>
      </c>
      <c r="K55" t="inlineStr">
        <is>
          <t>BANCOLOMBIA</t>
        </is>
      </c>
      <c r="L55" t="inlineStr">
        <is>
          <t>FO-25-1297596</t>
        </is>
      </c>
      <c r="M55" s="26" t="n">
        <v>45867.77847222222</v>
      </c>
      <c r="N55" s="26" t="n">
        <v>45870.46319444444</v>
      </c>
      <c r="O55" s="27" t="n">
        <v>0</v>
      </c>
      <c r="P55" t="inlineStr">
        <is>
          <t>AGREGADOR</t>
        </is>
      </c>
      <c r="Q55" t="inlineStr">
        <is>
          <t>COMCARD - PTM</t>
        </is>
      </c>
      <c r="R55" t="inlineStr">
        <is>
          <t>EJECUTADO / CANCELADO</t>
        </is>
      </c>
      <c r="S55" t="inlineStr">
        <is>
          <t>CB CERRADO - DESOCUPADO</t>
        </is>
      </c>
      <c r="T55" t="inlineStr">
        <is>
          <t>VISITA TECNICA</t>
        </is>
      </c>
      <c r="U55" t="inlineStr"/>
      <c r="V55" t="inlineStr">
        <is>
          <t>TIPO I</t>
        </is>
      </c>
      <c r="W55" t="inlineStr">
        <is>
          <t>TERRESTRE</t>
        </is>
      </c>
      <c r="X55" t="inlineStr">
        <is>
          <t>TORRES GARCIA JENDRY JOSE</t>
        </is>
      </c>
      <c r="Y55" t="inlineStr">
        <is>
          <t>1</t>
        </is>
      </c>
      <c r="Z55" t="inlineStr">
        <is>
          <t>0</t>
        </is>
      </c>
      <c r="AA55" s="27" t="n">
        <v>0</v>
      </c>
      <c r="AB55" s="27" t="n">
        <v>0</v>
      </c>
      <c r="AC55" s="27" t="n">
        <v>0</v>
      </c>
      <c r="AD55" s="27" t="n">
        <v>44560</v>
      </c>
      <c r="AE55" s="27" t="n">
        <v>0</v>
      </c>
    </row>
    <row r="56">
      <c r="A56" t="inlineStr">
        <is>
          <t>BOGOTA</t>
        </is>
      </c>
      <c r="B56" t="inlineStr">
        <is>
          <t>CUNDINAMARCA</t>
        </is>
      </c>
      <c r="C56" t="inlineStr">
        <is>
          <t>0004-0004</t>
        </is>
      </c>
      <c r="D56" t="inlineStr">
        <is>
          <t>11001</t>
        </is>
      </c>
      <c r="E56" t="inlineStr">
        <is>
          <t>TA-25-899547</t>
        </is>
      </c>
      <c r="F56" t="inlineStr">
        <is>
          <t>3007070302</t>
        </is>
      </c>
      <c r="G56" t="inlineStr">
        <is>
          <t>OC CIERRE</t>
        </is>
      </c>
      <c r="H56" t="inlineStr">
        <is>
          <t>CUNDINAMARCA</t>
        </is>
      </c>
      <c r="I56" t="inlineStr">
        <is>
          <t>BOGOTA</t>
        </is>
      </c>
      <c r="J56" t="inlineStr">
        <is>
          <t>PTM BOGOTA  DISTRI CASTEL SAS</t>
        </is>
      </c>
      <c r="K56" t="inlineStr">
        <is>
          <t>BANCOLOMBIA</t>
        </is>
      </c>
      <c r="L56" t="inlineStr">
        <is>
          <t>FO-25-1297618</t>
        </is>
      </c>
      <c r="M56" s="26" t="n">
        <v>45867.73680555556</v>
      </c>
      <c r="N56" s="26" t="n">
        <v>45871.68611111111</v>
      </c>
      <c r="O56" s="27" t="n">
        <v>0</v>
      </c>
      <c r="P56" t="inlineStr">
        <is>
          <t>AGREGADOR</t>
        </is>
      </c>
      <c r="Q56" t="inlineStr">
        <is>
          <t>COMCARD - PTM</t>
        </is>
      </c>
      <c r="R56" t="inlineStr">
        <is>
          <t>EJECUTADO / CANCELADO</t>
        </is>
      </c>
      <c r="S56" t="inlineStr">
        <is>
          <t>CB CERRADO - DESOCUPADO</t>
        </is>
      </c>
      <c r="T56" t="inlineStr">
        <is>
          <t>VISITA TECNICA</t>
        </is>
      </c>
      <c r="U56" t="inlineStr">
        <is>
          <t>O</t>
        </is>
      </c>
      <c r="V56" t="inlineStr">
        <is>
          <t>TIPO I</t>
        </is>
      </c>
      <c r="W56" t="inlineStr">
        <is>
          <t>TERRESTRE</t>
        </is>
      </c>
      <c r="X56" t="inlineStr">
        <is>
          <t>SOTO MUNAR DYLAN DAVID</t>
        </is>
      </c>
      <c r="Y56" t="inlineStr">
        <is>
          <t>1</t>
        </is>
      </c>
      <c r="Z56" t="inlineStr">
        <is>
          <t>0</t>
        </is>
      </c>
      <c r="AA56" s="27" t="n">
        <v>0</v>
      </c>
      <c r="AB56" s="27" t="n">
        <v>0</v>
      </c>
      <c r="AC56" s="27" t="n">
        <v>0</v>
      </c>
      <c r="AD56" s="27" t="n">
        <v>44560</v>
      </c>
      <c r="AE56" s="27" t="n">
        <v>0</v>
      </c>
    </row>
    <row r="57">
      <c r="A57" t="inlineStr">
        <is>
          <t>VILLAVICENCIO</t>
        </is>
      </c>
      <c r="B57" t="inlineStr">
        <is>
          <t>REMOTAS</t>
        </is>
      </c>
      <c r="C57" t="inlineStr">
        <is>
          <t>0004-0007</t>
        </is>
      </c>
      <c r="D57" t="inlineStr">
        <is>
          <t>50568</t>
        </is>
      </c>
      <c r="E57" t="inlineStr">
        <is>
          <t>TA-25-903370</t>
        </is>
      </c>
      <c r="F57" t="inlineStr">
        <is>
          <t>3007072483</t>
        </is>
      </c>
      <c r="G57" t="inlineStr">
        <is>
          <t>OC CIERRE</t>
        </is>
      </c>
      <c r="H57" t="inlineStr">
        <is>
          <t>META</t>
        </is>
      </c>
      <c r="I57" t="inlineStr">
        <is>
          <t>PUERTO GAITAN</t>
        </is>
      </c>
      <c r="J57" t="inlineStr">
        <is>
          <t>BARRIO PUERTO GAITAN BATEAS</t>
        </is>
      </c>
      <c r="K57" t="inlineStr">
        <is>
          <t>BANCOLOMBIA</t>
        </is>
      </c>
      <c r="L57" t="inlineStr">
        <is>
          <t>FO-25-1303399</t>
        </is>
      </c>
      <c r="M57" s="26" t="n">
        <v>45868.28541666667</v>
      </c>
      <c r="N57" s="26" t="n">
        <v>45870.57847222222</v>
      </c>
      <c r="O57" s="27" t="n">
        <v>0</v>
      </c>
      <c r="P57" t="inlineStr">
        <is>
          <t>UNO A UNO</t>
        </is>
      </c>
      <c r="Q57" t="inlineStr">
        <is>
          <t>UNO A UNO</t>
        </is>
      </c>
      <c r="R57" t="inlineStr">
        <is>
          <t>EJECUTADO / CANCELADO</t>
        </is>
      </c>
      <c r="S57" t="inlineStr">
        <is>
          <t>CB CERRADO - DESOCUPADO</t>
        </is>
      </c>
      <c r="T57" t="inlineStr">
        <is>
          <t>VISITA TECNICA</t>
        </is>
      </c>
      <c r="U57" t="inlineStr"/>
      <c r="V57" t="inlineStr">
        <is>
          <t>TIPO III</t>
        </is>
      </c>
      <c r="W57" t="inlineStr">
        <is>
          <t>TERRESTRE</t>
        </is>
      </c>
      <c r="X57" t="inlineStr">
        <is>
          <t>CASTRILLON URREA LONDIER LEANDRO</t>
        </is>
      </c>
      <c r="Y57" t="inlineStr">
        <is>
          <t>1</t>
        </is>
      </c>
      <c r="Z57" t="inlineStr">
        <is>
          <t>0</t>
        </is>
      </c>
      <c r="AA57" s="27" t="n">
        <v>0</v>
      </c>
      <c r="AB57" s="27" t="n">
        <v>0</v>
      </c>
      <c r="AC57" s="27" t="n">
        <v>0</v>
      </c>
      <c r="AD57" s="27" t="n">
        <v>222904</v>
      </c>
      <c r="AE57" s="27" t="n">
        <v>0</v>
      </c>
    </row>
    <row r="58">
      <c r="A58" t="inlineStr">
        <is>
          <t>CARTAGENA</t>
        </is>
      </c>
      <c r="B58" t="inlineStr">
        <is>
          <t>COSTA</t>
        </is>
      </c>
      <c r="C58" t="inlineStr">
        <is>
          <t>0004-0001</t>
        </is>
      </c>
      <c r="D58" t="inlineStr">
        <is>
          <t>13001</t>
        </is>
      </c>
      <c r="E58" t="inlineStr">
        <is>
          <t>TA-25-904648</t>
        </is>
      </c>
      <c r="F58" t="inlineStr">
        <is>
          <t>3007043018</t>
        </is>
      </c>
      <c r="G58" t="inlineStr">
        <is>
          <t>OC CIERRE</t>
        </is>
      </c>
      <c r="H58" t="inlineStr">
        <is>
          <t>BOLIVAR</t>
        </is>
      </c>
      <c r="I58" t="inlineStr">
        <is>
          <t>CARTAGENA</t>
        </is>
      </c>
      <c r="J58" t="inlineStr">
        <is>
          <t>BARRIO LA CORDIALIDAD CARTAGEN</t>
        </is>
      </c>
      <c r="K58" t="inlineStr">
        <is>
          <t>BANCOLOMBIA</t>
        </is>
      </c>
      <c r="L58" t="inlineStr">
        <is>
          <t>FO-25-1305901</t>
        </is>
      </c>
      <c r="M58" s="26" t="n">
        <v>45868.52291666667</v>
      </c>
      <c r="N58" s="26" t="n">
        <v>45873.69583333333</v>
      </c>
      <c r="O58" s="27" t="n">
        <v>0</v>
      </c>
      <c r="P58" t="inlineStr">
        <is>
          <t>UNO A UNO</t>
        </is>
      </c>
      <c r="Q58" t="inlineStr">
        <is>
          <t>CB UNO A UNO</t>
        </is>
      </c>
      <c r="R58" t="inlineStr">
        <is>
          <t>EJECUTADO</t>
        </is>
      </c>
      <c r="S58" t="inlineStr">
        <is>
          <t>PARCIAL EXITOSO PTE. DATAFONO</t>
        </is>
      </c>
      <c r="T58" t="inlineStr">
        <is>
          <t>VISITA TECNICA</t>
        </is>
      </c>
      <c r="U58" t="inlineStr">
        <is>
          <t>AB9ZZ980</t>
        </is>
      </c>
      <c r="V58" t="inlineStr">
        <is>
          <t>TIPO I</t>
        </is>
      </c>
      <c r="W58" t="inlineStr">
        <is>
          <t>TERRESTRE</t>
        </is>
      </c>
      <c r="X58" t="inlineStr">
        <is>
          <t>CANEDO HERRERA ALEXANDER</t>
        </is>
      </c>
      <c r="Y58" t="inlineStr">
        <is>
          <t>1</t>
        </is>
      </c>
      <c r="Z58" t="inlineStr">
        <is>
          <t>0</t>
        </is>
      </c>
      <c r="AA58" s="27" t="n">
        <v>0</v>
      </c>
      <c r="AB58" s="27" t="n">
        <v>0</v>
      </c>
      <c r="AC58" s="27" t="n">
        <v>0</v>
      </c>
      <c r="AD58" s="27" t="n">
        <v>44560</v>
      </c>
      <c r="AE58" s="27" t="n">
        <v>0</v>
      </c>
    </row>
    <row r="59">
      <c r="A59" t="inlineStr">
        <is>
          <t>BOGOTA</t>
        </is>
      </c>
      <c r="B59" t="inlineStr">
        <is>
          <t>CUNDINAMARCA</t>
        </is>
      </c>
      <c r="C59" t="inlineStr">
        <is>
          <t>0004-0004</t>
        </is>
      </c>
      <c r="D59" t="inlineStr">
        <is>
          <t>11001</t>
        </is>
      </c>
      <c r="E59" t="inlineStr">
        <is>
          <t>TA-25-906294</t>
        </is>
      </c>
      <c r="F59" t="inlineStr">
        <is>
          <t>3007056731</t>
        </is>
      </c>
      <c r="G59" t="inlineStr">
        <is>
          <t>OC CIERRE</t>
        </is>
      </c>
      <c r="H59" t="inlineStr">
        <is>
          <t>CUNDINAMARCA</t>
        </is>
      </c>
      <c r="I59" t="inlineStr">
        <is>
          <t>BOGOTA</t>
        </is>
      </c>
      <c r="J59" t="inlineStr">
        <is>
          <t>DISTRICOL VARIEDADES TIN</t>
        </is>
      </c>
      <c r="K59" t="inlineStr">
        <is>
          <t>BANCOLOMBIA</t>
        </is>
      </c>
      <c r="L59" t="inlineStr">
        <is>
          <t>FO-25-1308178</t>
        </is>
      </c>
      <c r="M59" s="26" t="n">
        <v>45868.36527777778</v>
      </c>
      <c r="N59" s="26" t="n">
        <v>45870.64652777778</v>
      </c>
      <c r="O59" s="27" t="n">
        <v>0</v>
      </c>
      <c r="P59" t="inlineStr">
        <is>
          <t>AGREGADOR</t>
        </is>
      </c>
      <c r="Q59" t="inlineStr">
        <is>
          <t>DISTRICOL</t>
        </is>
      </c>
      <c r="R59" t="inlineStr">
        <is>
          <t>EJECUTADO / CANCELADO</t>
        </is>
      </c>
      <c r="S59" t="inlineStr">
        <is>
          <t>CB CERRADO - DESOCUPADO</t>
        </is>
      </c>
      <c r="T59" t="inlineStr">
        <is>
          <t>VISITA TECNICA</t>
        </is>
      </c>
      <c r="U59" t="inlineStr"/>
      <c r="V59" t="inlineStr">
        <is>
          <t>TIPO I</t>
        </is>
      </c>
      <c r="W59" t="inlineStr">
        <is>
          <t>TERRESTRE</t>
        </is>
      </c>
      <c r="X59" t="inlineStr">
        <is>
          <t>GALEANO SORIANO JUAN DAVID</t>
        </is>
      </c>
      <c r="Y59" t="inlineStr">
        <is>
          <t>1</t>
        </is>
      </c>
      <c r="Z59" t="inlineStr">
        <is>
          <t>0</t>
        </is>
      </c>
      <c r="AA59" s="27" t="n">
        <v>0</v>
      </c>
      <c r="AB59" s="27" t="n">
        <v>0</v>
      </c>
      <c r="AC59" s="27" t="n">
        <v>0</v>
      </c>
      <c r="AD59" s="27" t="n">
        <v>44560</v>
      </c>
      <c r="AE59" s="27" t="n">
        <v>0</v>
      </c>
    </row>
    <row r="60">
      <c r="A60" t="inlineStr">
        <is>
          <t>MEDELLIN</t>
        </is>
      </c>
      <c r="B60" t="inlineStr">
        <is>
          <t>NOROCCIDENTE</t>
        </is>
      </c>
      <c r="C60" t="inlineStr">
        <is>
          <t>0004-0005</t>
        </is>
      </c>
      <c r="D60" t="inlineStr">
        <is>
          <t>5129</t>
        </is>
      </c>
      <c r="E60" t="inlineStr">
        <is>
          <t>TA-25-906300</t>
        </is>
      </c>
      <c r="F60" t="inlineStr">
        <is>
          <t>3007077924</t>
        </is>
      </c>
      <c r="G60" t="inlineStr">
        <is>
          <t>OC CIERRE</t>
        </is>
      </c>
      <c r="H60" t="inlineStr">
        <is>
          <t>ANTIOQUIA</t>
        </is>
      </c>
      <c r="I60" t="inlineStr">
        <is>
          <t>CALDAS</t>
        </is>
      </c>
      <c r="J60" t="inlineStr">
        <is>
          <t>BARRIO LA PLAYITA CALDAS</t>
        </is>
      </c>
      <c r="K60" t="inlineStr">
        <is>
          <t>BANCOLOMBIA</t>
        </is>
      </c>
      <c r="L60" t="inlineStr">
        <is>
          <t>FO-25-1322039</t>
        </is>
      </c>
      <c r="M60" s="26" t="n">
        <v>45868.74930555555</v>
      </c>
      <c r="N60" s="26" t="n">
        <v>45873.57083333333</v>
      </c>
      <c r="O60" s="27" t="n">
        <v>0</v>
      </c>
      <c r="P60" t="inlineStr">
        <is>
          <t>UNO A UNO</t>
        </is>
      </c>
      <c r="Q60" t="inlineStr">
        <is>
          <t>UNO A UNO</t>
        </is>
      </c>
      <c r="R60" t="inlineStr">
        <is>
          <t>EJECUTADO</t>
        </is>
      </c>
      <c r="S60" t="inlineStr">
        <is>
          <t>CIERRE EXITOSO</t>
        </is>
      </c>
      <c r="T60" t="inlineStr">
        <is>
          <t>VISITA TECNICA</t>
        </is>
      </c>
      <c r="U60" t="inlineStr">
        <is>
          <t>A1NZZ977</t>
        </is>
      </c>
      <c r="V60" t="inlineStr">
        <is>
          <t>TIPO I</t>
        </is>
      </c>
      <c r="W60" t="inlineStr">
        <is>
          <t>TERRESTRE</t>
        </is>
      </c>
      <c r="X60" t="inlineStr">
        <is>
          <t>HERNANDEZ CHAVARRIA JUAN CAMILO</t>
        </is>
      </c>
      <c r="Y60" t="inlineStr">
        <is>
          <t>2</t>
        </is>
      </c>
      <c r="Z60" t="inlineStr">
        <is>
          <t>0</t>
        </is>
      </c>
      <c r="AA60" s="27" t="n">
        <v>0</v>
      </c>
      <c r="AB60" s="27" t="n">
        <v>0</v>
      </c>
      <c r="AC60" s="27" t="n">
        <v>0</v>
      </c>
      <c r="AD60" s="27" t="n">
        <v>44560</v>
      </c>
      <c r="AE60" s="27" t="n">
        <v>0</v>
      </c>
    </row>
    <row r="61">
      <c r="A61" t="inlineStr">
        <is>
          <t>TUNJA</t>
        </is>
      </c>
      <c r="B61" t="inlineStr">
        <is>
          <t>SANTANDERES</t>
        </is>
      </c>
      <c r="C61" t="inlineStr">
        <is>
          <t>0004-0008</t>
        </is>
      </c>
      <c r="D61" t="inlineStr">
        <is>
          <t>15001</t>
        </is>
      </c>
      <c r="E61" t="inlineStr">
        <is>
          <t>TA-25-906307</t>
        </is>
      </c>
      <c r="F61" t="inlineStr">
        <is>
          <t>3007062298</t>
        </is>
      </c>
      <c r="G61" t="inlineStr">
        <is>
          <t>OC CIERRE</t>
        </is>
      </c>
      <c r="H61" t="inlineStr">
        <is>
          <t>BOYACA</t>
        </is>
      </c>
      <c r="I61" t="inlineStr">
        <is>
          <t>TUNJA</t>
        </is>
      </c>
      <c r="J61" t="inlineStr">
        <is>
          <t>BARRIO COEDUCADORES TUNJA 1</t>
        </is>
      </c>
      <c r="K61" t="inlineStr">
        <is>
          <t>BANCOLOMBIA</t>
        </is>
      </c>
      <c r="L61" t="inlineStr">
        <is>
          <t>FO-25-1317256</t>
        </is>
      </c>
      <c r="M61" s="26" t="n">
        <v>45868.84652777778</v>
      </c>
      <c r="N61" s="26" t="n">
        <v>45871.72986111111</v>
      </c>
      <c r="O61" s="27" t="n">
        <v>0</v>
      </c>
      <c r="P61" t="inlineStr">
        <is>
          <t>UNO A UNO</t>
        </is>
      </c>
      <c r="Q61" t="inlineStr">
        <is>
          <t>CB UNO A UNO</t>
        </is>
      </c>
      <c r="R61" t="inlineStr">
        <is>
          <t>EJECUTADO / CANCELADO</t>
        </is>
      </c>
      <c r="S61" t="inlineStr">
        <is>
          <t>CB NO ENTREGA EQUIPO</t>
        </is>
      </c>
      <c r="T61" t="inlineStr">
        <is>
          <t>VISITA TECNICA</t>
        </is>
      </c>
      <c r="U61" t="inlineStr">
        <is>
          <t>OA00C217</t>
        </is>
      </c>
      <c r="V61" t="inlineStr">
        <is>
          <t>TIPO I</t>
        </is>
      </c>
      <c r="W61" t="inlineStr">
        <is>
          <t>TERRESTRE</t>
        </is>
      </c>
      <c r="X61" t="inlineStr">
        <is>
          <t>RODRIGUEZ MURCIA YERSON IVAN</t>
        </is>
      </c>
      <c r="Y61" t="inlineStr">
        <is>
          <t>2</t>
        </is>
      </c>
      <c r="Z61" t="inlineStr">
        <is>
          <t>0</t>
        </is>
      </c>
      <c r="AA61" s="27" t="n">
        <v>0</v>
      </c>
      <c r="AB61" s="27" t="n">
        <v>0</v>
      </c>
      <c r="AC61" s="27" t="n">
        <v>0</v>
      </c>
      <c r="AD61" s="27" t="n">
        <v>89120</v>
      </c>
      <c r="AE61" s="27" t="n">
        <v>0</v>
      </c>
    </row>
    <row r="62">
      <c r="A62" t="inlineStr">
        <is>
          <t>BOGOTA</t>
        </is>
      </c>
      <c r="B62" t="inlineStr">
        <is>
          <t>CUNDINAMARCA</t>
        </is>
      </c>
      <c r="C62" t="inlineStr">
        <is>
          <t>0004-0004</t>
        </is>
      </c>
      <c r="D62" t="inlineStr">
        <is>
          <t>25817</t>
        </is>
      </c>
      <c r="E62" t="inlineStr">
        <is>
          <t>TA-25-906311</t>
        </is>
      </c>
      <c r="F62" t="inlineStr">
        <is>
          <t>3007015820</t>
        </is>
      </c>
      <c r="G62" t="inlineStr">
        <is>
          <t>OC CIERRE</t>
        </is>
      </c>
      <c r="H62" t="inlineStr">
        <is>
          <t>CUNDINAMARCA</t>
        </is>
      </c>
      <c r="I62" t="inlineStr">
        <is>
          <t>TOCANCIPA</t>
        </is>
      </c>
      <c r="J62" t="inlineStr">
        <is>
          <t>BARRIO VD LA FUENTE TOCANCIPA</t>
        </is>
      </c>
      <c r="K62" t="inlineStr">
        <is>
          <t>BANCOLOMBIA</t>
        </is>
      </c>
      <c r="L62" t="inlineStr">
        <is>
          <t>FO-25-1308234</t>
        </is>
      </c>
      <c r="M62" s="26" t="n">
        <v>45868.73125</v>
      </c>
      <c r="N62" s="26" t="n">
        <v>45870.65972222222</v>
      </c>
      <c r="O62" s="27" t="n">
        <v>0</v>
      </c>
      <c r="P62" t="inlineStr">
        <is>
          <t>CB UNO A UNO</t>
        </is>
      </c>
      <c r="Q62" t="inlineStr">
        <is>
          <t>CB UNO A UNO</t>
        </is>
      </c>
      <c r="R62" t="inlineStr">
        <is>
          <t>EJECUTADO / CANCELADO</t>
        </is>
      </c>
      <c r="S62" t="inlineStr">
        <is>
          <t>CB NO ENTREGA EQUIPO</t>
        </is>
      </c>
      <c r="T62" t="inlineStr">
        <is>
          <t>VISITA TECNICA</t>
        </is>
      </c>
      <c r="U62" t="inlineStr">
        <is>
          <t>7ZZZZ964</t>
        </is>
      </c>
      <c r="V62" t="inlineStr">
        <is>
          <t>TIPO II</t>
        </is>
      </c>
      <c r="W62" t="inlineStr">
        <is>
          <t>TERRESTRE</t>
        </is>
      </c>
      <c r="X62" t="inlineStr">
        <is>
          <t>HERNANDEZ NARANJO OSCAR EDUARDO</t>
        </is>
      </c>
      <c r="Y62" t="inlineStr">
        <is>
          <t>1</t>
        </is>
      </c>
      <c r="Z62" t="inlineStr">
        <is>
          <t>0</t>
        </is>
      </c>
      <c r="AA62" s="27" t="n">
        <v>0</v>
      </c>
      <c r="AB62" s="27" t="n">
        <v>0</v>
      </c>
      <c r="AC62" s="27" t="n">
        <v>0</v>
      </c>
      <c r="AD62" s="27" t="n">
        <v>134411</v>
      </c>
      <c r="AE62" s="27" t="n">
        <v>0</v>
      </c>
    </row>
    <row r="63">
      <c r="A63" t="inlineStr">
        <is>
          <t>BOGOTA</t>
        </is>
      </c>
      <c r="B63" t="inlineStr">
        <is>
          <t>CUNDINAMARCA</t>
        </is>
      </c>
      <c r="C63" t="inlineStr">
        <is>
          <t>0004-0004</t>
        </is>
      </c>
      <c r="D63" t="inlineStr">
        <is>
          <t>25899</t>
        </is>
      </c>
      <c r="E63" t="inlineStr">
        <is>
          <t>TA-25-906313</t>
        </is>
      </c>
      <c r="F63" t="inlineStr">
        <is>
          <t>3007076992</t>
        </is>
      </c>
      <c r="G63" t="inlineStr">
        <is>
          <t>OC CIERRE</t>
        </is>
      </c>
      <c r="H63" t="inlineStr">
        <is>
          <t>CUNDINAMARCA</t>
        </is>
      </c>
      <c r="I63" t="inlineStr">
        <is>
          <t>ZIPAQUIRA</t>
        </is>
      </c>
      <c r="J63" t="inlineStr">
        <is>
          <t>BARRIO SAN PABLO ZIPAQUIRA 2</t>
        </is>
      </c>
      <c r="K63" t="inlineStr">
        <is>
          <t>BANCOLOMBIA</t>
        </is>
      </c>
      <c r="L63" t="inlineStr">
        <is>
          <t>FO-25-1328260</t>
        </is>
      </c>
      <c r="M63" s="26" t="n">
        <v>45868.57083333333</v>
      </c>
      <c r="N63" s="26" t="n">
        <v>45874.50902777778</v>
      </c>
      <c r="O63" s="27" t="n">
        <v>0</v>
      </c>
      <c r="P63" t="inlineStr">
        <is>
          <t>UNO A UNO</t>
        </is>
      </c>
      <c r="Q63" t="inlineStr">
        <is>
          <t>UNO A UNO</t>
        </is>
      </c>
      <c r="R63" t="inlineStr">
        <is>
          <t>EJECUTADO</t>
        </is>
      </c>
      <c r="S63" t="inlineStr">
        <is>
          <t>CIERRE EXITOSO</t>
        </is>
      </c>
      <c r="T63" t="inlineStr">
        <is>
          <t>VISITA TECNICA</t>
        </is>
      </c>
      <c r="U63" t="inlineStr">
        <is>
          <t>A18ZZ429</t>
        </is>
      </c>
      <c r="V63" t="inlineStr">
        <is>
          <t>TIPO II</t>
        </is>
      </c>
      <c r="W63" t="inlineStr">
        <is>
          <t>TERRESTRE</t>
        </is>
      </c>
      <c r="X63" t="inlineStr">
        <is>
          <t>GALEANO SORIANO JUAN DAVID</t>
        </is>
      </c>
      <c r="Y63" t="inlineStr">
        <is>
          <t>2</t>
        </is>
      </c>
      <c r="Z63" t="inlineStr">
        <is>
          <t>0</t>
        </is>
      </c>
      <c r="AA63" s="27" t="n">
        <v>0</v>
      </c>
      <c r="AB63" s="27" t="n">
        <v>0</v>
      </c>
      <c r="AC63" s="27" t="n">
        <v>0</v>
      </c>
      <c r="AD63" s="27" t="n">
        <v>134411</v>
      </c>
      <c r="AE63" s="27" t="n">
        <v>0</v>
      </c>
    </row>
    <row r="64">
      <c r="A64" t="inlineStr">
        <is>
          <t>NEIVA</t>
        </is>
      </c>
      <c r="B64" t="inlineStr">
        <is>
          <t>REMOTAS</t>
        </is>
      </c>
      <c r="C64" t="inlineStr">
        <is>
          <t>0004-0007</t>
        </is>
      </c>
      <c r="D64" t="inlineStr">
        <is>
          <t>41551</t>
        </is>
      </c>
      <c r="E64" t="inlineStr">
        <is>
          <t>TA-25-906314</t>
        </is>
      </c>
      <c r="F64" t="inlineStr">
        <is>
          <t>3007040634</t>
        </is>
      </c>
      <c r="G64" t="inlineStr">
        <is>
          <t>OC CIERRE</t>
        </is>
      </c>
      <c r="H64" t="inlineStr">
        <is>
          <t>HUILA</t>
        </is>
      </c>
      <c r="I64" t="inlineStr">
        <is>
          <t>PITALITO</t>
        </is>
      </c>
      <c r="J64" t="inlineStr">
        <is>
          <t>BARRIO CENTRO PITALITO 3</t>
        </is>
      </c>
      <c r="K64" t="inlineStr">
        <is>
          <t>BANCOLOMBIA</t>
        </is>
      </c>
      <c r="L64" t="inlineStr">
        <is>
          <t>FO-25-1322064</t>
        </is>
      </c>
      <c r="M64" s="26" t="n">
        <v>45868.2875</v>
      </c>
      <c r="N64" s="26" t="n">
        <v>45875.4625</v>
      </c>
      <c r="O64" s="27" t="n">
        <v>0</v>
      </c>
      <c r="P64" t="inlineStr">
        <is>
          <t>UNO A UNO</t>
        </is>
      </c>
      <c r="Q64" t="inlineStr">
        <is>
          <t>CB UNO A UNO</t>
        </is>
      </c>
      <c r="R64" t="inlineStr">
        <is>
          <t>EJECUTADO</t>
        </is>
      </c>
      <c r="S64" t="inlineStr">
        <is>
          <t>CIERRE EXITOSO</t>
        </is>
      </c>
      <c r="T64" t="inlineStr">
        <is>
          <t>VISITA TECNICA</t>
        </is>
      </c>
      <c r="U64" t="inlineStr">
        <is>
          <t>00AVX001-9A0OZ212</t>
        </is>
      </c>
      <c r="V64" t="inlineStr">
        <is>
          <t>TIPO III</t>
        </is>
      </c>
      <c r="W64" t="inlineStr">
        <is>
          <t>TERRESTRE</t>
        </is>
      </c>
      <c r="X64" t="inlineStr">
        <is>
          <t>ANDRADE HERNANDEZ JUAN CARLOS</t>
        </is>
      </c>
      <c r="Y64" t="inlineStr">
        <is>
          <t>2</t>
        </is>
      </c>
      <c r="Z64" t="inlineStr">
        <is>
          <t>0</t>
        </is>
      </c>
      <c r="AA64" s="27" t="n">
        <v>0</v>
      </c>
      <c r="AB64" s="27" t="n">
        <v>0</v>
      </c>
      <c r="AC64" s="27" t="n">
        <v>0</v>
      </c>
      <c r="AD64" s="27" t="n">
        <v>222904</v>
      </c>
      <c r="AE64" s="27" t="n">
        <v>0</v>
      </c>
    </row>
    <row r="65">
      <c r="A65" t="inlineStr">
        <is>
          <t>NEIVA</t>
        </is>
      </c>
      <c r="B65" t="inlineStr">
        <is>
          <t>REMOTAS</t>
        </is>
      </c>
      <c r="C65" t="inlineStr">
        <is>
          <t>0004-0007</t>
        </is>
      </c>
      <c r="D65" t="inlineStr">
        <is>
          <t>41615</t>
        </is>
      </c>
      <c r="E65" t="inlineStr">
        <is>
          <t>TA-25-906315</t>
        </is>
      </c>
      <c r="F65" t="inlineStr">
        <is>
          <t>3007078964</t>
        </is>
      </c>
      <c r="G65" t="inlineStr">
        <is>
          <t>OC CIERRE</t>
        </is>
      </c>
      <c r="H65" t="inlineStr">
        <is>
          <t>HUILA</t>
        </is>
      </c>
      <c r="I65" t="inlineStr">
        <is>
          <t>RIVERA</t>
        </is>
      </c>
      <c r="J65" t="inlineStr">
        <is>
          <t>BARRIO CENTRO BAJO RIVERA 1</t>
        </is>
      </c>
      <c r="K65" t="inlineStr">
        <is>
          <t>BANCOLOMBIA</t>
        </is>
      </c>
      <c r="L65" t="inlineStr">
        <is>
          <t>FO-25-1308245</t>
        </is>
      </c>
      <c r="M65" s="26" t="n">
        <v>45868.28680555556</v>
      </c>
      <c r="N65" s="26" t="n">
        <v>45871.70555555556</v>
      </c>
      <c r="O65" s="27" t="n">
        <v>0</v>
      </c>
      <c r="P65" t="inlineStr">
        <is>
          <t>UNO A UNO</t>
        </is>
      </c>
      <c r="Q65" t="inlineStr">
        <is>
          <t>UNO A UNO</t>
        </is>
      </c>
      <c r="R65" t="inlineStr">
        <is>
          <t>EJECUTADO / CANCELADO</t>
        </is>
      </c>
      <c r="S65" t="inlineStr">
        <is>
          <t>CB CERRADO - DESOCUPADO</t>
        </is>
      </c>
      <c r="T65" t="inlineStr">
        <is>
          <t>VISITA TECNICA</t>
        </is>
      </c>
      <c r="U65" t="inlineStr"/>
      <c r="V65" t="inlineStr">
        <is>
          <t>TIPO I</t>
        </is>
      </c>
      <c r="W65" t="inlineStr">
        <is>
          <t>TERRESTRE</t>
        </is>
      </c>
      <c r="X65" t="inlineStr">
        <is>
          <t>DIAZ VARGAS JONATHAN MIGUEL</t>
        </is>
      </c>
      <c r="Y65" t="inlineStr">
        <is>
          <t>1</t>
        </is>
      </c>
      <c r="Z65" t="inlineStr">
        <is>
          <t>0</t>
        </is>
      </c>
      <c r="AA65" s="27" t="n">
        <v>0</v>
      </c>
      <c r="AB65" s="27" t="n">
        <v>0</v>
      </c>
      <c r="AC65" s="27" t="n">
        <v>0</v>
      </c>
      <c r="AD65" s="27" t="n">
        <v>44560</v>
      </c>
      <c r="AE65" s="27" t="n">
        <v>0</v>
      </c>
    </row>
    <row r="66">
      <c r="A66" t="inlineStr">
        <is>
          <t>VILLAVICENCIO</t>
        </is>
      </c>
      <c r="B66" t="inlineStr">
        <is>
          <t>REMOTAS</t>
        </is>
      </c>
      <c r="C66" t="inlineStr">
        <is>
          <t>0004-0007</t>
        </is>
      </c>
      <c r="D66" t="inlineStr">
        <is>
          <t>50001</t>
        </is>
      </c>
      <c r="E66" t="inlineStr">
        <is>
          <t>TA-25-906316</t>
        </is>
      </c>
      <c r="F66" t="inlineStr">
        <is>
          <t>3007063562</t>
        </is>
      </c>
      <c r="G66" t="inlineStr">
        <is>
          <t>OC CIERRE</t>
        </is>
      </c>
      <c r="H66" t="inlineStr">
        <is>
          <t>META</t>
        </is>
      </c>
      <c r="I66" t="inlineStr">
        <is>
          <t>VILLAVICENCIO</t>
        </is>
      </c>
      <c r="J66" t="inlineStr">
        <is>
          <t>BARRIO RECREO VILLAVICENCIO 2</t>
        </is>
      </c>
      <c r="K66" t="inlineStr">
        <is>
          <t>BANCOLOMBIA</t>
        </is>
      </c>
      <c r="L66" t="inlineStr">
        <is>
          <t>FO-25-1308249</t>
        </is>
      </c>
      <c r="M66" s="26" t="n">
        <v>45868.72430555556</v>
      </c>
      <c r="N66" s="26" t="n">
        <v>45873.36527777778</v>
      </c>
      <c r="O66" s="27" t="n">
        <v>0</v>
      </c>
      <c r="P66" t="inlineStr">
        <is>
          <t>CB UNO A UNO</t>
        </is>
      </c>
      <c r="Q66" t="inlineStr">
        <is>
          <t>CB UNO A UNO</t>
        </is>
      </c>
      <c r="R66" t="inlineStr">
        <is>
          <t>EJECUTADO / CANCELADO</t>
        </is>
      </c>
      <c r="S66" t="inlineStr">
        <is>
          <t>CB NO ENTREGA EQUIPO</t>
        </is>
      </c>
      <c r="T66" t="inlineStr">
        <is>
          <t>VISITA TECNICA</t>
        </is>
      </c>
      <c r="U66" t="inlineStr">
        <is>
          <t>NONE</t>
        </is>
      </c>
      <c r="V66" t="inlineStr">
        <is>
          <t>TIPO I</t>
        </is>
      </c>
      <c r="W66" t="inlineStr">
        <is>
          <t>TERRESTRE</t>
        </is>
      </c>
      <c r="X66" t="inlineStr">
        <is>
          <t>PEDREROS CONTRERAS MICHAEL STEVENS</t>
        </is>
      </c>
      <c r="Y66" t="inlineStr">
        <is>
          <t>1</t>
        </is>
      </c>
      <c r="Z66" t="inlineStr">
        <is>
          <t>0</t>
        </is>
      </c>
      <c r="AA66" s="27" t="n">
        <v>0</v>
      </c>
      <c r="AB66" s="27" t="n">
        <v>0</v>
      </c>
      <c r="AC66" s="27" t="n">
        <v>0</v>
      </c>
      <c r="AD66" s="27" t="n">
        <v>44560</v>
      </c>
      <c r="AE66" s="27" t="n">
        <v>0</v>
      </c>
    </row>
    <row r="67">
      <c r="A67" t="inlineStr">
        <is>
          <t>PASTO</t>
        </is>
      </c>
      <c r="B67" t="inlineStr">
        <is>
          <t>SUROCCIDENTE Y EJE CAFETERO</t>
        </is>
      </c>
      <c r="C67" t="inlineStr">
        <is>
          <t>0004-0003</t>
        </is>
      </c>
      <c r="D67" t="inlineStr">
        <is>
          <t>52083</t>
        </is>
      </c>
      <c r="E67" t="inlineStr">
        <is>
          <t>TA-25-906320</t>
        </is>
      </c>
      <c r="F67" t="inlineStr">
        <is>
          <t>3007064590</t>
        </is>
      </c>
      <c r="G67" t="inlineStr">
        <is>
          <t>OC CIERRE</t>
        </is>
      </c>
      <c r="H67" t="inlineStr">
        <is>
          <t>NARIÑO</t>
        </is>
      </c>
      <c r="I67" t="inlineStr">
        <is>
          <t>BELEN</t>
        </is>
      </c>
      <c r="J67" t="inlineStr">
        <is>
          <t>BARRIO AV LOS ESTUDIANTES BELE</t>
        </is>
      </c>
      <c r="K67" t="inlineStr">
        <is>
          <t>BANCOLOMBIA</t>
        </is>
      </c>
      <c r="L67" t="inlineStr">
        <is>
          <t>FO-25-1308262</t>
        </is>
      </c>
      <c r="M67" s="26" t="n">
        <v>45868.39513888889</v>
      </c>
      <c r="N67" s="26" t="n">
        <v>45875.42638888889</v>
      </c>
      <c r="O67" s="27" t="n">
        <v>0</v>
      </c>
      <c r="P67" t="inlineStr">
        <is>
          <t>CB UNO A UNO</t>
        </is>
      </c>
      <c r="Q67" t="inlineStr">
        <is>
          <t>CB UNO A UNO</t>
        </is>
      </c>
      <c r="R67" t="inlineStr"/>
      <c r="S67" t="inlineStr">
        <is>
          <t>CB NO ENTREGA EQUIPO</t>
        </is>
      </c>
      <c r="T67" t="inlineStr">
        <is>
          <t>SOPORTE TELEFONICO</t>
        </is>
      </c>
      <c r="U67" t="inlineStr"/>
      <c r="V67" t="inlineStr">
        <is>
          <t>TIPO III</t>
        </is>
      </c>
      <c r="W67" t="inlineStr">
        <is>
          <t>TERRESTRE</t>
        </is>
      </c>
      <c r="X67" t="inlineStr">
        <is>
          <t>HENAO CARDONA DIEGO FERNANDO</t>
        </is>
      </c>
      <c r="Y67" t="inlineStr">
        <is>
          <t>1</t>
        </is>
      </c>
      <c r="Z67" t="inlineStr">
        <is>
          <t>0</t>
        </is>
      </c>
      <c r="AA67" s="27" t="n">
        <v>0</v>
      </c>
      <c r="AB67" s="27" t="n">
        <v>0</v>
      </c>
      <c r="AC67" s="27" t="n">
        <v>0</v>
      </c>
      <c r="AD67" s="27" t="n">
        <v>37905</v>
      </c>
      <c r="AE67" s="27" t="n">
        <v>0</v>
      </c>
    </row>
    <row r="68">
      <c r="A68" t="inlineStr">
        <is>
          <t>BUCARAMANGA</t>
        </is>
      </c>
      <c r="B68" t="inlineStr">
        <is>
          <t>SANTANDERES</t>
        </is>
      </c>
      <c r="C68" t="inlineStr">
        <is>
          <t>0004-0008</t>
        </is>
      </c>
      <c r="D68" t="inlineStr">
        <is>
          <t>68235</t>
        </is>
      </c>
      <c r="E68" t="inlineStr">
        <is>
          <t>TA-25-906324</t>
        </is>
      </c>
      <c r="F68" t="inlineStr">
        <is>
          <t>3007078424</t>
        </is>
      </c>
      <c r="G68" t="inlineStr">
        <is>
          <t>OC CIERRE</t>
        </is>
      </c>
      <c r="H68" t="inlineStr">
        <is>
          <t>SANTANDER</t>
        </is>
      </c>
      <c r="I68" t="inlineStr">
        <is>
          <t>EL CARMEN DE CHUCURI</t>
        </is>
      </c>
      <c r="J68" t="inlineStr">
        <is>
          <t>BARRIO CENTRO EL CARMEN DE CHUCURI  2</t>
        </is>
      </c>
      <c r="K68" t="inlineStr">
        <is>
          <t>BANCOLOMBIA</t>
        </is>
      </c>
      <c r="L68" t="inlineStr">
        <is>
          <t>FO-25-1308273</t>
        </is>
      </c>
      <c r="M68" s="26" t="n">
        <v>45868.83402777778</v>
      </c>
      <c r="N68" s="26" t="n">
        <v>45871.71319444444</v>
      </c>
      <c r="O68" s="27" t="n">
        <v>0</v>
      </c>
      <c r="P68" t="inlineStr">
        <is>
          <t>UNO A UNO</t>
        </is>
      </c>
      <c r="Q68" t="inlineStr">
        <is>
          <t>UNO A UNO</t>
        </is>
      </c>
      <c r="R68" t="inlineStr"/>
      <c r="S68" t="inlineStr">
        <is>
          <t>CB NO ENTREGA EQUIPO</t>
        </is>
      </c>
      <c r="T68" t="inlineStr">
        <is>
          <t>SOPORTE TELEFONICO</t>
        </is>
      </c>
      <c r="U68" t="inlineStr"/>
      <c r="V68" t="inlineStr">
        <is>
          <t>TIPO IV</t>
        </is>
      </c>
      <c r="W68" t="inlineStr">
        <is>
          <t>TERRESTRE</t>
        </is>
      </c>
      <c r="X68" t="inlineStr">
        <is>
          <t>SANTOS GONZALEZ JOHAN FABIAN</t>
        </is>
      </c>
      <c r="Y68" t="inlineStr">
        <is>
          <t>1</t>
        </is>
      </c>
      <c r="Z68" t="inlineStr">
        <is>
          <t>0</t>
        </is>
      </c>
      <c r="AA68" s="27" t="n">
        <v>0</v>
      </c>
      <c r="AB68" s="27" t="n">
        <v>0</v>
      </c>
      <c r="AC68" s="27" t="n">
        <v>0</v>
      </c>
      <c r="AD68" s="27" t="n">
        <v>37905</v>
      </c>
      <c r="AE68" s="27" t="n">
        <v>0</v>
      </c>
    </row>
    <row r="69">
      <c r="A69" t="inlineStr">
        <is>
          <t>IBAGUE</t>
        </is>
      </c>
      <c r="B69" t="inlineStr">
        <is>
          <t>REMOTAS</t>
        </is>
      </c>
      <c r="C69" t="inlineStr">
        <is>
          <t>0004-0007</t>
        </is>
      </c>
      <c r="D69" t="inlineStr">
        <is>
          <t>73671</t>
        </is>
      </c>
      <c r="E69" t="inlineStr">
        <is>
          <t>TA-25-906329</t>
        </is>
      </c>
      <c r="F69" t="inlineStr">
        <is>
          <t>3007062416</t>
        </is>
      </c>
      <c r="G69" t="inlineStr">
        <is>
          <t>OC CIERRE</t>
        </is>
      </c>
      <c r="H69" t="inlineStr">
        <is>
          <t>TOLIMA</t>
        </is>
      </c>
      <c r="I69" t="inlineStr">
        <is>
          <t>SALDAÑA</t>
        </is>
      </c>
      <c r="J69" t="inlineStr">
        <is>
          <t>BARRIO VIA SALDANA GUAMO SALDA</t>
        </is>
      </c>
      <c r="K69" t="inlineStr">
        <is>
          <t>BANCOLOMBIA</t>
        </is>
      </c>
      <c r="L69" t="inlineStr">
        <is>
          <t>FO-25-1308287</t>
        </is>
      </c>
      <c r="M69" s="26" t="n">
        <v>45868.28680555556</v>
      </c>
      <c r="N69" s="26" t="n">
        <v>45870.61736111111</v>
      </c>
      <c r="O69" s="27" t="n">
        <v>0</v>
      </c>
      <c r="P69" t="inlineStr">
        <is>
          <t>UNO A UNO</t>
        </is>
      </c>
      <c r="Q69" t="inlineStr">
        <is>
          <t>CB UNO A UNO</t>
        </is>
      </c>
      <c r="R69" t="inlineStr"/>
      <c r="S69" t="inlineStr">
        <is>
          <t>CB NO ENTREGA EQUIPO</t>
        </is>
      </c>
      <c r="T69" t="inlineStr">
        <is>
          <t>SOPORTE TELEFONICO</t>
        </is>
      </c>
      <c r="U69" t="inlineStr"/>
      <c r="V69" t="inlineStr">
        <is>
          <t>TIPO II</t>
        </is>
      </c>
      <c r="W69" t="inlineStr">
        <is>
          <t>TERRESTRE</t>
        </is>
      </c>
      <c r="X69" t="inlineStr">
        <is>
          <t>VARGAS HERRERA JHON JAIRO</t>
        </is>
      </c>
      <c r="Y69" t="inlineStr">
        <is>
          <t>1</t>
        </is>
      </c>
      <c r="Z69" t="inlineStr">
        <is>
          <t>0</t>
        </is>
      </c>
      <c r="AA69" s="27" t="n">
        <v>0</v>
      </c>
      <c r="AB69" s="27" t="n">
        <v>0</v>
      </c>
      <c r="AC69" s="27" t="n">
        <v>0</v>
      </c>
      <c r="AD69" s="27" t="n">
        <v>37905</v>
      </c>
      <c r="AE69" s="27" t="n">
        <v>0</v>
      </c>
    </row>
    <row r="70">
      <c r="A70" t="inlineStr">
        <is>
          <t>CALI</t>
        </is>
      </c>
      <c r="B70" t="inlineStr">
        <is>
          <t>SUROCCIDENTE Y EJE CAFETERO</t>
        </is>
      </c>
      <c r="C70" t="inlineStr">
        <is>
          <t>0004-0003</t>
        </is>
      </c>
      <c r="D70" t="inlineStr">
        <is>
          <t>76001</t>
        </is>
      </c>
      <c r="E70" t="inlineStr">
        <is>
          <t>TA-25-906330</t>
        </is>
      </c>
      <c r="F70" t="inlineStr">
        <is>
          <t>3007069764</t>
        </is>
      </c>
      <c r="G70" t="inlineStr">
        <is>
          <t>OC CIERRE</t>
        </is>
      </c>
      <c r="H70" t="inlineStr">
        <is>
          <t>VALLE DEL CAUCA</t>
        </is>
      </c>
      <c r="I70" t="inlineStr">
        <is>
          <t>CALI</t>
        </is>
      </c>
      <c r="J70" t="inlineStr">
        <is>
          <t>BARRIO ALCAZAREZ CALI</t>
        </is>
      </c>
      <c r="K70" t="inlineStr">
        <is>
          <t>BANCOLOMBIA</t>
        </is>
      </c>
      <c r="L70" t="inlineStr">
        <is>
          <t>FO-25-1308290</t>
        </is>
      </c>
      <c r="M70" s="26" t="n">
        <v>45868.37708333333</v>
      </c>
      <c r="N70" s="26" t="n">
        <v>45870.62083333333</v>
      </c>
      <c r="O70" s="27" t="n">
        <v>0</v>
      </c>
      <c r="P70" t="inlineStr">
        <is>
          <t>UNO A UNO</t>
        </is>
      </c>
      <c r="Q70" t="inlineStr">
        <is>
          <t>CB UNO A UNO</t>
        </is>
      </c>
      <c r="R70" t="inlineStr">
        <is>
          <t>EJECUTADO / CANCELADO</t>
        </is>
      </c>
      <c r="S70" t="inlineStr">
        <is>
          <t>CB NO ENTREGA EQUIPO</t>
        </is>
      </c>
      <c r="T70" t="inlineStr">
        <is>
          <t>VISITA TECNICA</t>
        </is>
      </c>
      <c r="U70" t="inlineStr">
        <is>
          <t>NN000790</t>
        </is>
      </c>
      <c r="V70" t="inlineStr">
        <is>
          <t>TIPO I</t>
        </is>
      </c>
      <c r="W70" t="inlineStr">
        <is>
          <t>TERRESTRE</t>
        </is>
      </c>
      <c r="X70" t="inlineStr">
        <is>
          <t>CUERO RUIZ JHONNY</t>
        </is>
      </c>
      <c r="Y70" t="inlineStr">
        <is>
          <t>1</t>
        </is>
      </c>
      <c r="Z70" t="inlineStr">
        <is>
          <t>0</t>
        </is>
      </c>
      <c r="AA70" s="27" t="n">
        <v>0</v>
      </c>
      <c r="AB70" s="27" t="n">
        <v>0</v>
      </c>
      <c r="AC70" s="27" t="n">
        <v>0</v>
      </c>
      <c r="AD70" s="27" t="n">
        <v>44560</v>
      </c>
      <c r="AE70" s="27" t="n">
        <v>0</v>
      </c>
    </row>
    <row r="71">
      <c r="A71" t="inlineStr">
        <is>
          <t>BOGOTA</t>
        </is>
      </c>
      <c r="B71" t="inlineStr">
        <is>
          <t>CUNDINAMARCA</t>
        </is>
      </c>
      <c r="C71" t="inlineStr">
        <is>
          <t>0004-0004</t>
        </is>
      </c>
      <c r="D71" t="inlineStr">
        <is>
          <t>11001</t>
        </is>
      </c>
      <c r="E71" t="inlineStr">
        <is>
          <t>TA-25-906332</t>
        </is>
      </c>
      <c r="F71" t="inlineStr">
        <is>
          <t>3007021085</t>
        </is>
      </c>
      <c r="G71" t="inlineStr">
        <is>
          <t>OC CIERRE</t>
        </is>
      </c>
      <c r="H71" t="inlineStr">
        <is>
          <t>CUNDINAMARCA</t>
        </is>
      </c>
      <c r="I71" t="inlineStr">
        <is>
          <t>BOGOTA</t>
        </is>
      </c>
      <c r="J71" t="inlineStr">
        <is>
          <t>BARRIO BOSA X BOGOTA</t>
        </is>
      </c>
      <c r="K71" t="inlineStr">
        <is>
          <t>BANCOLOMBIA</t>
        </is>
      </c>
      <c r="L71" t="inlineStr">
        <is>
          <t>FO-25-1322091</t>
        </is>
      </c>
      <c r="M71" s="26" t="n">
        <v>45868.73125</v>
      </c>
      <c r="N71" s="26" t="n">
        <v>45874.38541666666</v>
      </c>
      <c r="O71" s="27" t="n">
        <v>0</v>
      </c>
      <c r="P71" t="inlineStr">
        <is>
          <t>UNO A UNO</t>
        </is>
      </c>
      <c r="Q71" t="inlineStr">
        <is>
          <t>CB UNO A UNO</t>
        </is>
      </c>
      <c r="R71" t="inlineStr">
        <is>
          <t>EJECUTADO</t>
        </is>
      </c>
      <c r="S71" t="inlineStr">
        <is>
          <t>CIERRE EXITOSO</t>
        </is>
      </c>
      <c r="T71" t="inlineStr">
        <is>
          <t>VISITA TECNICA</t>
        </is>
      </c>
      <c r="U71" t="inlineStr">
        <is>
          <t>AAA0Z483</t>
        </is>
      </c>
      <c r="V71" t="inlineStr">
        <is>
          <t>TIPO I</t>
        </is>
      </c>
      <c r="W71" t="inlineStr">
        <is>
          <t>TERRESTRE</t>
        </is>
      </c>
      <c r="X71" t="inlineStr">
        <is>
          <t>GALINDO ROJAS LUIS FELIPE</t>
        </is>
      </c>
      <c r="Y71" t="inlineStr">
        <is>
          <t>2</t>
        </is>
      </c>
      <c r="Z71" t="inlineStr">
        <is>
          <t>0</t>
        </is>
      </c>
      <c r="AA71" s="27" t="n">
        <v>0</v>
      </c>
      <c r="AB71" s="27" t="n">
        <v>0</v>
      </c>
      <c r="AC71" s="27" t="n">
        <v>0</v>
      </c>
      <c r="AD71" s="27" t="n">
        <v>44560</v>
      </c>
      <c r="AE71" s="27" t="n">
        <v>0</v>
      </c>
    </row>
    <row r="72">
      <c r="A72" t="inlineStr">
        <is>
          <t>BOGOTA</t>
        </is>
      </c>
      <c r="B72" t="inlineStr">
        <is>
          <t>CUNDINAMARCA</t>
        </is>
      </c>
      <c r="C72" t="inlineStr">
        <is>
          <t>0004-0004</t>
        </is>
      </c>
      <c r="D72" t="inlineStr">
        <is>
          <t>11001</t>
        </is>
      </c>
      <c r="E72" t="inlineStr">
        <is>
          <t>TA-25-906334</t>
        </is>
      </c>
      <c r="F72" t="inlineStr">
        <is>
          <t>3007057327</t>
        </is>
      </c>
      <c r="G72" t="inlineStr">
        <is>
          <t>OC CIERRE</t>
        </is>
      </c>
      <c r="H72" t="inlineStr">
        <is>
          <t>CUNDINAMARCA</t>
        </is>
      </c>
      <c r="I72" t="inlineStr">
        <is>
          <t>BOGOTA</t>
        </is>
      </c>
      <c r="J72" t="inlineStr">
        <is>
          <t>BARRIO PINAR BOGOTA</t>
        </is>
      </c>
      <c r="K72" t="inlineStr">
        <is>
          <t>BANCOLOMBIA</t>
        </is>
      </c>
      <c r="L72" t="inlineStr">
        <is>
          <t>FO-25-1308307</t>
        </is>
      </c>
      <c r="M72" s="26" t="n">
        <v>45868.89097222222</v>
      </c>
      <c r="N72" s="26" t="n">
        <v>45871.71736111111</v>
      </c>
      <c r="O72" s="27" t="n">
        <v>0</v>
      </c>
      <c r="P72" t="inlineStr">
        <is>
          <t>CB UNO A UNO</t>
        </is>
      </c>
      <c r="Q72" t="inlineStr">
        <is>
          <t>CB UNO A UNO</t>
        </is>
      </c>
      <c r="R72" t="inlineStr">
        <is>
          <t>EJECUTADO / CANCELADO</t>
        </is>
      </c>
      <c r="S72" t="inlineStr">
        <is>
          <t>CB NO ENTREGA EQUIPO</t>
        </is>
      </c>
      <c r="T72" t="inlineStr">
        <is>
          <t>VISITA TECNICA</t>
        </is>
      </c>
      <c r="U72" t="inlineStr">
        <is>
          <t>0</t>
        </is>
      </c>
      <c r="V72" t="inlineStr">
        <is>
          <t>TIPO I</t>
        </is>
      </c>
      <c r="W72" t="inlineStr">
        <is>
          <t>TERRESTRE</t>
        </is>
      </c>
      <c r="X72" t="inlineStr">
        <is>
          <t>SOTO MUNAR DYLAN DAVID</t>
        </is>
      </c>
      <c r="Y72" t="inlineStr">
        <is>
          <t>1</t>
        </is>
      </c>
      <c r="Z72" t="inlineStr">
        <is>
          <t>0</t>
        </is>
      </c>
      <c r="AA72" s="27" t="n">
        <v>0</v>
      </c>
      <c r="AB72" s="27" t="n">
        <v>0</v>
      </c>
      <c r="AC72" s="27" t="n">
        <v>0</v>
      </c>
      <c r="AD72" s="27" t="n">
        <v>44560</v>
      </c>
      <c r="AE72" s="27" t="n">
        <v>0</v>
      </c>
    </row>
    <row r="73">
      <c r="A73" t="inlineStr">
        <is>
          <t>BOGOTA</t>
        </is>
      </c>
      <c r="B73" t="inlineStr">
        <is>
          <t>CUNDINAMARCA</t>
        </is>
      </c>
      <c r="C73" t="inlineStr">
        <is>
          <t>0004-0004</t>
        </is>
      </c>
      <c r="D73" t="inlineStr">
        <is>
          <t>11001</t>
        </is>
      </c>
      <c r="E73" t="inlineStr">
        <is>
          <t>TA-25-906335</t>
        </is>
      </c>
      <c r="F73" t="inlineStr">
        <is>
          <t>3007058581</t>
        </is>
      </c>
      <c r="G73" t="inlineStr">
        <is>
          <t>OC CIERRE</t>
        </is>
      </c>
      <c r="H73" t="inlineStr">
        <is>
          <t>CUNDINAMARCA</t>
        </is>
      </c>
      <c r="I73" t="inlineStr">
        <is>
          <t>BOGOTA</t>
        </is>
      </c>
      <c r="J73" t="inlineStr">
        <is>
          <t>BARRIO QUIRIGUA BOGOTQA</t>
        </is>
      </c>
      <c r="K73" t="inlineStr">
        <is>
          <t>BANCOLOMBIA</t>
        </is>
      </c>
      <c r="L73" t="inlineStr">
        <is>
          <t>FO-25-1308309</t>
        </is>
      </c>
      <c r="M73" s="26" t="n">
        <v>45868.73125</v>
      </c>
      <c r="N73" s="26" t="n">
        <v>45871.71805555555</v>
      </c>
      <c r="O73" s="27" t="n">
        <v>0</v>
      </c>
      <c r="P73" t="inlineStr">
        <is>
          <t>UNO A UNO</t>
        </is>
      </c>
      <c r="Q73" t="inlineStr">
        <is>
          <t>CB UNO A UNO</t>
        </is>
      </c>
      <c r="R73" t="inlineStr">
        <is>
          <t>EJECUTADO / CANCELADO</t>
        </is>
      </c>
      <c r="S73" t="inlineStr">
        <is>
          <t>CB NO ENTREGA EQUIPO</t>
        </is>
      </c>
      <c r="T73" t="inlineStr">
        <is>
          <t>VISITA TECNICA</t>
        </is>
      </c>
      <c r="U73" t="inlineStr"/>
      <c r="V73" t="inlineStr">
        <is>
          <t>TIPO I</t>
        </is>
      </c>
      <c r="W73" t="inlineStr">
        <is>
          <t>TERRESTRE</t>
        </is>
      </c>
      <c r="X73" t="inlineStr">
        <is>
          <t>MURCIA HERNANDEZ HARVEY IGNACIO</t>
        </is>
      </c>
      <c r="Y73" t="inlineStr">
        <is>
          <t>1</t>
        </is>
      </c>
      <c r="Z73" t="inlineStr">
        <is>
          <t>0</t>
        </is>
      </c>
      <c r="AA73" s="27" t="n">
        <v>0</v>
      </c>
      <c r="AB73" s="27" t="n">
        <v>0</v>
      </c>
      <c r="AC73" s="27" t="n">
        <v>0</v>
      </c>
      <c r="AD73" s="27" t="n">
        <v>44560</v>
      </c>
      <c r="AE73" s="27" t="n">
        <v>0</v>
      </c>
    </row>
    <row r="74">
      <c r="A74" t="inlineStr">
        <is>
          <t>BOGOTA</t>
        </is>
      </c>
      <c r="B74" t="inlineStr">
        <is>
          <t>CUNDINAMARCA</t>
        </is>
      </c>
      <c r="C74" t="inlineStr">
        <is>
          <t>0004-0004</t>
        </is>
      </c>
      <c r="D74" t="inlineStr">
        <is>
          <t>11001</t>
        </is>
      </c>
      <c r="E74" t="inlineStr">
        <is>
          <t>TA-25-906337</t>
        </is>
      </c>
      <c r="F74" t="inlineStr">
        <is>
          <t>3007074001</t>
        </is>
      </c>
      <c r="G74" t="inlineStr">
        <is>
          <t>OC CIERRE</t>
        </is>
      </c>
      <c r="H74" t="inlineStr">
        <is>
          <t>CUNDINAMARCA</t>
        </is>
      </c>
      <c r="I74" t="inlineStr">
        <is>
          <t>BOGOTA</t>
        </is>
      </c>
      <c r="J74" t="inlineStr">
        <is>
          <t>BARRIO ALAMOS BOGOTA 9</t>
        </is>
      </c>
      <c r="K74" t="inlineStr">
        <is>
          <t>BANCOLOMBIA</t>
        </is>
      </c>
      <c r="L74" t="inlineStr">
        <is>
          <t>FO-25-1308315</t>
        </is>
      </c>
      <c r="M74" s="26" t="n">
        <v>45868.73194444444</v>
      </c>
      <c r="N74" s="26" t="n">
        <v>45871.72083333333</v>
      </c>
      <c r="O74" s="27" t="n">
        <v>0</v>
      </c>
      <c r="P74" t="inlineStr">
        <is>
          <t>UNO A UNO</t>
        </is>
      </c>
      <c r="Q74" t="inlineStr">
        <is>
          <t>UNO A UNO</t>
        </is>
      </c>
      <c r="R74" t="inlineStr">
        <is>
          <t>EJECUTADO / CANCELADO</t>
        </is>
      </c>
      <c r="S74" t="inlineStr">
        <is>
          <t>CB CERRADO - DESOCUPADO</t>
        </is>
      </c>
      <c r="T74" t="inlineStr">
        <is>
          <t>VISITA TECNICA</t>
        </is>
      </c>
      <c r="U74" t="inlineStr"/>
      <c r="V74" t="inlineStr">
        <is>
          <t>TIPO I</t>
        </is>
      </c>
      <c r="W74" t="inlineStr">
        <is>
          <t>TERRESTRE</t>
        </is>
      </c>
      <c r="X74" t="inlineStr">
        <is>
          <t>MURCIA HERNANDEZ HARVEY IGNACIO</t>
        </is>
      </c>
      <c r="Y74" t="inlineStr">
        <is>
          <t>1</t>
        </is>
      </c>
      <c r="Z74" t="inlineStr">
        <is>
          <t>0</t>
        </is>
      </c>
      <c r="AA74" s="27" t="n">
        <v>0</v>
      </c>
      <c r="AB74" s="27" t="n">
        <v>0</v>
      </c>
      <c r="AC74" s="27" t="n">
        <v>0</v>
      </c>
      <c r="AD74" s="27" t="n">
        <v>44560</v>
      </c>
      <c r="AE74" s="27" t="n">
        <v>0</v>
      </c>
    </row>
    <row r="75">
      <c r="A75" t="inlineStr">
        <is>
          <t>VILLAVICENCIO</t>
        </is>
      </c>
      <c r="B75" t="inlineStr">
        <is>
          <t>REMOTAS</t>
        </is>
      </c>
      <c r="C75" t="inlineStr">
        <is>
          <t>0004-0007</t>
        </is>
      </c>
      <c r="D75" t="inlineStr">
        <is>
          <t>50001</t>
        </is>
      </c>
      <c r="E75" t="inlineStr">
        <is>
          <t>TA-25-906338</t>
        </is>
      </c>
      <c r="F75" t="inlineStr">
        <is>
          <t>3007060579</t>
        </is>
      </c>
      <c r="G75" t="inlineStr">
        <is>
          <t>OC CIERRE</t>
        </is>
      </c>
      <c r="H75" t="inlineStr">
        <is>
          <t>META</t>
        </is>
      </c>
      <c r="I75" t="inlineStr">
        <is>
          <t>VILLAVICENCIO</t>
        </is>
      </c>
      <c r="J75" t="inlineStr">
        <is>
          <t>BARRIO LA MADRID VILLAVICENCIO</t>
        </is>
      </c>
      <c r="K75" t="inlineStr">
        <is>
          <t>BANCOLOMBIA</t>
        </is>
      </c>
      <c r="L75" t="inlineStr">
        <is>
          <t>FO-25-1308322</t>
        </is>
      </c>
      <c r="M75" s="26" t="n">
        <v>45868.72430555556</v>
      </c>
      <c r="N75" s="26" t="n">
        <v>45874.35972222222</v>
      </c>
      <c r="O75" s="27" t="n">
        <v>0</v>
      </c>
      <c r="P75" t="inlineStr">
        <is>
          <t>CB UNO A UNO</t>
        </is>
      </c>
      <c r="Q75" t="inlineStr">
        <is>
          <t>CB UNO A UNO</t>
        </is>
      </c>
      <c r="R75" t="inlineStr"/>
      <c r="S75" t="inlineStr">
        <is>
          <t>CB NO ENTREGA EQUIPO</t>
        </is>
      </c>
      <c r="T75" t="inlineStr">
        <is>
          <t>SOPORTE TELEFONICO</t>
        </is>
      </c>
      <c r="U75" t="inlineStr"/>
      <c r="V75" t="inlineStr">
        <is>
          <t>TIPO I</t>
        </is>
      </c>
      <c r="W75" t="inlineStr">
        <is>
          <t>TERRESTRE</t>
        </is>
      </c>
      <c r="X75" t="inlineStr">
        <is>
          <t>PEDREROS CONTRERAS MICHAEL STEVENS</t>
        </is>
      </c>
      <c r="Y75" t="inlineStr">
        <is>
          <t>1</t>
        </is>
      </c>
      <c r="Z75" t="inlineStr">
        <is>
          <t>0</t>
        </is>
      </c>
      <c r="AA75" s="27" t="n">
        <v>0</v>
      </c>
      <c r="AB75" s="27" t="n">
        <v>0</v>
      </c>
      <c r="AC75" s="27" t="n">
        <v>0</v>
      </c>
      <c r="AD75" s="27" t="n">
        <v>37905</v>
      </c>
      <c r="AE75" s="27" t="n">
        <v>0</v>
      </c>
    </row>
    <row r="76">
      <c r="A76" t="inlineStr">
        <is>
          <t>BOGOTA</t>
        </is>
      </c>
      <c r="B76" t="inlineStr">
        <is>
          <t>CUNDINAMARCA</t>
        </is>
      </c>
      <c r="C76" t="inlineStr">
        <is>
          <t>0004-0004</t>
        </is>
      </c>
      <c r="D76" t="inlineStr">
        <is>
          <t>25200</t>
        </is>
      </c>
      <c r="E76" t="inlineStr">
        <is>
          <t>TA-25-906341</t>
        </is>
      </c>
      <c r="F76" t="inlineStr">
        <is>
          <t>3007037315</t>
        </is>
      </c>
      <c r="G76" t="inlineStr">
        <is>
          <t>OC CIERRE</t>
        </is>
      </c>
      <c r="H76" t="inlineStr">
        <is>
          <t>CUNDINAMARCA</t>
        </is>
      </c>
      <c r="I76" t="inlineStr">
        <is>
          <t>COGUA</t>
        </is>
      </c>
      <c r="J76" t="inlineStr">
        <is>
          <t>BARRIO CENTRO COGUA 2</t>
        </is>
      </c>
      <c r="K76" t="inlineStr">
        <is>
          <t>BANCOLOMBIA</t>
        </is>
      </c>
      <c r="L76" t="inlineStr">
        <is>
          <t>FO-25-1308339</t>
        </is>
      </c>
      <c r="M76" s="26" t="n">
        <v>45868.57083333333</v>
      </c>
      <c r="N76" s="26" t="n">
        <v>45873.69097222222</v>
      </c>
      <c r="O76" s="27" t="n">
        <v>0</v>
      </c>
      <c r="P76" t="inlineStr">
        <is>
          <t>UNO A UNO</t>
        </is>
      </c>
      <c r="Q76" t="inlineStr">
        <is>
          <t>CB UNO A UNO</t>
        </is>
      </c>
      <c r="R76" t="inlineStr">
        <is>
          <t>EJECUTADO / CANCELADO</t>
        </is>
      </c>
      <c r="S76" t="inlineStr">
        <is>
          <t>CB NO ENTREGA EQUIPO</t>
        </is>
      </c>
      <c r="T76" t="inlineStr">
        <is>
          <t>VISITA TECNICA</t>
        </is>
      </c>
      <c r="U76" t="inlineStr">
        <is>
          <t>NA</t>
        </is>
      </c>
      <c r="V76" t="inlineStr">
        <is>
          <t>TIPO II</t>
        </is>
      </c>
      <c r="W76" t="inlineStr">
        <is>
          <t>TERRESTRE</t>
        </is>
      </c>
      <c r="X76" t="inlineStr">
        <is>
          <t>ORTIZ MARTINEZ STIVEN</t>
        </is>
      </c>
      <c r="Y76" t="inlineStr">
        <is>
          <t>1</t>
        </is>
      </c>
      <c r="Z76" t="inlineStr">
        <is>
          <t>0</t>
        </is>
      </c>
      <c r="AA76" s="27" t="n">
        <v>0</v>
      </c>
      <c r="AB76" s="27" t="n">
        <v>0</v>
      </c>
      <c r="AC76" s="27" t="n">
        <v>0</v>
      </c>
      <c r="AD76" s="27" t="n">
        <v>134411</v>
      </c>
      <c r="AE76" s="27" t="n">
        <v>0</v>
      </c>
    </row>
    <row r="77">
      <c r="A77" t="inlineStr">
        <is>
          <t>TUNJA</t>
        </is>
      </c>
      <c r="B77" t="inlineStr">
        <is>
          <t>SANTANDERES</t>
        </is>
      </c>
      <c r="C77" t="inlineStr">
        <is>
          <t>0004-0008</t>
        </is>
      </c>
      <c r="D77" t="inlineStr">
        <is>
          <t>15272</t>
        </is>
      </c>
      <c r="E77" t="inlineStr">
        <is>
          <t>TA-25-922763</t>
        </is>
      </c>
      <c r="F77" t="inlineStr">
        <is>
          <t>3007012066</t>
        </is>
      </c>
      <c r="G77" t="inlineStr">
        <is>
          <t>OC CIERRE</t>
        </is>
      </c>
      <c r="H77" t="inlineStr">
        <is>
          <t>BOYACA</t>
        </is>
      </c>
      <c r="I77" t="inlineStr">
        <is>
          <t>FIRAVITOBA</t>
        </is>
      </c>
      <c r="J77" t="inlineStr">
        <is>
          <t>FIRAVITOBA - BOYACA</t>
        </is>
      </c>
      <c r="K77" t="inlineStr">
        <is>
          <t>BANCOLOMBIA</t>
        </is>
      </c>
      <c r="L77" t="inlineStr">
        <is>
          <t>FO-25-1331390</t>
        </is>
      </c>
      <c r="M77" s="26" t="n">
        <v>45874</v>
      </c>
      <c r="N77" s="26" t="n">
        <v>45882.49027777778</v>
      </c>
      <c r="O77" s="27" t="n">
        <v>0</v>
      </c>
      <c r="P77" t="inlineStr">
        <is>
          <t>CB UNO A UNO</t>
        </is>
      </c>
      <c r="Q77" t="inlineStr">
        <is>
          <t>CB UNO A UNO</t>
        </is>
      </c>
      <c r="R77" t="inlineStr">
        <is>
          <t>EJECUTADO / CANCELADO</t>
        </is>
      </c>
      <c r="S77" t="inlineStr">
        <is>
          <t>CB NO ENTREGA EQUIPO</t>
        </is>
      </c>
      <c r="T77" t="inlineStr">
        <is>
          <t>VISITA TECNICA</t>
        </is>
      </c>
      <c r="U77" t="inlineStr">
        <is>
          <t>JAAAD608</t>
        </is>
      </c>
      <c r="V77" t="inlineStr">
        <is>
          <t>TIPO II</t>
        </is>
      </c>
      <c r="W77" t="inlineStr">
        <is>
          <t>TERRESTRE</t>
        </is>
      </c>
      <c r="X77" t="inlineStr">
        <is>
          <t>ALVARADO MORENO CRISTHIAN</t>
        </is>
      </c>
      <c r="Y77" t="inlineStr">
        <is>
          <t>1</t>
        </is>
      </c>
      <c r="Z77" t="inlineStr">
        <is>
          <t>0</t>
        </is>
      </c>
      <c r="AA77" s="27" t="n">
        <v>0</v>
      </c>
      <c r="AB77" s="27" t="n">
        <v>0</v>
      </c>
      <c r="AC77" s="27" t="n">
        <v>0</v>
      </c>
      <c r="AD77" s="27" t="n">
        <v>134411</v>
      </c>
      <c r="AE77" s="27" t="n">
        <v>0</v>
      </c>
    </row>
    <row r="78">
      <c r="A78" t="inlineStr">
        <is>
          <t>CUCUTA</t>
        </is>
      </c>
      <c r="B78" t="inlineStr">
        <is>
          <t>SANTANDERES</t>
        </is>
      </c>
      <c r="C78" t="inlineStr">
        <is>
          <t>0004-0008</t>
        </is>
      </c>
      <c r="D78" t="inlineStr">
        <is>
          <t>54001</t>
        </is>
      </c>
      <c r="E78" t="inlineStr">
        <is>
          <t>TA-25-924046</t>
        </is>
      </c>
      <c r="F78" t="inlineStr">
        <is>
          <t>3007071022</t>
        </is>
      </c>
      <c r="G78" t="inlineStr">
        <is>
          <t>OC CIERRE</t>
        </is>
      </c>
      <c r="H78" t="inlineStr">
        <is>
          <t>NORTE DE SANTANDER</t>
        </is>
      </c>
      <c r="I78" t="inlineStr">
        <is>
          <t>CUCUTA</t>
        </is>
      </c>
      <c r="J78" t="inlineStr">
        <is>
          <t>DISTRICOL CENTROPAG</t>
        </is>
      </c>
      <c r="K78" t="inlineStr">
        <is>
          <t>BANCOLOMBIA</t>
        </is>
      </c>
      <c r="L78" t="inlineStr">
        <is>
          <t>FO-25-1332781</t>
        </is>
      </c>
      <c r="M78" s="26" t="n">
        <v>45874.66180555556</v>
      </c>
      <c r="N78" s="26" t="n">
        <v>45876.36666666667</v>
      </c>
      <c r="O78" s="27" t="n">
        <v>0</v>
      </c>
      <c r="P78" t="inlineStr">
        <is>
          <t>AGREGADOR</t>
        </is>
      </c>
      <c r="Q78" t="inlineStr">
        <is>
          <t>DISTRICOL</t>
        </is>
      </c>
      <c r="R78" t="inlineStr">
        <is>
          <t>EJECUTADO / CANCELADO</t>
        </is>
      </c>
      <c r="S78" t="inlineStr">
        <is>
          <t>CB NO ENTREGA EQUIPO</t>
        </is>
      </c>
      <c r="T78" t="inlineStr">
        <is>
          <t>VISITA TECNICA</t>
        </is>
      </c>
      <c r="U78" t="inlineStr">
        <is>
          <t>MN00C096</t>
        </is>
      </c>
      <c r="V78" t="inlineStr">
        <is>
          <t>TIPO I</t>
        </is>
      </c>
      <c r="W78" t="inlineStr">
        <is>
          <t>TERRESTRE</t>
        </is>
      </c>
      <c r="X78" t="inlineStr">
        <is>
          <t>NARANJO AFANADOR RUBEN JESUS</t>
        </is>
      </c>
      <c r="Y78" t="inlineStr">
        <is>
          <t>1</t>
        </is>
      </c>
      <c r="Z78" t="inlineStr">
        <is>
          <t>0</t>
        </is>
      </c>
      <c r="AA78" s="27" t="n">
        <v>0</v>
      </c>
      <c r="AB78" s="27" t="n">
        <v>0</v>
      </c>
      <c r="AC78" s="27" t="n">
        <v>0</v>
      </c>
      <c r="AD78" s="27" t="n">
        <v>44560</v>
      </c>
      <c r="AE78" s="27" t="n">
        <v>0</v>
      </c>
    </row>
    <row r="79">
      <c r="A79" t="inlineStr">
        <is>
          <t>NEIVA</t>
        </is>
      </c>
      <c r="B79" t="inlineStr">
        <is>
          <t>REMOTAS</t>
        </is>
      </c>
      <c r="C79" t="inlineStr">
        <is>
          <t>0004-0007</t>
        </is>
      </c>
      <c r="D79" t="inlineStr">
        <is>
          <t>41001</t>
        </is>
      </c>
      <c r="E79" t="inlineStr">
        <is>
          <t>TA-25-924053</t>
        </is>
      </c>
      <c r="F79" t="inlineStr">
        <is>
          <t>3007064929</t>
        </is>
      </c>
      <c r="G79" t="inlineStr">
        <is>
          <t>OC CIERRE</t>
        </is>
      </c>
      <c r="H79" t="inlineStr">
        <is>
          <t>HUILA</t>
        </is>
      </c>
      <c r="I79" t="inlineStr">
        <is>
          <t>NEIVA</t>
        </is>
      </c>
      <c r="J79" t="inlineStr">
        <is>
          <t>DISTRICOL BEATIFUL NAILS</t>
        </is>
      </c>
      <c r="K79" t="inlineStr">
        <is>
          <t>BANCOLOMBIA</t>
        </is>
      </c>
      <c r="L79" t="inlineStr">
        <is>
          <t>FO-25-1332800</t>
        </is>
      </c>
      <c r="M79" s="26" t="n">
        <v>45874.64652777778</v>
      </c>
      <c r="N79" s="26" t="n">
        <v>45876.36805555555</v>
      </c>
      <c r="O79" s="27" t="n">
        <v>0</v>
      </c>
      <c r="P79" t="inlineStr">
        <is>
          <t>AGREGADOR</t>
        </is>
      </c>
      <c r="Q79" t="inlineStr">
        <is>
          <t>DISTRICOL</t>
        </is>
      </c>
      <c r="R79" t="inlineStr">
        <is>
          <t>EJECUTADO / CANCELADO</t>
        </is>
      </c>
      <c r="S79" t="inlineStr">
        <is>
          <t>CB NO ENTREGA EQUIPO</t>
        </is>
      </c>
      <c r="T79" t="inlineStr">
        <is>
          <t>VISITA TECNICA</t>
        </is>
      </c>
      <c r="U79" t="inlineStr"/>
      <c r="V79" t="inlineStr">
        <is>
          <t>TIPO I</t>
        </is>
      </c>
      <c r="W79" t="inlineStr">
        <is>
          <t>TERRESTRE</t>
        </is>
      </c>
      <c r="X79" t="inlineStr">
        <is>
          <t>DEVIA REINOSO JUAN CARLOS</t>
        </is>
      </c>
      <c r="Y79" t="inlineStr">
        <is>
          <t>1</t>
        </is>
      </c>
      <c r="Z79" t="inlineStr">
        <is>
          <t>0</t>
        </is>
      </c>
      <c r="AA79" s="27" t="n">
        <v>0</v>
      </c>
      <c r="AB79" s="27" t="n">
        <v>0</v>
      </c>
      <c r="AC79" s="27" t="n">
        <v>0</v>
      </c>
      <c r="AD79" s="27" t="n">
        <v>44560</v>
      </c>
      <c r="AE79" s="27" t="n">
        <v>0</v>
      </c>
    </row>
    <row r="80">
      <c r="A80" t="inlineStr">
        <is>
          <t>NEIVA</t>
        </is>
      </c>
      <c r="B80" t="inlineStr">
        <is>
          <t>REMOTAS</t>
        </is>
      </c>
      <c r="C80" t="inlineStr">
        <is>
          <t>0004-0007</t>
        </is>
      </c>
      <c r="D80" t="inlineStr">
        <is>
          <t>18592</t>
        </is>
      </c>
      <c r="E80" t="inlineStr">
        <is>
          <t>TA-25-924060</t>
        </is>
      </c>
      <c r="F80" t="inlineStr">
        <is>
          <t>3007077695</t>
        </is>
      </c>
      <c r="G80" t="inlineStr">
        <is>
          <t>OC CIERRE</t>
        </is>
      </c>
      <c r="H80" t="inlineStr">
        <is>
          <t>CAQUETA</t>
        </is>
      </c>
      <c r="I80" t="inlineStr">
        <is>
          <t>PUERTO RICO</t>
        </is>
      </c>
      <c r="J80" t="inlineStr">
        <is>
          <t>BARRIO SIETE DE AGOSTO PUERTO</t>
        </is>
      </c>
      <c r="K80" t="inlineStr">
        <is>
          <t>BANCOLOMBIA</t>
        </is>
      </c>
      <c r="L80" t="inlineStr">
        <is>
          <t>FO-25-1332827</t>
        </is>
      </c>
      <c r="M80" s="26" t="n">
        <v>45874.75138888889</v>
      </c>
      <c r="N80" s="26" t="n">
        <v>45880.64930555555</v>
      </c>
      <c r="O80" s="27" t="n">
        <v>0</v>
      </c>
      <c r="P80" t="inlineStr">
        <is>
          <t>CB UNO A UNO</t>
        </is>
      </c>
      <c r="Q80" t="inlineStr">
        <is>
          <t>CB UNO A UNO</t>
        </is>
      </c>
      <c r="R80" t="inlineStr">
        <is>
          <t>EJECUTADO / CANCELADO</t>
        </is>
      </c>
      <c r="S80" t="inlineStr">
        <is>
          <t>CB CERRADO - DESOCUPADO</t>
        </is>
      </c>
      <c r="T80" t="inlineStr">
        <is>
          <t>VISITA TECNICA</t>
        </is>
      </c>
      <c r="U80" t="inlineStr">
        <is>
          <t>10LZZ966</t>
        </is>
      </c>
      <c r="V80" t="inlineStr">
        <is>
          <t>TIPO IV ESPECIAL</t>
        </is>
      </c>
      <c r="W80" t="inlineStr">
        <is>
          <t>TERRESTRE</t>
        </is>
      </c>
      <c r="X80" t="inlineStr">
        <is>
          <t>BERMUDEZ SANCHEZ JOSE NEYBER</t>
        </is>
      </c>
      <c r="Y80" t="inlineStr">
        <is>
          <t>1</t>
        </is>
      </c>
      <c r="Z80" t="inlineStr">
        <is>
          <t>0</t>
        </is>
      </c>
      <c r="AA80" s="27" t="n">
        <v>0</v>
      </c>
      <c r="AB80" s="27" t="n">
        <v>0</v>
      </c>
      <c r="AC80" s="27" t="n">
        <v>0</v>
      </c>
      <c r="AD80" s="27" t="n">
        <v>464809</v>
      </c>
      <c r="AE80" s="27" t="n">
        <v>0</v>
      </c>
    </row>
    <row r="81">
      <c r="A81" t="inlineStr">
        <is>
          <t>BOGOTA</t>
        </is>
      </c>
      <c r="B81" t="inlineStr">
        <is>
          <t>CUNDINAMARCA</t>
        </is>
      </c>
      <c r="C81" t="inlineStr">
        <is>
          <t>0004-0004</t>
        </is>
      </c>
      <c r="D81" t="inlineStr">
        <is>
          <t>25245</t>
        </is>
      </c>
      <c r="E81" t="inlineStr">
        <is>
          <t>TA-25-924077</t>
        </is>
      </c>
      <c r="F81" t="inlineStr">
        <is>
          <t>3007036084</t>
        </is>
      </c>
      <c r="G81" t="inlineStr">
        <is>
          <t>OC CIERRE</t>
        </is>
      </c>
      <c r="H81" t="inlineStr">
        <is>
          <t>CUNDINAMARCA</t>
        </is>
      </c>
      <c r="I81" t="inlineStr">
        <is>
          <t>EL COLEGIO</t>
        </is>
      </c>
      <c r="J81" t="inlineStr">
        <is>
          <t>BARRIO CENTRO EL COLEGIO 1</t>
        </is>
      </c>
      <c r="K81" t="inlineStr">
        <is>
          <t>BANCOLOMBIA</t>
        </is>
      </c>
      <c r="L81" t="inlineStr">
        <is>
          <t>FO-25-1332847</t>
        </is>
      </c>
      <c r="M81" s="26" t="n">
        <v>45874.77569444444</v>
      </c>
      <c r="N81" s="26" t="n">
        <v>45881.42430555556</v>
      </c>
      <c r="O81" s="27" t="n">
        <v>0</v>
      </c>
      <c r="P81" t="inlineStr">
        <is>
          <t>CB UNO A UNO</t>
        </is>
      </c>
      <c r="Q81" t="inlineStr">
        <is>
          <t>CB UNO A UNO</t>
        </is>
      </c>
      <c r="R81" t="inlineStr">
        <is>
          <t>EJECUTADO / CANCELADO</t>
        </is>
      </c>
      <c r="S81" t="inlineStr">
        <is>
          <t>CB NO ENTREGA EQUIPO</t>
        </is>
      </c>
      <c r="T81" t="inlineStr">
        <is>
          <t>VISITA TECNICA</t>
        </is>
      </c>
      <c r="U81" t="inlineStr">
        <is>
          <t>AB009654</t>
        </is>
      </c>
      <c r="V81" t="inlineStr">
        <is>
          <t>TIPO II</t>
        </is>
      </c>
      <c r="W81" t="inlineStr">
        <is>
          <t>TERRESTRE</t>
        </is>
      </c>
      <c r="X81" t="inlineStr">
        <is>
          <t>ORTIZ MARTINEZ STIVEN</t>
        </is>
      </c>
      <c r="Y81" t="inlineStr">
        <is>
          <t>1</t>
        </is>
      </c>
      <c r="Z81" t="inlineStr">
        <is>
          <t>0</t>
        </is>
      </c>
      <c r="AA81" s="27" t="n">
        <v>0</v>
      </c>
      <c r="AB81" s="27" t="n">
        <v>0</v>
      </c>
      <c r="AC81" s="27" t="n">
        <v>0</v>
      </c>
      <c r="AD81" s="27" t="n">
        <v>134411</v>
      </c>
      <c r="AE81" s="27" t="n">
        <v>0</v>
      </c>
    </row>
    <row r="82">
      <c r="A82" t="inlineStr">
        <is>
          <t>PASTO</t>
        </is>
      </c>
      <c r="B82" t="inlineStr">
        <is>
          <t>SUROCCIDENTE Y EJE CAFETERO</t>
        </is>
      </c>
      <c r="C82" t="inlineStr">
        <is>
          <t>0004-0003</t>
        </is>
      </c>
      <c r="D82" t="inlineStr">
        <is>
          <t>52203</t>
        </is>
      </c>
      <c r="E82" t="inlineStr">
        <is>
          <t>TA-25-941578</t>
        </is>
      </c>
      <c r="F82" t="inlineStr">
        <is>
          <t>3007049060</t>
        </is>
      </c>
      <c r="G82" t="inlineStr">
        <is>
          <t>OC CIERRE</t>
        </is>
      </c>
      <c r="H82" t="inlineStr">
        <is>
          <t>NARIÑO</t>
        </is>
      </c>
      <c r="I82" t="inlineStr">
        <is>
          <t>COLON</t>
        </is>
      </c>
      <c r="J82" t="inlineStr">
        <is>
          <t>BARRIO LA MILAGROSA CORR DE VI</t>
        </is>
      </c>
      <c r="K82" t="inlineStr">
        <is>
          <t>BANCOLOMBIA</t>
        </is>
      </c>
      <c r="L82" t="inlineStr">
        <is>
          <t>FO-25-1345190</t>
        </is>
      </c>
      <c r="M82" s="26" t="n">
        <v>45875.72361111111</v>
      </c>
      <c r="N82" s="26" t="n">
        <v>45881.44305555556</v>
      </c>
      <c r="O82" s="27" t="n">
        <v>0</v>
      </c>
      <c r="P82" t="inlineStr">
        <is>
          <t>UNO A UNO</t>
        </is>
      </c>
      <c r="Q82" t="inlineStr">
        <is>
          <t>CB UNO A UNO</t>
        </is>
      </c>
      <c r="R82" t="inlineStr"/>
      <c r="S82" t="inlineStr">
        <is>
          <t>CB NO ENTREGA EQUIPO</t>
        </is>
      </c>
      <c r="T82" t="inlineStr">
        <is>
          <t>SOPORTE TELEFONICO</t>
        </is>
      </c>
      <c r="U82" t="inlineStr"/>
      <c r="V82" t="inlineStr">
        <is>
          <t>TIPO IV</t>
        </is>
      </c>
      <c r="W82" t="inlineStr">
        <is>
          <t>TERRESTRE</t>
        </is>
      </c>
      <c r="X82" t="inlineStr">
        <is>
          <t>HENAO CARDONA DIEGO FERNANDO</t>
        </is>
      </c>
      <c r="Y82" t="inlineStr">
        <is>
          <t>1</t>
        </is>
      </c>
      <c r="Z82" t="inlineStr">
        <is>
          <t>0</t>
        </is>
      </c>
      <c r="AA82" s="27" t="n">
        <v>0</v>
      </c>
      <c r="AB82" s="27" t="n">
        <v>0</v>
      </c>
      <c r="AC82" s="27" t="n">
        <v>0</v>
      </c>
      <c r="AD82" s="27" t="n">
        <v>37905</v>
      </c>
      <c r="AE82" s="27" t="n">
        <v>0</v>
      </c>
    </row>
    <row r="83">
      <c r="A83" t="inlineStr">
        <is>
          <t>VILLAVICENCIO</t>
        </is>
      </c>
      <c r="B83" t="inlineStr">
        <is>
          <t>REMOTAS</t>
        </is>
      </c>
      <c r="C83" t="inlineStr">
        <is>
          <t>0004-0007</t>
        </is>
      </c>
      <c r="D83" t="inlineStr">
        <is>
          <t>50001</t>
        </is>
      </c>
      <c r="E83" t="inlineStr">
        <is>
          <t>TA-25-941579</t>
        </is>
      </c>
      <c r="F83" t="inlineStr">
        <is>
          <t>3007076622</t>
        </is>
      </c>
      <c r="G83" t="inlineStr">
        <is>
          <t>OC CIERRE</t>
        </is>
      </c>
      <c r="H83" t="inlineStr">
        <is>
          <t>META</t>
        </is>
      </c>
      <c r="I83" t="inlineStr">
        <is>
          <t>VILLAVICENCIO</t>
        </is>
      </c>
      <c r="J83" t="inlineStr">
        <is>
          <t>BARRIO CATUMARE VILLAVICENCIO</t>
        </is>
      </c>
      <c r="K83" t="inlineStr">
        <is>
          <t>BANCOLOMBIA</t>
        </is>
      </c>
      <c r="L83" t="inlineStr">
        <is>
          <t>FO-25-1345194</t>
        </is>
      </c>
      <c r="M83" s="26" t="n">
        <v>45875.72361111111</v>
      </c>
      <c r="N83" s="26" t="n">
        <v>45882.60277777778</v>
      </c>
      <c r="O83" s="27" t="n">
        <v>0</v>
      </c>
      <c r="P83" t="inlineStr">
        <is>
          <t>CB UNO A UNO</t>
        </is>
      </c>
      <c r="Q83" t="inlineStr">
        <is>
          <t>CB UNO A UNO</t>
        </is>
      </c>
      <c r="R83" t="inlineStr">
        <is>
          <t>EJECUTADO / CANCELADO</t>
        </is>
      </c>
      <c r="S83" t="inlineStr">
        <is>
          <t>CB CERRADO - DESOCUPADO</t>
        </is>
      </c>
      <c r="T83" t="inlineStr">
        <is>
          <t>VISITA TECNICA</t>
        </is>
      </c>
      <c r="U83" t="inlineStr"/>
      <c r="V83" t="inlineStr">
        <is>
          <t>TIPO I</t>
        </is>
      </c>
      <c r="W83" t="inlineStr">
        <is>
          <t>TERRESTRE</t>
        </is>
      </c>
      <c r="X83" t="inlineStr">
        <is>
          <t>GARZON RUIZ LUIS MIGUEL</t>
        </is>
      </c>
      <c r="Y83" t="inlineStr">
        <is>
          <t>1</t>
        </is>
      </c>
      <c r="Z83" t="inlineStr">
        <is>
          <t>0</t>
        </is>
      </c>
      <c r="AA83" s="27" t="n">
        <v>0</v>
      </c>
      <c r="AB83" s="27" t="n">
        <v>0</v>
      </c>
      <c r="AC83" s="27" t="n">
        <v>0</v>
      </c>
      <c r="AD83" s="27" t="n">
        <v>44560</v>
      </c>
      <c r="AE83" s="27" t="n">
        <v>0</v>
      </c>
    </row>
    <row r="84">
      <c r="A84" t="inlineStr">
        <is>
          <t>CALI</t>
        </is>
      </c>
      <c r="B84" t="inlineStr">
        <is>
          <t>SUROCCIDENTE Y EJE CAFETERO</t>
        </is>
      </c>
      <c r="C84" t="inlineStr">
        <is>
          <t>0004-0003</t>
        </is>
      </c>
      <c r="D84" t="inlineStr">
        <is>
          <t>76109</t>
        </is>
      </c>
      <c r="E84" t="inlineStr">
        <is>
          <t>TA-25-941581</t>
        </is>
      </c>
      <c r="F84" t="inlineStr">
        <is>
          <t>3007076884</t>
        </is>
      </c>
      <c r="G84" t="inlineStr">
        <is>
          <t>OC CIERRE</t>
        </is>
      </c>
      <c r="H84" t="inlineStr">
        <is>
          <t>VALLE DEL CAUCA</t>
        </is>
      </c>
      <c r="I84" t="inlineStr">
        <is>
          <t>BUENAVENTURA</t>
        </is>
      </c>
      <c r="J84" t="inlineStr">
        <is>
          <t>BARRIO BAHIA MALAGA</t>
        </is>
      </c>
      <c r="K84" t="inlineStr">
        <is>
          <t>BANCOLOMBIA</t>
        </is>
      </c>
      <c r="L84" t="inlineStr">
        <is>
          <t>FO-25-1345197</t>
        </is>
      </c>
      <c r="M84" s="26" t="n">
        <v>45875.72361111111</v>
      </c>
      <c r="N84" s="26" t="n">
        <v>45881.40416666667</v>
      </c>
      <c r="O84" s="27" t="n">
        <v>0</v>
      </c>
      <c r="P84" t="inlineStr">
        <is>
          <t>UNO A UNO</t>
        </is>
      </c>
      <c r="Q84" t="inlineStr">
        <is>
          <t>UNO A UNO</t>
        </is>
      </c>
      <c r="R84" t="inlineStr"/>
      <c r="S84" t="inlineStr">
        <is>
          <t>CB NO ENTREGA EQUIPO</t>
        </is>
      </c>
      <c r="T84" t="inlineStr">
        <is>
          <t>SOPORTE TELEFONICO</t>
        </is>
      </c>
      <c r="U84" t="inlineStr"/>
      <c r="V84" t="inlineStr">
        <is>
          <t>TIPO III</t>
        </is>
      </c>
      <c r="W84" t="inlineStr">
        <is>
          <t>TERRESTRE</t>
        </is>
      </c>
      <c r="X84" t="inlineStr">
        <is>
          <t>HENAO CARDONA DIEGO FERNANDO</t>
        </is>
      </c>
      <c r="Y84" t="inlineStr">
        <is>
          <t>1</t>
        </is>
      </c>
      <c r="Z84" t="inlineStr">
        <is>
          <t>0</t>
        </is>
      </c>
      <c r="AA84" s="27" t="n">
        <v>0</v>
      </c>
      <c r="AB84" s="27" t="n">
        <v>0</v>
      </c>
      <c r="AC84" s="27" t="n">
        <v>0</v>
      </c>
      <c r="AD84" s="27" t="n">
        <v>37905</v>
      </c>
      <c r="AE84" s="27" t="n">
        <v>0</v>
      </c>
    </row>
    <row r="85">
      <c r="A85" t="inlineStr">
        <is>
          <t>CALI</t>
        </is>
      </c>
      <c r="B85" t="inlineStr">
        <is>
          <t>SUROCCIDENTE Y EJE CAFETERO</t>
        </is>
      </c>
      <c r="C85" t="inlineStr">
        <is>
          <t>0004-0003</t>
        </is>
      </c>
      <c r="D85" t="inlineStr">
        <is>
          <t>76364</t>
        </is>
      </c>
      <c r="E85" t="inlineStr">
        <is>
          <t>TA-25-941582</t>
        </is>
      </c>
      <c r="F85" t="inlineStr">
        <is>
          <t>3007036900</t>
        </is>
      </c>
      <c r="G85" t="inlineStr">
        <is>
          <t>OC CIERRE</t>
        </is>
      </c>
      <c r="H85" t="inlineStr">
        <is>
          <t>VALLE DEL CAUCA</t>
        </is>
      </c>
      <c r="I85" t="inlineStr">
        <is>
          <t>JAMUNDI</t>
        </is>
      </c>
      <c r="J85" t="inlineStr">
        <is>
          <t>BARRIO JAMUNDI VALLE DEL CAUCA</t>
        </is>
      </c>
      <c r="K85" t="inlineStr">
        <is>
          <t>BANCOLOMBIA</t>
        </is>
      </c>
      <c r="L85" t="inlineStr">
        <is>
          <t>FO-25-1345200</t>
        </is>
      </c>
      <c r="M85" s="26" t="n">
        <v>45875.72361111111</v>
      </c>
      <c r="N85" s="26" t="n">
        <v>45878.55208333334</v>
      </c>
      <c r="O85" s="27" t="n">
        <v>0</v>
      </c>
      <c r="P85" t="inlineStr">
        <is>
          <t>UNO A UNO</t>
        </is>
      </c>
      <c r="Q85" t="inlineStr">
        <is>
          <t>UNO A UNO</t>
        </is>
      </c>
      <c r="R85" t="inlineStr">
        <is>
          <t>EJECUTADO / CANCELADO</t>
        </is>
      </c>
      <c r="S85" t="inlineStr">
        <is>
          <t>CB CERRADO - DESOCUPADO</t>
        </is>
      </c>
      <c r="T85" t="inlineStr">
        <is>
          <t>VISITA TECNICA</t>
        </is>
      </c>
      <c r="U85" t="inlineStr">
        <is>
          <t>MN0SZ859</t>
        </is>
      </c>
      <c r="V85" t="inlineStr">
        <is>
          <t>TIPO II</t>
        </is>
      </c>
      <c r="W85" t="inlineStr">
        <is>
          <t>TERRESTRE</t>
        </is>
      </c>
      <c r="X85" t="inlineStr">
        <is>
          <t>BOLAÑOS TABORDA JORGE ENRIQUE</t>
        </is>
      </c>
      <c r="Y85" t="inlineStr">
        <is>
          <t>1</t>
        </is>
      </c>
      <c r="Z85" t="inlineStr">
        <is>
          <t>0</t>
        </is>
      </c>
      <c r="AA85" s="27" t="n">
        <v>0</v>
      </c>
      <c r="AB85" s="27" t="n">
        <v>0</v>
      </c>
      <c r="AC85" s="27" t="n">
        <v>0</v>
      </c>
      <c r="AD85" s="27" t="n">
        <v>134411</v>
      </c>
      <c r="AE85" s="27" t="n">
        <v>0</v>
      </c>
    </row>
    <row r="86">
      <c r="A86" t="inlineStr">
        <is>
          <t>SANTA MARTA</t>
        </is>
      </c>
      <c r="B86" t="inlineStr">
        <is>
          <t>COSTA</t>
        </is>
      </c>
      <c r="C86" t="inlineStr">
        <is>
          <t>0004-0001</t>
        </is>
      </c>
      <c r="D86" t="inlineStr">
        <is>
          <t>47268</t>
        </is>
      </c>
      <c r="E86" t="inlineStr">
        <is>
          <t>TA-25-941588</t>
        </is>
      </c>
      <c r="F86" t="inlineStr">
        <is>
          <t>3007053238</t>
        </is>
      </c>
      <c r="G86" t="inlineStr">
        <is>
          <t>OC CIERRE</t>
        </is>
      </c>
      <c r="H86" t="inlineStr">
        <is>
          <t>MAGDALENA</t>
        </is>
      </c>
      <c r="I86" t="inlineStr">
        <is>
          <t>EL RETEN</t>
        </is>
      </c>
      <c r="J86" t="inlineStr">
        <is>
          <t>PTM EL RETEN SERVIFRIOMAR</t>
        </is>
      </c>
      <c r="K86" t="inlineStr">
        <is>
          <t>BANCOLOMBIA</t>
        </is>
      </c>
      <c r="L86" t="inlineStr">
        <is>
          <t>FO-25-1345215</t>
        </is>
      </c>
      <c r="M86" s="26" t="n">
        <v>45875.72083333333</v>
      </c>
      <c r="N86" s="26" t="n">
        <v>45878.38819444444</v>
      </c>
      <c r="O86" s="27" t="n">
        <v>0</v>
      </c>
      <c r="P86" t="inlineStr">
        <is>
          <t>AGREGADOR</t>
        </is>
      </c>
      <c r="Q86" t="inlineStr">
        <is>
          <t>COMCARD - PTM</t>
        </is>
      </c>
      <c r="R86" t="inlineStr">
        <is>
          <t>EJECUTADO / CANCELADO</t>
        </is>
      </c>
      <c r="S86" t="inlineStr">
        <is>
          <t>CB CERRADO - DESOCUPADO</t>
        </is>
      </c>
      <c r="T86" t="inlineStr">
        <is>
          <t>VISITA TECNICA</t>
        </is>
      </c>
      <c r="U86" t="inlineStr"/>
      <c r="V86" t="inlineStr">
        <is>
          <t>TIPO III</t>
        </is>
      </c>
      <c r="W86" t="inlineStr">
        <is>
          <t>TERRESTRE</t>
        </is>
      </c>
      <c r="X86" t="inlineStr">
        <is>
          <t>THOMAS  CAMPO SIGIFREDO SEGUNDO</t>
        </is>
      </c>
      <c r="Y86" t="inlineStr">
        <is>
          <t>1</t>
        </is>
      </c>
      <c r="Z86" t="inlineStr">
        <is>
          <t>0</t>
        </is>
      </c>
      <c r="AA86" s="27" t="n">
        <v>0</v>
      </c>
      <c r="AB86" s="27" t="n">
        <v>0</v>
      </c>
      <c r="AC86" s="27" t="n">
        <v>0</v>
      </c>
      <c r="AD86" s="27" t="n">
        <v>222904</v>
      </c>
      <c r="AE86" s="27" t="n">
        <v>0</v>
      </c>
    </row>
    <row r="87">
      <c r="A87" t="inlineStr">
        <is>
          <t>PASTO</t>
        </is>
      </c>
      <c r="B87" t="inlineStr">
        <is>
          <t>SUROCCIDENTE Y EJE CAFETERO</t>
        </is>
      </c>
      <c r="C87" t="inlineStr">
        <is>
          <t>0004-0003</t>
        </is>
      </c>
      <c r="D87" t="inlineStr">
        <is>
          <t>52427</t>
        </is>
      </c>
      <c r="E87" t="inlineStr">
        <is>
          <t>TA-25-941590</t>
        </is>
      </c>
      <c r="F87" t="inlineStr">
        <is>
          <t>3007041473</t>
        </is>
      </c>
      <c r="G87" t="inlineStr">
        <is>
          <t>OC CIERRE</t>
        </is>
      </c>
      <c r="H87" t="inlineStr">
        <is>
          <t>NARIÑO</t>
        </is>
      </c>
      <c r="I87" t="inlineStr">
        <is>
          <t>MAGUI</t>
        </is>
      </c>
      <c r="J87" t="inlineStr">
        <is>
          <t>PTM MAGUI DROGAS LA PLAYITA</t>
        </is>
      </c>
      <c r="K87" t="inlineStr">
        <is>
          <t>BANCOLOMBIA</t>
        </is>
      </c>
      <c r="L87" t="inlineStr">
        <is>
          <t>FO-25-1345220</t>
        </is>
      </c>
      <c r="M87" s="26" t="n">
        <v>45875.72083333333</v>
      </c>
      <c r="N87" s="26" t="n">
        <v>45888.61736111111</v>
      </c>
      <c r="O87" s="27" t="n">
        <v>0</v>
      </c>
      <c r="P87" t="inlineStr">
        <is>
          <t>AGREGADOR</t>
        </is>
      </c>
      <c r="Q87" t="inlineStr">
        <is>
          <t>COMCARD - PTM</t>
        </is>
      </c>
      <c r="R87" t="inlineStr">
        <is>
          <t>EJECUTADO / CANCELADO</t>
        </is>
      </c>
      <c r="S87" t="inlineStr">
        <is>
          <t>CB CERRADO - DESOCUPADO</t>
        </is>
      </c>
      <c r="T87" t="inlineStr">
        <is>
          <t>VISITA TECNICA</t>
        </is>
      </c>
      <c r="U87" t="inlineStr"/>
      <c r="V87" t="inlineStr">
        <is>
          <t>TIPO IV ESPECIAL</t>
        </is>
      </c>
      <c r="W87" t="inlineStr">
        <is>
          <t>FLUVIAL</t>
        </is>
      </c>
      <c r="X87" t="inlineStr">
        <is>
          <t>PAZ MARTINEZ RICHARD HUMBERTO</t>
        </is>
      </c>
      <c r="Y87" t="inlineStr">
        <is>
          <t>1</t>
        </is>
      </c>
      <c r="Z87" t="inlineStr">
        <is>
          <t>0</t>
        </is>
      </c>
      <c r="AA87" s="27" t="n">
        <v>0</v>
      </c>
      <c r="AB87" s="27" t="n">
        <v>0</v>
      </c>
      <c r="AC87" s="27" t="n">
        <v>0</v>
      </c>
      <c r="AD87" s="27" t="n">
        <v>464809</v>
      </c>
      <c r="AE87" s="27" t="n">
        <v>0</v>
      </c>
    </row>
    <row r="88">
      <c r="A88" t="inlineStr">
        <is>
          <t>PASTO</t>
        </is>
      </c>
      <c r="B88" t="inlineStr">
        <is>
          <t>SUROCCIDENTE Y EJE CAFETERO</t>
        </is>
      </c>
      <c r="C88" t="inlineStr">
        <is>
          <t>0004-0003</t>
        </is>
      </c>
      <c r="D88" t="inlineStr">
        <is>
          <t>52323</t>
        </is>
      </c>
      <c r="E88" t="inlineStr">
        <is>
          <t>TA-25-941591</t>
        </is>
      </c>
      <c r="F88" t="inlineStr">
        <is>
          <t>3007045928</t>
        </is>
      </c>
      <c r="G88" t="inlineStr">
        <is>
          <t>OC CIERRE</t>
        </is>
      </c>
      <c r="H88" t="inlineStr">
        <is>
          <t>NARIÑO</t>
        </is>
      </c>
      <c r="I88" t="inlineStr">
        <is>
          <t>GUALMATAN</t>
        </is>
      </c>
      <c r="J88" t="inlineStr">
        <is>
          <t>PTM  GUALMATAN  PUNTOSERVIS GU</t>
        </is>
      </c>
      <c r="K88" t="inlineStr">
        <is>
          <t>BANCOLOMBIA</t>
        </is>
      </c>
      <c r="L88" t="inlineStr">
        <is>
          <t>FO-25-1345223</t>
        </is>
      </c>
      <c r="M88" s="26" t="n">
        <v>45875.72083333333</v>
      </c>
      <c r="N88" s="26" t="n">
        <v>45881.45486111111</v>
      </c>
      <c r="O88" s="27" t="n">
        <v>0</v>
      </c>
      <c r="P88" t="inlineStr">
        <is>
          <t>AGREGADOR</t>
        </is>
      </c>
      <c r="Q88" t="inlineStr">
        <is>
          <t>COMCARD - PTM</t>
        </is>
      </c>
      <c r="R88" t="inlineStr"/>
      <c r="T88" t="inlineStr">
        <is>
          <t>SOPORTE TELEFONICO</t>
        </is>
      </c>
      <c r="U88" t="inlineStr"/>
      <c r="V88" t="inlineStr">
        <is>
          <t>TIPO II</t>
        </is>
      </c>
      <c r="W88" t="inlineStr">
        <is>
          <t>TERRESTRE</t>
        </is>
      </c>
      <c r="X88" t="inlineStr">
        <is>
          <t>HENAO CARDONA DIEGO FERNANDO</t>
        </is>
      </c>
      <c r="Y88" t="inlineStr">
        <is>
          <t>1</t>
        </is>
      </c>
      <c r="Z88" t="inlineStr">
        <is>
          <t>0</t>
        </is>
      </c>
      <c r="AA88" s="27" t="n">
        <v>0</v>
      </c>
      <c r="AB88" s="27" t="n">
        <v>0</v>
      </c>
      <c r="AC88" s="27" t="n">
        <v>0</v>
      </c>
      <c r="AD88" s="27" t="n">
        <v>37905</v>
      </c>
      <c r="AE88" s="27" t="n">
        <v>0</v>
      </c>
    </row>
    <row r="89">
      <c r="A89" t="inlineStr">
        <is>
          <t>MEDELLIN</t>
        </is>
      </c>
      <c r="B89" t="inlineStr">
        <is>
          <t>NOROCCIDENTE</t>
        </is>
      </c>
      <c r="C89" t="inlineStr">
        <is>
          <t>0004-0005</t>
        </is>
      </c>
      <c r="D89" t="inlineStr">
        <is>
          <t>5440</t>
        </is>
      </c>
      <c r="E89" t="inlineStr">
        <is>
          <t>TA-25-948846</t>
        </is>
      </c>
      <c r="F89" t="inlineStr">
        <is>
          <t>3007078230</t>
        </is>
      </c>
      <c r="G89" t="inlineStr">
        <is>
          <t>OC CIERRE</t>
        </is>
      </c>
      <c r="H89" t="inlineStr">
        <is>
          <t>ANTIOQUIA</t>
        </is>
      </c>
      <c r="I89" t="inlineStr">
        <is>
          <t>MARINILLA</t>
        </is>
      </c>
      <c r="J89" t="inlineStr">
        <is>
          <t>DISTRICOL PAPELERIA Y REMATES</t>
        </is>
      </c>
      <c r="K89" t="inlineStr">
        <is>
          <t>BANCOLOMBIA</t>
        </is>
      </c>
      <c r="L89" t="inlineStr">
        <is>
          <t>FO-25-1353462</t>
        </is>
      </c>
      <c r="M89" s="26" t="n">
        <v>45878.69930555556</v>
      </c>
      <c r="N89" s="26" t="n">
        <v>45883.49583333333</v>
      </c>
      <c r="O89" s="27" t="n">
        <v>0</v>
      </c>
      <c r="P89" t="inlineStr">
        <is>
          <t>AGREGADOR</t>
        </is>
      </c>
      <c r="Q89" t="inlineStr">
        <is>
          <t>DISTRICOL</t>
        </is>
      </c>
      <c r="R89" t="inlineStr">
        <is>
          <t>EJECUTADO / CANCELADO</t>
        </is>
      </c>
      <c r="S89" t="inlineStr">
        <is>
          <t>CB NO ENTREGA EQUIPO</t>
        </is>
      </c>
      <c r="T89" t="inlineStr">
        <is>
          <t>VISITA TECNICA</t>
        </is>
      </c>
      <c r="U89" t="inlineStr">
        <is>
          <t>NA</t>
        </is>
      </c>
      <c r="V89" t="inlineStr">
        <is>
          <t>TIPO II</t>
        </is>
      </c>
      <c r="W89" t="inlineStr">
        <is>
          <t>TERRESTRE</t>
        </is>
      </c>
      <c r="X89" t="inlineStr">
        <is>
          <t>CASTAÑEDA PALACIO CARLOS FELIPE</t>
        </is>
      </c>
      <c r="Y89" t="inlineStr">
        <is>
          <t>1</t>
        </is>
      </c>
      <c r="Z89" t="inlineStr">
        <is>
          <t>0</t>
        </is>
      </c>
      <c r="AA89" s="27" t="n">
        <v>0</v>
      </c>
      <c r="AB89" s="27" t="n">
        <v>0</v>
      </c>
      <c r="AC89" s="27" t="n">
        <v>0</v>
      </c>
      <c r="AD89" s="27" t="n">
        <v>134411</v>
      </c>
      <c r="AE89" s="27" t="n">
        <v>0</v>
      </c>
    </row>
    <row r="90">
      <c r="A90" t="inlineStr">
        <is>
          <t>MEDELLIN</t>
        </is>
      </c>
      <c r="B90" t="inlineStr">
        <is>
          <t>NOROCCIDENTE</t>
        </is>
      </c>
      <c r="C90" t="inlineStr">
        <is>
          <t>0004-0005</t>
        </is>
      </c>
      <c r="D90" t="inlineStr">
        <is>
          <t>5308</t>
        </is>
      </c>
      <c r="E90" t="inlineStr">
        <is>
          <t>TA-25-948855</t>
        </is>
      </c>
      <c r="F90" t="inlineStr">
        <is>
          <t>3007029502</t>
        </is>
      </c>
      <c r="G90" t="inlineStr">
        <is>
          <t>OC CIERRE</t>
        </is>
      </c>
      <c r="H90" t="inlineStr">
        <is>
          <t>ANTIOQUIA</t>
        </is>
      </c>
      <c r="I90" t="inlineStr">
        <is>
          <t>GIRARDOTA</t>
        </is>
      </c>
      <c r="J90" t="inlineStr">
        <is>
          <t>BARRIO 0 GIRARDOTA</t>
        </is>
      </c>
      <c r="K90" t="inlineStr">
        <is>
          <t>BANCOLOMBIA</t>
        </is>
      </c>
      <c r="L90" t="inlineStr">
        <is>
          <t>FO-25-1353491</t>
        </is>
      </c>
      <c r="M90" s="26" t="n">
        <v>45878.7</v>
      </c>
      <c r="N90" s="26" t="n">
        <v>45884.53333333333</v>
      </c>
      <c r="O90" s="27" t="n">
        <v>0</v>
      </c>
      <c r="P90" t="inlineStr">
        <is>
          <t>UNO A UNO</t>
        </is>
      </c>
      <c r="Q90" t="inlineStr">
        <is>
          <t>CB UNO A UNO</t>
        </is>
      </c>
      <c r="R90" t="inlineStr"/>
      <c r="S90" t="inlineStr">
        <is>
          <t>CB NO ENTREGA EQUIPO</t>
        </is>
      </c>
      <c r="T90" t="inlineStr">
        <is>
          <t>SOPORTE TELEFONICO</t>
        </is>
      </c>
      <c r="U90" t="inlineStr"/>
      <c r="V90" t="inlineStr">
        <is>
          <t>TIPO I</t>
        </is>
      </c>
      <c r="W90" t="inlineStr">
        <is>
          <t>TERRESTRE</t>
        </is>
      </c>
      <c r="X90" t="inlineStr">
        <is>
          <t>ZAPATA LOPEZ EDWARD ASDRUBAL</t>
        </is>
      </c>
      <c r="Y90" t="inlineStr">
        <is>
          <t>1</t>
        </is>
      </c>
      <c r="Z90" t="inlineStr">
        <is>
          <t>0</t>
        </is>
      </c>
      <c r="AA90" s="27" t="n">
        <v>0</v>
      </c>
      <c r="AB90" s="27" t="n">
        <v>0</v>
      </c>
      <c r="AC90" s="27" t="n">
        <v>0</v>
      </c>
      <c r="AD90" s="27" t="n">
        <v>37905</v>
      </c>
      <c r="AE90" s="27" t="n">
        <v>0</v>
      </c>
    </row>
    <row r="91">
      <c r="A91" t="inlineStr">
        <is>
          <t>VALLEDUPAR</t>
        </is>
      </c>
      <c r="B91" t="inlineStr">
        <is>
          <t>COSTA</t>
        </is>
      </c>
      <c r="C91" t="inlineStr">
        <is>
          <t>0004-0001</t>
        </is>
      </c>
      <c r="D91" t="inlineStr">
        <is>
          <t>20787</t>
        </is>
      </c>
      <c r="E91" t="inlineStr">
        <is>
          <t>TA-25-948858</t>
        </is>
      </c>
      <c r="F91" t="inlineStr">
        <is>
          <t>3007076650</t>
        </is>
      </c>
      <c r="G91" t="inlineStr">
        <is>
          <t>OC CIERRE</t>
        </is>
      </c>
      <c r="H91" t="inlineStr">
        <is>
          <t>CESAR</t>
        </is>
      </c>
      <c r="I91" t="inlineStr">
        <is>
          <t>TAMALAMEQUE</t>
        </is>
      </c>
      <c r="J91" t="inlineStr">
        <is>
          <t>BARRIO FLORES DE SABANA TAMALAMEQUE</t>
        </is>
      </c>
      <c r="K91" t="inlineStr">
        <is>
          <t>BANCOLOMBIA</t>
        </is>
      </c>
      <c r="L91" t="inlineStr">
        <is>
          <t>FO-25-1353501</t>
        </is>
      </c>
      <c r="M91" s="26" t="n">
        <v>45878.7</v>
      </c>
      <c r="N91" s="26" t="n">
        <v>45884.34444444445</v>
      </c>
      <c r="O91" s="27" t="n">
        <v>0</v>
      </c>
      <c r="P91" t="inlineStr">
        <is>
          <t>UNO A UNO</t>
        </is>
      </c>
      <c r="Q91" t="inlineStr">
        <is>
          <t>UNO A UNO</t>
        </is>
      </c>
      <c r="R91" t="inlineStr"/>
      <c r="S91" t="inlineStr">
        <is>
          <t>CB NO ENTREGA EQUIPO</t>
        </is>
      </c>
      <c r="T91" t="inlineStr">
        <is>
          <t>SOPORTE TELEFONICO</t>
        </is>
      </c>
      <c r="U91" t="inlineStr"/>
      <c r="V91" t="inlineStr">
        <is>
          <t>TIPO IV</t>
        </is>
      </c>
      <c r="W91" t="inlineStr">
        <is>
          <t>TERRESTRE</t>
        </is>
      </c>
      <c r="X91" t="inlineStr">
        <is>
          <t>MONTES DIAZ JOHN FRED</t>
        </is>
      </c>
      <c r="Y91" t="inlineStr">
        <is>
          <t>1</t>
        </is>
      </c>
      <c r="Z91" t="inlineStr">
        <is>
          <t>0</t>
        </is>
      </c>
      <c r="AA91" s="27" t="n">
        <v>0</v>
      </c>
      <c r="AB91" s="27" t="n">
        <v>0</v>
      </c>
      <c r="AC91" s="27" t="n">
        <v>0</v>
      </c>
      <c r="AD91" s="27" t="n">
        <v>37905</v>
      </c>
      <c r="AE91" s="27" t="n">
        <v>0</v>
      </c>
    </row>
    <row r="92">
      <c r="A92" t="inlineStr">
        <is>
          <t>MONTERIA</t>
        </is>
      </c>
      <c r="B92" t="inlineStr">
        <is>
          <t>COSTA</t>
        </is>
      </c>
      <c r="C92" t="inlineStr">
        <is>
          <t>0004-0001</t>
        </is>
      </c>
      <c r="D92" t="inlineStr">
        <is>
          <t>23001</t>
        </is>
      </c>
      <c r="E92" t="inlineStr">
        <is>
          <t>TA-25-948859</t>
        </is>
      </c>
      <c r="F92" t="inlineStr">
        <is>
          <t>3007078090</t>
        </is>
      </c>
      <c r="G92" t="inlineStr">
        <is>
          <t>OC CIERRE</t>
        </is>
      </c>
      <c r="H92" t="inlineStr">
        <is>
          <t>CORDOBA</t>
        </is>
      </c>
      <c r="I92" t="inlineStr">
        <is>
          <t>MONTERIA</t>
        </is>
      </c>
      <c r="J92" t="inlineStr">
        <is>
          <t>BARRIO URBANIZACION VALLEJO MONTERIA 8</t>
        </is>
      </c>
      <c r="K92" t="inlineStr">
        <is>
          <t>BANCOLOMBIA</t>
        </is>
      </c>
      <c r="L92" t="inlineStr">
        <is>
          <t>FO-25-1353504</t>
        </is>
      </c>
      <c r="M92" s="26" t="n">
        <v>45878.7</v>
      </c>
      <c r="N92" s="26" t="n">
        <v>45881.62777777778</v>
      </c>
      <c r="O92" s="27" t="n">
        <v>0</v>
      </c>
      <c r="P92" t="inlineStr">
        <is>
          <t>UNO A UNO</t>
        </is>
      </c>
      <c r="Q92" t="inlineStr">
        <is>
          <t>UNO A UNO</t>
        </is>
      </c>
      <c r="R92" t="inlineStr">
        <is>
          <t>EJECUTADO / CANCELADO</t>
        </is>
      </c>
      <c r="S92" t="inlineStr">
        <is>
          <t>CB NO ENTREGA EQUIPO</t>
        </is>
      </c>
      <c r="T92" t="inlineStr">
        <is>
          <t>VISITA TECNICA</t>
        </is>
      </c>
      <c r="U92" t="inlineStr">
        <is>
          <t>00000000</t>
        </is>
      </c>
      <c r="V92" t="inlineStr">
        <is>
          <t>TIPO I</t>
        </is>
      </c>
      <c r="W92" t="inlineStr">
        <is>
          <t>TERRESTRE</t>
        </is>
      </c>
      <c r="X92" t="inlineStr">
        <is>
          <t>CALDERA SALCEDO CARLOS JULIO</t>
        </is>
      </c>
      <c r="Y92" t="inlineStr">
        <is>
          <t>1</t>
        </is>
      </c>
      <c r="Z92" t="inlineStr">
        <is>
          <t>0</t>
        </is>
      </c>
      <c r="AA92" s="27" t="n">
        <v>0</v>
      </c>
      <c r="AB92" s="27" t="n">
        <v>0</v>
      </c>
      <c r="AC92" s="27" t="n">
        <v>0</v>
      </c>
      <c r="AD92" s="27" t="n">
        <v>44560</v>
      </c>
      <c r="AE92" s="27" t="n">
        <v>0</v>
      </c>
    </row>
    <row r="93">
      <c r="A93" t="inlineStr">
        <is>
          <t>NEIVA</t>
        </is>
      </c>
      <c r="B93" t="inlineStr">
        <is>
          <t>REMOTAS</t>
        </is>
      </c>
      <c r="C93" t="inlineStr">
        <is>
          <t>0004-0007</t>
        </is>
      </c>
      <c r="D93" t="inlineStr">
        <is>
          <t>41001</t>
        </is>
      </c>
      <c r="E93" t="inlineStr">
        <is>
          <t>TA-25-948860</t>
        </is>
      </c>
      <c r="F93" t="inlineStr">
        <is>
          <t>3007033473</t>
        </is>
      </c>
      <c r="G93" t="inlineStr">
        <is>
          <t>OC CIERRE</t>
        </is>
      </c>
      <c r="H93" t="inlineStr">
        <is>
          <t>HUILA</t>
        </is>
      </c>
      <c r="I93" t="inlineStr">
        <is>
          <t>NEIVA</t>
        </is>
      </c>
      <c r="J93" t="inlineStr">
        <is>
          <t>BARRIO CENTRO NEIVA 3</t>
        </is>
      </c>
      <c r="K93" t="inlineStr">
        <is>
          <t>BANCOLOMBIA</t>
        </is>
      </c>
      <c r="L93" t="inlineStr">
        <is>
          <t>FO-25-1353510</t>
        </is>
      </c>
      <c r="M93" s="26" t="n">
        <v>45878.7</v>
      </c>
      <c r="N93" s="26" t="n">
        <v>45878.84097222222</v>
      </c>
      <c r="O93" s="27" t="n">
        <v>0</v>
      </c>
      <c r="P93" t="inlineStr">
        <is>
          <t>CB UNO A UNO</t>
        </is>
      </c>
      <c r="Q93" t="inlineStr">
        <is>
          <t>CB UNO A UNO</t>
        </is>
      </c>
      <c r="R93" t="inlineStr">
        <is>
          <t>EJECUTADO / CANCELADO</t>
        </is>
      </c>
      <c r="S93" t="inlineStr">
        <is>
          <t>CB CERRADO - DESOCUPADO</t>
        </is>
      </c>
      <c r="T93" t="inlineStr">
        <is>
          <t>VISITA TECNICA</t>
        </is>
      </c>
      <c r="U93" t="inlineStr">
        <is>
          <t>17ZZZ823</t>
        </is>
      </c>
      <c r="V93" t="inlineStr">
        <is>
          <t>TIPO I</t>
        </is>
      </c>
      <c r="W93" t="inlineStr">
        <is>
          <t>TERRESTRE</t>
        </is>
      </c>
      <c r="X93" t="inlineStr">
        <is>
          <t>ANDRADE HERNANDEZ JUAN CARLOS</t>
        </is>
      </c>
      <c r="Y93" t="inlineStr">
        <is>
          <t>1</t>
        </is>
      </c>
      <c r="Z93" t="inlineStr">
        <is>
          <t>0</t>
        </is>
      </c>
      <c r="AA93" s="27" t="n">
        <v>0</v>
      </c>
      <c r="AB93" s="27" t="n">
        <v>0</v>
      </c>
      <c r="AC93" s="27" t="n">
        <v>0</v>
      </c>
      <c r="AD93" s="27" t="n">
        <v>44560</v>
      </c>
      <c r="AE93" s="27" t="n">
        <v>0</v>
      </c>
    </row>
    <row r="94">
      <c r="A94" t="inlineStr">
        <is>
          <t>NEIVA</t>
        </is>
      </c>
      <c r="B94" t="inlineStr">
        <is>
          <t>REMOTAS</t>
        </is>
      </c>
      <c r="C94" t="inlineStr">
        <is>
          <t>0004-0007</t>
        </is>
      </c>
      <c r="D94" t="inlineStr">
        <is>
          <t>41001</t>
        </is>
      </c>
      <c r="E94" t="inlineStr">
        <is>
          <t>TA-25-948861</t>
        </is>
      </c>
      <c r="F94" t="inlineStr">
        <is>
          <t>3007033474</t>
        </is>
      </c>
      <c r="G94" t="inlineStr">
        <is>
          <t>OC CIERRE</t>
        </is>
      </c>
      <c r="H94" t="inlineStr">
        <is>
          <t>HUILA</t>
        </is>
      </c>
      <c r="I94" t="inlineStr">
        <is>
          <t>NEIVA</t>
        </is>
      </c>
      <c r="J94" t="inlineStr">
        <is>
          <t>BARRIO CENTRO NEIVA 4</t>
        </is>
      </c>
      <c r="K94" t="inlineStr">
        <is>
          <t>BANCOLOMBIA</t>
        </is>
      </c>
      <c r="L94" t="inlineStr">
        <is>
          <t>FO-25-1353513</t>
        </is>
      </c>
      <c r="M94" s="26" t="n">
        <v>45878.7</v>
      </c>
      <c r="N94" s="26" t="n">
        <v>45881.42708333334</v>
      </c>
      <c r="O94" s="27" t="n">
        <v>0</v>
      </c>
      <c r="P94" t="inlineStr">
        <is>
          <t>CB UNO A UNO</t>
        </is>
      </c>
      <c r="Q94" t="inlineStr">
        <is>
          <t>CB UNO A UNO</t>
        </is>
      </c>
      <c r="R94" t="inlineStr">
        <is>
          <t>EJECUTADO / CANCELADO</t>
        </is>
      </c>
      <c r="S94" t="inlineStr">
        <is>
          <t>CB CERRADO - DESOCUPADO</t>
        </is>
      </c>
      <c r="T94" t="inlineStr">
        <is>
          <t>VISITA TECNICA</t>
        </is>
      </c>
      <c r="U94" t="inlineStr">
        <is>
          <t>NONE</t>
        </is>
      </c>
      <c r="V94" t="inlineStr">
        <is>
          <t>TIPO I</t>
        </is>
      </c>
      <c r="W94" t="inlineStr">
        <is>
          <t>TERRESTRE</t>
        </is>
      </c>
      <c r="X94" t="inlineStr">
        <is>
          <t>DEVIA REINOSO JUAN CARLOS</t>
        </is>
      </c>
      <c r="Y94" t="inlineStr">
        <is>
          <t>1</t>
        </is>
      </c>
      <c r="Z94" t="inlineStr">
        <is>
          <t>0</t>
        </is>
      </c>
      <c r="AA94" s="27" t="n">
        <v>0</v>
      </c>
      <c r="AB94" s="27" t="n">
        <v>0</v>
      </c>
      <c r="AC94" s="27" t="n">
        <v>0</v>
      </c>
      <c r="AD94" s="27" t="n">
        <v>44560</v>
      </c>
      <c r="AE94" s="27" t="n">
        <v>0</v>
      </c>
    </row>
    <row r="95">
      <c r="A95" t="inlineStr">
        <is>
          <t>NEIVA</t>
        </is>
      </c>
      <c r="B95" t="inlineStr">
        <is>
          <t>REMOTAS</t>
        </is>
      </c>
      <c r="C95" t="inlineStr">
        <is>
          <t>0004-0007</t>
        </is>
      </c>
      <c r="D95" t="inlineStr">
        <is>
          <t>41001</t>
        </is>
      </c>
      <c r="E95" t="inlineStr">
        <is>
          <t>TA-25-948862</t>
        </is>
      </c>
      <c r="F95" t="inlineStr">
        <is>
          <t>3007033475</t>
        </is>
      </c>
      <c r="G95" t="inlineStr">
        <is>
          <t>OC CIERRE</t>
        </is>
      </c>
      <c r="H95" t="inlineStr">
        <is>
          <t>HUILA</t>
        </is>
      </c>
      <c r="I95" t="inlineStr">
        <is>
          <t>NEIVA</t>
        </is>
      </c>
      <c r="J95" t="inlineStr">
        <is>
          <t>BARRIO CENTRO NEIVA 5</t>
        </is>
      </c>
      <c r="K95" t="inlineStr">
        <is>
          <t>BANCOLOMBIA</t>
        </is>
      </c>
      <c r="L95" t="inlineStr">
        <is>
          <t>FO-25-1353516</t>
        </is>
      </c>
      <c r="M95" s="26" t="n">
        <v>45878.7</v>
      </c>
      <c r="N95" s="26" t="n">
        <v>45881.42569444444</v>
      </c>
      <c r="O95" s="27" t="n">
        <v>0</v>
      </c>
      <c r="P95" t="inlineStr">
        <is>
          <t>CB UNO A UNO</t>
        </is>
      </c>
      <c r="Q95" t="inlineStr">
        <is>
          <t>CB UNO A UNO</t>
        </is>
      </c>
      <c r="R95" t="inlineStr">
        <is>
          <t>EJECUTADO / CANCELADO</t>
        </is>
      </c>
      <c r="S95" t="inlineStr">
        <is>
          <t>CB CERRADO - DESOCUPADO</t>
        </is>
      </c>
      <c r="T95" t="inlineStr">
        <is>
          <t>VISITA TECNICA</t>
        </is>
      </c>
      <c r="U95" t="inlineStr">
        <is>
          <t>NONE</t>
        </is>
      </c>
      <c r="V95" t="inlineStr">
        <is>
          <t>TIPO I</t>
        </is>
      </c>
      <c r="W95" t="inlineStr">
        <is>
          <t>TERRESTRE</t>
        </is>
      </c>
      <c r="X95" t="inlineStr">
        <is>
          <t>DEVIA REINOSO JUAN CARLOS</t>
        </is>
      </c>
      <c r="Y95" t="inlineStr">
        <is>
          <t>1</t>
        </is>
      </c>
      <c r="Z95" t="inlineStr">
        <is>
          <t>0</t>
        </is>
      </c>
      <c r="AA95" s="27" t="n">
        <v>0</v>
      </c>
      <c r="AB95" s="27" t="n">
        <v>0</v>
      </c>
      <c r="AC95" s="27" t="n">
        <v>0</v>
      </c>
      <c r="AD95" s="27" t="n">
        <v>44560</v>
      </c>
      <c r="AE95" s="27" t="n">
        <v>0</v>
      </c>
    </row>
    <row r="96">
      <c r="A96" t="inlineStr">
        <is>
          <t>NEIVA</t>
        </is>
      </c>
      <c r="B96" t="inlineStr">
        <is>
          <t>REMOTAS</t>
        </is>
      </c>
      <c r="C96" t="inlineStr">
        <is>
          <t>0004-0007</t>
        </is>
      </c>
      <c r="D96" t="inlineStr">
        <is>
          <t>41551</t>
        </is>
      </c>
      <c r="E96" t="inlineStr">
        <is>
          <t>TA-25-948863</t>
        </is>
      </c>
      <c r="F96" t="inlineStr">
        <is>
          <t>3007033477</t>
        </is>
      </c>
      <c r="G96" t="inlineStr">
        <is>
          <t>OC CIERRE</t>
        </is>
      </c>
      <c r="H96" t="inlineStr">
        <is>
          <t>HUILA</t>
        </is>
      </c>
      <c r="I96" t="inlineStr">
        <is>
          <t>PITALITO</t>
        </is>
      </c>
      <c r="J96" t="inlineStr">
        <is>
          <t>BARRIO CENTRO PITALITO 1</t>
        </is>
      </c>
      <c r="K96" t="inlineStr">
        <is>
          <t>BANCOLOMBIA</t>
        </is>
      </c>
      <c r="L96" t="inlineStr">
        <is>
          <t>FO-25-1353520</t>
        </is>
      </c>
      <c r="M96" s="26" t="n">
        <v>45878.7</v>
      </c>
      <c r="N96" s="26" t="n">
        <v>45882.62638888889</v>
      </c>
      <c r="O96" s="27" t="n">
        <v>0</v>
      </c>
      <c r="P96" t="inlineStr">
        <is>
          <t>CB UNO A UNO</t>
        </is>
      </c>
      <c r="Q96" t="inlineStr">
        <is>
          <t>CB UNO A UNO</t>
        </is>
      </c>
      <c r="R96" t="inlineStr">
        <is>
          <t>EJECUTADO / CANCELADO</t>
        </is>
      </c>
      <c r="S96" t="inlineStr">
        <is>
          <t>CB NO ENTREGA EQUIPO</t>
        </is>
      </c>
      <c r="T96" t="inlineStr">
        <is>
          <t>VISITA TECNICA</t>
        </is>
      </c>
      <c r="U96" t="inlineStr">
        <is>
          <t>NONE</t>
        </is>
      </c>
      <c r="V96" t="inlineStr">
        <is>
          <t>TIPO III</t>
        </is>
      </c>
      <c r="W96" t="inlineStr">
        <is>
          <t>TERRESTRE</t>
        </is>
      </c>
      <c r="X96" t="inlineStr">
        <is>
          <t>DEVIA REINOSO JUAN CARLOS</t>
        </is>
      </c>
      <c r="Y96" t="inlineStr">
        <is>
          <t>1</t>
        </is>
      </c>
      <c r="Z96" t="inlineStr">
        <is>
          <t>0</t>
        </is>
      </c>
      <c r="AA96" s="27" t="n">
        <v>0</v>
      </c>
      <c r="AB96" s="27" t="n">
        <v>0</v>
      </c>
      <c r="AC96" s="27" t="n">
        <v>0</v>
      </c>
      <c r="AD96" s="27" t="n">
        <v>222904</v>
      </c>
      <c r="AE96" s="27" t="n">
        <v>0</v>
      </c>
    </row>
    <row r="97">
      <c r="A97" t="inlineStr">
        <is>
          <t>VILLAVICENCIO</t>
        </is>
      </c>
      <c r="B97" t="inlineStr">
        <is>
          <t>REMOTAS</t>
        </is>
      </c>
      <c r="C97" t="inlineStr">
        <is>
          <t>0004-0007</t>
        </is>
      </c>
      <c r="D97" t="inlineStr">
        <is>
          <t>50001</t>
        </is>
      </c>
      <c r="E97" t="inlineStr">
        <is>
          <t>TA-25-948865</t>
        </is>
      </c>
      <c r="F97" t="inlineStr">
        <is>
          <t>3007074538</t>
        </is>
      </c>
      <c r="G97" t="inlineStr">
        <is>
          <t>OC CIERRE</t>
        </is>
      </c>
      <c r="H97" t="inlineStr">
        <is>
          <t>META</t>
        </is>
      </c>
      <c r="I97" t="inlineStr">
        <is>
          <t>VILLAVICENCIO</t>
        </is>
      </c>
      <c r="J97" t="inlineStr">
        <is>
          <t>BARRIO DOCE DE OCTUBRE VILLAVI</t>
        </is>
      </c>
      <c r="K97" t="inlineStr">
        <is>
          <t>BANCOLOMBIA</t>
        </is>
      </c>
      <c r="L97" t="inlineStr">
        <is>
          <t>FO-25-1353528</t>
        </is>
      </c>
      <c r="M97" s="26" t="n">
        <v>45878.7</v>
      </c>
      <c r="N97" s="26" t="n">
        <v>45881.39027777778</v>
      </c>
      <c r="O97" s="27" t="n">
        <v>0</v>
      </c>
      <c r="P97" t="inlineStr">
        <is>
          <t>CB UNO A UNO</t>
        </is>
      </c>
      <c r="Q97" t="inlineStr">
        <is>
          <t>CB UNO A UNO</t>
        </is>
      </c>
      <c r="R97" t="inlineStr">
        <is>
          <t>EJECUTADO / CANCELADO</t>
        </is>
      </c>
      <c r="S97" t="inlineStr">
        <is>
          <t>CB CERRADO - DESOCUPADO</t>
        </is>
      </c>
      <c r="T97" t="inlineStr">
        <is>
          <t>VISITA TECNICA</t>
        </is>
      </c>
      <c r="U97" t="inlineStr"/>
      <c r="V97" t="inlineStr">
        <is>
          <t>TIPO I</t>
        </is>
      </c>
      <c r="W97" t="inlineStr">
        <is>
          <t>TERRESTRE</t>
        </is>
      </c>
      <c r="X97" t="inlineStr">
        <is>
          <t>PEDREROS CONTRERAS MICHAEL STEVENS</t>
        </is>
      </c>
      <c r="Y97" t="inlineStr">
        <is>
          <t>1</t>
        </is>
      </c>
      <c r="Z97" t="inlineStr">
        <is>
          <t>0</t>
        </is>
      </c>
      <c r="AA97" s="27" t="n">
        <v>0</v>
      </c>
      <c r="AB97" s="27" t="n">
        <v>0</v>
      </c>
      <c r="AC97" s="27" t="n">
        <v>0</v>
      </c>
      <c r="AD97" s="27" t="n">
        <v>44560</v>
      </c>
      <c r="AE97" s="27" t="n">
        <v>0</v>
      </c>
    </row>
    <row r="98">
      <c r="A98" t="inlineStr">
        <is>
          <t>IBAGUE</t>
        </is>
      </c>
      <c r="B98" t="inlineStr">
        <is>
          <t>REMOTAS</t>
        </is>
      </c>
      <c r="C98" t="inlineStr">
        <is>
          <t>0004-0007</t>
        </is>
      </c>
      <c r="D98" t="inlineStr">
        <is>
          <t>73001</t>
        </is>
      </c>
      <c r="E98" t="inlineStr">
        <is>
          <t>TA-25-948867</t>
        </is>
      </c>
      <c r="F98" t="inlineStr">
        <is>
          <t>3007067287</t>
        </is>
      </c>
      <c r="G98" t="inlineStr">
        <is>
          <t>OC CIERRE</t>
        </is>
      </c>
      <c r="H98" t="inlineStr">
        <is>
          <t>TOLIMA</t>
        </is>
      </c>
      <c r="I98" t="inlineStr">
        <is>
          <t>IBAGUE</t>
        </is>
      </c>
      <c r="J98" t="inlineStr">
        <is>
          <t>BARRIO PRADERAS DE SANTA RITA</t>
        </is>
      </c>
      <c r="K98" t="inlineStr">
        <is>
          <t>BANCOLOMBIA</t>
        </is>
      </c>
      <c r="L98" t="inlineStr">
        <is>
          <t>FO-25-1353534</t>
        </is>
      </c>
      <c r="M98" s="26" t="n">
        <v>45878.7</v>
      </c>
      <c r="N98" s="26" t="n">
        <v>45881.41805555556</v>
      </c>
      <c r="O98" s="27" t="n">
        <v>0</v>
      </c>
      <c r="P98" t="inlineStr">
        <is>
          <t>UNO A UNO</t>
        </is>
      </c>
      <c r="Q98" t="inlineStr">
        <is>
          <t>CB UNO A UNO</t>
        </is>
      </c>
      <c r="R98" t="inlineStr">
        <is>
          <t>EJECUTADO / CANCELADO</t>
        </is>
      </c>
      <c r="S98" t="inlineStr">
        <is>
          <t>CB NO ENTREGA EQUIPO</t>
        </is>
      </c>
      <c r="T98" t="inlineStr">
        <is>
          <t>VISITA TECNICA</t>
        </is>
      </c>
      <c r="U98" t="inlineStr"/>
      <c r="V98" t="inlineStr">
        <is>
          <t>TIPO I</t>
        </is>
      </c>
      <c r="W98" t="inlineStr">
        <is>
          <t>TERRESTRE</t>
        </is>
      </c>
      <c r="X98" t="inlineStr">
        <is>
          <t>GUTIERREZ  CAMILO ANDRES</t>
        </is>
      </c>
      <c r="Y98" t="inlineStr">
        <is>
          <t>1</t>
        </is>
      </c>
      <c r="Z98" t="inlineStr">
        <is>
          <t>0</t>
        </is>
      </c>
      <c r="AA98" s="27" t="n">
        <v>0</v>
      </c>
      <c r="AB98" s="27" t="n">
        <v>0</v>
      </c>
      <c r="AC98" s="27" t="n">
        <v>0</v>
      </c>
      <c r="AD98" s="27" t="n">
        <v>44560</v>
      </c>
      <c r="AE98" s="27" t="n">
        <v>0</v>
      </c>
    </row>
    <row r="99">
      <c r="A99" t="inlineStr">
        <is>
          <t>NEIVA</t>
        </is>
      </c>
      <c r="B99" t="inlineStr">
        <is>
          <t>REMOTAS</t>
        </is>
      </c>
      <c r="C99" t="inlineStr">
        <is>
          <t>0004-0007</t>
        </is>
      </c>
      <c r="D99" t="inlineStr">
        <is>
          <t>73483</t>
        </is>
      </c>
      <c r="E99" t="inlineStr">
        <is>
          <t>TA-25-948868</t>
        </is>
      </c>
      <c r="F99" t="inlineStr">
        <is>
          <t>3007075471</t>
        </is>
      </c>
      <c r="G99" t="inlineStr">
        <is>
          <t>OC CIERRE</t>
        </is>
      </c>
      <c r="H99" t="inlineStr">
        <is>
          <t>TOLIMA</t>
        </is>
      </c>
      <c r="I99" t="inlineStr">
        <is>
          <t>NATAGAIMA</t>
        </is>
      </c>
      <c r="J99" t="inlineStr">
        <is>
          <t>BARRIO  CENTRO NATAGAIMA</t>
        </is>
      </c>
      <c r="K99" t="inlineStr">
        <is>
          <t>BANCOLOMBIA</t>
        </is>
      </c>
      <c r="L99" t="inlineStr">
        <is>
          <t>FO-25-1361975</t>
        </is>
      </c>
      <c r="M99" s="26" t="n">
        <v>45878.7</v>
      </c>
      <c r="N99" s="26" t="n">
        <v>45880.71180555555</v>
      </c>
      <c r="O99" s="27" t="n">
        <v>0</v>
      </c>
      <c r="P99" t="inlineStr">
        <is>
          <t>UNO A UNO</t>
        </is>
      </c>
      <c r="Q99" t="inlineStr">
        <is>
          <t>UNO A UNO</t>
        </is>
      </c>
      <c r="R99" t="inlineStr">
        <is>
          <t>EJECUTADO</t>
        </is>
      </c>
      <c r="S99" t="inlineStr">
        <is>
          <t>CIERRE EXITOSO</t>
        </is>
      </c>
      <c r="T99" t="inlineStr">
        <is>
          <t>VISITA TECNICA</t>
        </is>
      </c>
      <c r="U99" t="inlineStr">
        <is>
          <t>V100C094-A406Z663</t>
        </is>
      </c>
      <c r="V99" t="inlineStr">
        <is>
          <t>TIPO II</t>
        </is>
      </c>
      <c r="W99" t="inlineStr">
        <is>
          <t>TERRESTRE</t>
        </is>
      </c>
      <c r="X99" t="inlineStr">
        <is>
          <t>ANDRADE HERNANDEZ JUAN CARLOS</t>
        </is>
      </c>
      <c r="Y99" t="inlineStr">
        <is>
          <t>2</t>
        </is>
      </c>
      <c r="Z99" t="inlineStr">
        <is>
          <t>0</t>
        </is>
      </c>
      <c r="AA99" s="27" t="n">
        <v>0</v>
      </c>
      <c r="AB99" s="27" t="n">
        <v>0</v>
      </c>
      <c r="AC99" s="27" t="n">
        <v>0</v>
      </c>
      <c r="AD99" s="27" t="n">
        <v>134411</v>
      </c>
      <c r="AE99" s="27" t="n">
        <v>0</v>
      </c>
    </row>
    <row r="100">
      <c r="A100" t="inlineStr">
        <is>
          <t>CALI</t>
        </is>
      </c>
      <c r="B100" t="inlineStr">
        <is>
          <t>SUROCCIDENTE Y EJE CAFETERO</t>
        </is>
      </c>
      <c r="C100" t="inlineStr">
        <is>
          <t>0004-0003</t>
        </is>
      </c>
      <c r="D100" t="inlineStr">
        <is>
          <t>76520</t>
        </is>
      </c>
      <c r="E100" t="inlineStr">
        <is>
          <t>TA-25-948870</t>
        </is>
      </c>
      <c r="F100" t="inlineStr">
        <is>
          <t>3007059729</t>
        </is>
      </c>
      <c r="G100" t="inlineStr">
        <is>
          <t>OC CIERRE</t>
        </is>
      </c>
      <c r="H100" t="inlineStr">
        <is>
          <t>VALLE DEL CAUCA</t>
        </is>
      </c>
      <c r="I100" t="inlineStr">
        <is>
          <t>PALMIRA</t>
        </is>
      </c>
      <c r="J100" t="inlineStr">
        <is>
          <t>BARRIO EL CENTRO PALMIRA</t>
        </is>
      </c>
      <c r="K100" t="inlineStr">
        <is>
          <t>BANCOLOMBIA</t>
        </is>
      </c>
      <c r="L100" t="inlineStr">
        <is>
          <t>FO-25-1353541</t>
        </is>
      </c>
      <c r="M100" s="26" t="n">
        <v>45878.7</v>
      </c>
      <c r="N100" s="26" t="n">
        <v>45881.37013888889</v>
      </c>
      <c r="O100" s="27" t="n">
        <v>0</v>
      </c>
      <c r="P100" t="inlineStr">
        <is>
          <t>UNO A UNO</t>
        </is>
      </c>
      <c r="Q100" t="inlineStr">
        <is>
          <t>CB UNO A UNO</t>
        </is>
      </c>
      <c r="R100" t="inlineStr">
        <is>
          <t>EJECUTADO / CANCELADO</t>
        </is>
      </c>
      <c r="S100" t="inlineStr">
        <is>
          <t>CB NO ENTREGA EQUIPO</t>
        </is>
      </c>
      <c r="T100" t="inlineStr">
        <is>
          <t>VISITA TECNICA</t>
        </is>
      </c>
      <c r="U100" t="inlineStr"/>
      <c r="V100" t="inlineStr">
        <is>
          <t>TIPO I</t>
        </is>
      </c>
      <c r="W100" t="inlineStr">
        <is>
          <t>TERRESTRE</t>
        </is>
      </c>
      <c r="X100" t="inlineStr">
        <is>
          <t>SANCHEZ URREGO ROBINSON DAVID</t>
        </is>
      </c>
      <c r="Y100" t="inlineStr">
        <is>
          <t>1</t>
        </is>
      </c>
      <c r="Z100" t="inlineStr">
        <is>
          <t>0</t>
        </is>
      </c>
      <c r="AA100" s="27" t="n">
        <v>0</v>
      </c>
      <c r="AB100" s="27" t="n">
        <v>0</v>
      </c>
      <c r="AC100" s="27" t="n">
        <v>0</v>
      </c>
      <c r="AD100" s="27" t="n">
        <v>44560</v>
      </c>
      <c r="AE100" s="27" t="n">
        <v>0</v>
      </c>
    </row>
    <row r="101">
      <c r="A101" t="inlineStr">
        <is>
          <t>CALI</t>
        </is>
      </c>
      <c r="B101" t="inlineStr">
        <is>
          <t>SUROCCIDENTE Y EJE CAFETERO</t>
        </is>
      </c>
      <c r="C101" t="inlineStr">
        <is>
          <t>0004-0003</t>
        </is>
      </c>
      <c r="D101" t="inlineStr">
        <is>
          <t>76834</t>
        </is>
      </c>
      <c r="E101" t="inlineStr">
        <is>
          <t>TA-25-948872</t>
        </is>
      </c>
      <c r="F101" t="inlineStr">
        <is>
          <t>3007076243</t>
        </is>
      </c>
      <c r="G101" t="inlineStr">
        <is>
          <t>OC CIERRE</t>
        </is>
      </c>
      <c r="H101" t="inlineStr">
        <is>
          <t>VALLE DEL CAUCA</t>
        </is>
      </c>
      <c r="I101" t="inlineStr">
        <is>
          <t>TULUA</t>
        </is>
      </c>
      <c r="J101" t="inlineStr">
        <is>
          <t>BARRIO EL CENTRO TULUA 1</t>
        </is>
      </c>
      <c r="K101" t="inlineStr">
        <is>
          <t>BANCOLOMBIA</t>
        </is>
      </c>
      <c r="L101" t="inlineStr">
        <is>
          <t>FO-25-1353543</t>
        </is>
      </c>
      <c r="M101" s="26" t="n">
        <v>45878.7</v>
      </c>
      <c r="N101" s="26" t="n">
        <v>45881.63541666666</v>
      </c>
      <c r="O101" s="27" t="n">
        <v>0</v>
      </c>
      <c r="P101" t="inlineStr">
        <is>
          <t>UNO A UNO</t>
        </is>
      </c>
      <c r="Q101" t="inlineStr">
        <is>
          <t>UNO A UNO</t>
        </is>
      </c>
      <c r="R101" t="inlineStr">
        <is>
          <t>EJECUTADO / CANCELADO</t>
        </is>
      </c>
      <c r="S101" t="inlineStr">
        <is>
          <t>CB CERRADO - DESOCUPADO</t>
        </is>
      </c>
      <c r="T101" t="inlineStr">
        <is>
          <t>VISITA TECNICA</t>
        </is>
      </c>
      <c r="U101" t="inlineStr">
        <is>
          <t>A40NZ752</t>
        </is>
      </c>
      <c r="V101" t="inlineStr">
        <is>
          <t>TIPO II</t>
        </is>
      </c>
      <c r="W101" t="inlineStr">
        <is>
          <t>TERRESTRE</t>
        </is>
      </c>
      <c r="X101" t="inlineStr">
        <is>
          <t>BOLAÑOS TABORDA JORGE ENRIQUE</t>
        </is>
      </c>
      <c r="Y101" t="inlineStr">
        <is>
          <t>1</t>
        </is>
      </c>
      <c r="Z101" t="inlineStr">
        <is>
          <t>0</t>
        </is>
      </c>
      <c r="AA101" s="27" t="n">
        <v>0</v>
      </c>
      <c r="AB101" s="27" t="n">
        <v>0</v>
      </c>
      <c r="AC101" s="27" t="n">
        <v>0</v>
      </c>
      <c r="AD101" s="27" t="n">
        <v>134411</v>
      </c>
      <c r="AE101" s="27" t="n">
        <v>0</v>
      </c>
    </row>
    <row r="102">
      <c r="A102" t="inlineStr">
        <is>
          <t>NEIVA</t>
        </is>
      </c>
      <c r="B102" t="inlineStr">
        <is>
          <t>REMOTAS</t>
        </is>
      </c>
      <c r="C102" t="inlineStr">
        <is>
          <t>0004-0007</t>
        </is>
      </c>
      <c r="D102" t="inlineStr">
        <is>
          <t>41001</t>
        </is>
      </c>
      <c r="E102" t="inlineStr">
        <is>
          <t>TA-25-962678</t>
        </is>
      </c>
      <c r="F102" t="inlineStr">
        <is>
          <t>3007078548</t>
        </is>
      </c>
      <c r="G102" t="inlineStr">
        <is>
          <t>OC CIERRE</t>
        </is>
      </c>
      <c r="H102" t="inlineStr">
        <is>
          <t>HUILA</t>
        </is>
      </c>
      <c r="I102" t="inlineStr">
        <is>
          <t>NEIVA</t>
        </is>
      </c>
      <c r="J102" t="inlineStr">
        <is>
          <t>BARRIO MONSERRATE NEIVA  1</t>
        </is>
      </c>
      <c r="K102" t="inlineStr">
        <is>
          <t>BANCOLOMBIA</t>
        </is>
      </c>
      <c r="L102" t="inlineStr">
        <is>
          <t>FO-25-1369308</t>
        </is>
      </c>
      <c r="M102" s="26" t="n">
        <v>45881.76111111111</v>
      </c>
      <c r="N102" s="26" t="n">
        <v>45883.63472222222</v>
      </c>
      <c r="O102" s="27" t="n">
        <v>0</v>
      </c>
      <c r="P102" t="inlineStr">
        <is>
          <t>CB UNO A UNO</t>
        </is>
      </c>
      <c r="Q102" t="inlineStr">
        <is>
          <t>CB UNO A UNO</t>
        </is>
      </c>
      <c r="R102" t="inlineStr">
        <is>
          <t>EJECUTADO</t>
        </is>
      </c>
      <c r="S102" t="inlineStr">
        <is>
          <t>CIERRE EXITOSO</t>
        </is>
      </c>
      <c r="T102" t="inlineStr">
        <is>
          <t>VISITA TECNICA</t>
        </is>
      </c>
      <c r="U102" t="inlineStr">
        <is>
          <t>F1LZZ956</t>
        </is>
      </c>
      <c r="V102" t="inlineStr">
        <is>
          <t>TIPO I</t>
        </is>
      </c>
      <c r="W102" t="inlineStr">
        <is>
          <t>TERRESTRE</t>
        </is>
      </c>
      <c r="X102" t="inlineStr">
        <is>
          <t>DIAZ VARGAS JONATHAN MIGUEL</t>
        </is>
      </c>
      <c r="Y102" t="inlineStr">
        <is>
          <t>2</t>
        </is>
      </c>
      <c r="Z102" t="inlineStr">
        <is>
          <t>0</t>
        </is>
      </c>
      <c r="AA102" s="27" t="n">
        <v>0</v>
      </c>
      <c r="AB102" s="27" t="n">
        <v>0</v>
      </c>
      <c r="AC102" s="27" t="n">
        <v>0</v>
      </c>
      <c r="AD102" s="27" t="n">
        <v>44560</v>
      </c>
      <c r="AE102" s="27" t="n">
        <v>0</v>
      </c>
    </row>
    <row r="103">
      <c r="A103" t="inlineStr">
        <is>
          <t>APARTADO</t>
        </is>
      </c>
      <c r="B103" t="inlineStr">
        <is>
          <t>NOROCCIDENTE</t>
        </is>
      </c>
      <c r="C103" t="inlineStr">
        <is>
          <t>0004-0005</t>
        </is>
      </c>
      <c r="D103" t="inlineStr">
        <is>
          <t>27077</t>
        </is>
      </c>
      <c r="E103" t="inlineStr">
        <is>
          <t>TA-25-962684</t>
        </is>
      </c>
      <c r="F103" t="inlineStr">
        <is>
          <t>3007050248</t>
        </is>
      </c>
      <c r="G103" t="inlineStr">
        <is>
          <t>OC CIERRE</t>
        </is>
      </c>
      <c r="H103" t="inlineStr">
        <is>
          <t>CHOCO</t>
        </is>
      </c>
      <c r="I103" t="inlineStr">
        <is>
          <t>BAJO BAUDO</t>
        </is>
      </c>
      <c r="J103" t="inlineStr">
        <is>
          <t>BARRIO TRINIDAD Y PLAYITA BAJO BAUDO</t>
        </is>
      </c>
      <c r="K103" t="inlineStr">
        <is>
          <t>BANCOLOMBIA</t>
        </is>
      </c>
      <c r="L103" t="inlineStr">
        <is>
          <t>FO-25-1363671</t>
        </is>
      </c>
      <c r="M103" s="26" t="n">
        <v>45881.92916666667</v>
      </c>
      <c r="N103" s="26" t="n">
        <v>45889.50694444445</v>
      </c>
      <c r="O103" s="27" t="n">
        <v>0</v>
      </c>
      <c r="P103" t="inlineStr">
        <is>
          <t>UNO A UNO</t>
        </is>
      </c>
      <c r="Q103" t="inlineStr">
        <is>
          <t>CB UNO A UNO</t>
        </is>
      </c>
      <c r="R103" t="inlineStr">
        <is>
          <t>EJECUTADO / CANCELADO</t>
        </is>
      </c>
      <c r="S103" t="inlineStr">
        <is>
          <t>CB NO ENTREGA EQUIPO</t>
        </is>
      </c>
      <c r="T103" t="inlineStr">
        <is>
          <t>VISITA TECNICA</t>
        </is>
      </c>
      <c r="U103" t="inlineStr">
        <is>
          <t xml:space="preserve">NO SUMINISTRA </t>
        </is>
      </c>
      <c r="V103" t="inlineStr">
        <is>
          <t>TIPO IV ESPECIAL</t>
        </is>
      </c>
      <c r="W103" t="inlineStr">
        <is>
          <t>AEREO</t>
        </is>
      </c>
      <c r="X103" t="inlineStr">
        <is>
          <t>ROBLEDO DIAZ ANDRES FELIPE</t>
        </is>
      </c>
      <c r="Y103" t="inlineStr">
        <is>
          <t>1</t>
        </is>
      </c>
      <c r="Z103" t="inlineStr">
        <is>
          <t>0</t>
        </is>
      </c>
      <c r="AA103" s="27" t="n">
        <v>0</v>
      </c>
      <c r="AB103" s="27" t="n">
        <v>0</v>
      </c>
      <c r="AC103" s="27" t="n">
        <v>0</v>
      </c>
      <c r="AD103" s="27" t="n">
        <v>988463</v>
      </c>
      <c r="AE103" s="27" t="n">
        <v>0</v>
      </c>
    </row>
    <row r="104">
      <c r="A104" t="inlineStr">
        <is>
          <t>BOGOTA</t>
        </is>
      </c>
      <c r="B104" t="inlineStr">
        <is>
          <t>CUNDINAMARCA</t>
        </is>
      </c>
      <c r="C104" t="inlineStr">
        <is>
          <t>0004-0004</t>
        </is>
      </c>
      <c r="D104" t="inlineStr">
        <is>
          <t>11001</t>
        </is>
      </c>
      <c r="E104" t="inlineStr">
        <is>
          <t>TA-25-963282</t>
        </is>
      </c>
      <c r="F104" t="inlineStr">
        <is>
          <t>3007078672</t>
        </is>
      </c>
      <c r="G104" t="inlineStr">
        <is>
          <t>OC CIERRE</t>
        </is>
      </c>
      <c r="H104" t="inlineStr">
        <is>
          <t>CUNDINAMARCA</t>
        </is>
      </c>
      <c r="I104" t="inlineStr">
        <is>
          <t>BOGOTA</t>
        </is>
      </c>
      <c r="J104" t="inlineStr">
        <is>
          <t>PTM BOGOTA COMERCIALIZADORA Y</t>
        </is>
      </c>
      <c r="K104" t="inlineStr">
        <is>
          <t>BANCOLOMBIA</t>
        </is>
      </c>
      <c r="L104" t="inlineStr">
        <is>
          <t>FO-25-1365303</t>
        </is>
      </c>
      <c r="M104" s="26" t="n">
        <v>45881.49097222222</v>
      </c>
      <c r="N104" s="26" t="n">
        <v>45881.63472222222</v>
      </c>
      <c r="O104" s="27" t="n">
        <v>0</v>
      </c>
      <c r="P104" t="inlineStr">
        <is>
          <t>AGREGADOR</t>
        </is>
      </c>
      <c r="Q104" t="inlineStr">
        <is>
          <t>COMCARD - PTM</t>
        </is>
      </c>
      <c r="R104" t="inlineStr">
        <is>
          <t>EJECUTADO / CANCELADO</t>
        </is>
      </c>
      <c r="S104" t="inlineStr">
        <is>
          <t>CB NO ENTREGA EQUIPO</t>
        </is>
      </c>
      <c r="T104" t="inlineStr">
        <is>
          <t>VISITA TECNICA</t>
        </is>
      </c>
      <c r="U104" t="inlineStr">
        <is>
          <t>10RZZ176;10RZZ139</t>
        </is>
      </c>
      <c r="V104" t="inlineStr">
        <is>
          <t>TIPO I</t>
        </is>
      </c>
      <c r="W104" t="inlineStr">
        <is>
          <t>TERRESTRE</t>
        </is>
      </c>
      <c r="X104" t="inlineStr">
        <is>
          <t>ROMERO ROJAS BREIDY JHOHAN</t>
        </is>
      </c>
      <c r="Y104" t="inlineStr">
        <is>
          <t>1</t>
        </is>
      </c>
      <c r="Z104" t="inlineStr">
        <is>
          <t>0</t>
        </is>
      </c>
      <c r="AA104" s="27" t="n">
        <v>0</v>
      </c>
      <c r="AB104" s="27" t="n">
        <v>0</v>
      </c>
      <c r="AC104" s="27" t="n">
        <v>0</v>
      </c>
      <c r="AD104" s="27" t="n">
        <v>44560</v>
      </c>
      <c r="AE104" s="27" t="n">
        <v>0</v>
      </c>
    </row>
    <row r="105">
      <c r="A105" t="inlineStr">
        <is>
          <t>CUCUTA</t>
        </is>
      </c>
      <c r="B105" t="inlineStr">
        <is>
          <t>SANTANDERES</t>
        </is>
      </c>
      <c r="C105" t="inlineStr">
        <is>
          <t>0004-0008</t>
        </is>
      </c>
      <c r="D105" t="inlineStr">
        <is>
          <t>54001</t>
        </is>
      </c>
      <c r="E105" t="inlineStr">
        <is>
          <t>TA-25-972854</t>
        </is>
      </c>
      <c r="F105" t="inlineStr">
        <is>
          <t>3007079630</t>
        </is>
      </c>
      <c r="G105" t="inlineStr">
        <is>
          <t>OC CIERRE</t>
        </is>
      </c>
      <c r="H105" t="inlineStr">
        <is>
          <t>NORTE DE SANTANDER</t>
        </is>
      </c>
      <c r="I105" t="inlineStr">
        <is>
          <t>CUCUTA</t>
        </is>
      </c>
      <c r="J105" t="inlineStr">
        <is>
          <t>BARRIO LATINO CUCUTA 20</t>
        </is>
      </c>
      <c r="K105" t="inlineStr">
        <is>
          <t>BANCOLOMBIA</t>
        </is>
      </c>
      <c r="L105" t="inlineStr">
        <is>
          <t>FO-25-1373985</t>
        </is>
      </c>
      <c r="M105" s="26" t="n">
        <v>45883.43819444445</v>
      </c>
      <c r="N105" s="26" t="n">
        <v>45884.71527777778</v>
      </c>
      <c r="O105" s="27" t="n">
        <v>0</v>
      </c>
      <c r="P105" t="inlineStr">
        <is>
          <t>UNO A UNO</t>
        </is>
      </c>
      <c r="Q105" t="inlineStr">
        <is>
          <t>UNO A UNO</t>
        </is>
      </c>
      <c r="R105" t="inlineStr">
        <is>
          <t>EJECUTADO / CANCELADO</t>
        </is>
      </c>
      <c r="S105" t="inlineStr">
        <is>
          <t>CB CERRADO - DESOCUPADO</t>
        </is>
      </c>
      <c r="T105" t="inlineStr">
        <is>
          <t>VISITA TECNICA</t>
        </is>
      </c>
      <c r="U105" t="inlineStr"/>
      <c r="V105" t="inlineStr">
        <is>
          <t>TIPO I</t>
        </is>
      </c>
      <c r="W105" t="inlineStr">
        <is>
          <t>TERRESTRE</t>
        </is>
      </c>
      <c r="X105" t="inlineStr">
        <is>
          <t>MORA VEGA JEAMPIER</t>
        </is>
      </c>
      <c r="Y105" t="inlineStr">
        <is>
          <t>1</t>
        </is>
      </c>
      <c r="Z105" t="inlineStr">
        <is>
          <t>0</t>
        </is>
      </c>
      <c r="AA105" s="27" t="n">
        <v>0</v>
      </c>
      <c r="AB105" s="27" t="n">
        <v>0</v>
      </c>
      <c r="AC105" s="27" t="n">
        <v>0</v>
      </c>
      <c r="AD105" s="27" t="n">
        <v>44560</v>
      </c>
      <c r="AE105" s="27" t="n">
        <v>0</v>
      </c>
    </row>
    <row r="106">
      <c r="A106" t="inlineStr">
        <is>
          <t>CALI</t>
        </is>
      </c>
      <c r="B106" t="inlineStr">
        <is>
          <t>SUROCCIDENTE Y EJE CAFETERO</t>
        </is>
      </c>
      <c r="C106" t="inlineStr">
        <is>
          <t>0004-0003</t>
        </is>
      </c>
      <c r="D106" t="inlineStr">
        <is>
          <t>19548</t>
        </is>
      </c>
      <c r="E106" t="inlineStr">
        <is>
          <t>TA-25-973860</t>
        </is>
      </c>
      <c r="F106" t="inlineStr">
        <is>
          <t>3007054135</t>
        </is>
      </c>
      <c r="G106" t="inlineStr">
        <is>
          <t>OC CIERRE</t>
        </is>
      </c>
      <c r="H106" t="inlineStr">
        <is>
          <t>CAUCA</t>
        </is>
      </c>
      <c r="I106" t="inlineStr">
        <is>
          <t>PIENDAMO</t>
        </is>
      </c>
      <c r="J106" t="inlineStr">
        <is>
          <t>BARRIO FATIMA PIENDAMO</t>
        </is>
      </c>
      <c r="K106" t="inlineStr">
        <is>
          <t>BANCOLOMBIA</t>
        </is>
      </c>
      <c r="L106" t="inlineStr">
        <is>
          <t>FO-25-1375861</t>
        </is>
      </c>
      <c r="M106" s="26" t="n">
        <v>45883.68541666667</v>
      </c>
      <c r="N106" s="26" t="n">
        <v>45895.43263888889</v>
      </c>
      <c r="O106" s="27" t="n">
        <v>0</v>
      </c>
      <c r="P106" t="inlineStr">
        <is>
          <t>CB UNO A UNO</t>
        </is>
      </c>
      <c r="Q106" t="inlineStr">
        <is>
          <t>CB UNO A UNO</t>
        </is>
      </c>
      <c r="R106" t="inlineStr">
        <is>
          <t>EJECUTADO / CANCELADO</t>
        </is>
      </c>
      <c r="S106" t="inlineStr">
        <is>
          <t>CB CERRADO - DESOCUPADO</t>
        </is>
      </c>
      <c r="T106" t="inlineStr">
        <is>
          <t>VISITA TECNICA</t>
        </is>
      </c>
      <c r="U106" t="inlineStr">
        <is>
          <t>XP3ZZ789</t>
        </is>
      </c>
      <c r="V106" t="inlineStr">
        <is>
          <t>TIPO III</t>
        </is>
      </c>
      <c r="W106" t="inlineStr">
        <is>
          <t>TERRESTRE</t>
        </is>
      </c>
      <c r="X106" t="inlineStr">
        <is>
          <t>GIMBUEL LASSO LUIS GERMAN</t>
        </is>
      </c>
      <c r="Y106" t="inlineStr">
        <is>
          <t>1</t>
        </is>
      </c>
      <c r="Z106" t="inlineStr">
        <is>
          <t>0</t>
        </is>
      </c>
      <c r="AA106" s="27" t="n">
        <v>0</v>
      </c>
      <c r="AB106" s="27" t="n">
        <v>0</v>
      </c>
      <c r="AC106" s="27" t="n">
        <v>0</v>
      </c>
      <c r="AD106" s="27" t="n">
        <v>222904</v>
      </c>
      <c r="AE106" s="27" t="n">
        <v>0</v>
      </c>
    </row>
    <row r="107">
      <c r="A107" t="inlineStr">
        <is>
          <t>BUCARAMANGA</t>
        </is>
      </c>
      <c r="B107" t="inlineStr">
        <is>
          <t>SANTANDERES</t>
        </is>
      </c>
      <c r="C107" t="inlineStr">
        <is>
          <t>0004-0008</t>
        </is>
      </c>
      <c r="D107" t="inlineStr">
        <is>
          <t>68307</t>
        </is>
      </c>
      <c r="E107" t="inlineStr">
        <is>
          <t>TA-25-973867</t>
        </is>
      </c>
      <c r="F107" t="inlineStr">
        <is>
          <t>3007063099</t>
        </is>
      </c>
      <c r="G107" t="inlineStr">
        <is>
          <t>OC CIERRE</t>
        </is>
      </c>
      <c r="H107" t="inlineStr">
        <is>
          <t>SANTANDER</t>
        </is>
      </c>
      <c r="I107" t="inlineStr">
        <is>
          <t>GIRON</t>
        </is>
      </c>
      <c r="J107" t="inlineStr">
        <is>
          <t>BARRIO SAN ANTONIO DE CARRIZAL</t>
        </is>
      </c>
      <c r="K107" t="inlineStr">
        <is>
          <t>BANCOLOMBIA</t>
        </is>
      </c>
      <c r="L107" t="inlineStr">
        <is>
          <t>FO-25-1375874</t>
        </is>
      </c>
      <c r="M107" s="26" t="n">
        <v>45883.60833333333</v>
      </c>
      <c r="N107" s="26" t="n">
        <v>45885.44861111111</v>
      </c>
      <c r="O107" s="27" t="n">
        <v>0</v>
      </c>
      <c r="P107" t="inlineStr">
        <is>
          <t>CB UNO A UNO</t>
        </is>
      </c>
      <c r="Q107" t="inlineStr">
        <is>
          <t>CB UNO A UNO</t>
        </is>
      </c>
      <c r="R107" t="inlineStr"/>
      <c r="S107" t="inlineStr">
        <is>
          <t>CB NO ENTREGA EQUIPO</t>
        </is>
      </c>
      <c r="T107" t="inlineStr">
        <is>
          <t>SOPORTE TELEFONICO</t>
        </is>
      </c>
      <c r="U107" t="inlineStr"/>
      <c r="V107" t="inlineStr">
        <is>
          <t>TIPO I</t>
        </is>
      </c>
      <c r="W107" t="inlineStr">
        <is>
          <t>TERRESTRE</t>
        </is>
      </c>
      <c r="X107" t="inlineStr">
        <is>
          <t>SANTOS GONZALEZ JOHAN FABIAN</t>
        </is>
      </c>
      <c r="Y107" t="inlineStr">
        <is>
          <t>1</t>
        </is>
      </c>
      <c r="Z107" t="inlineStr">
        <is>
          <t>0</t>
        </is>
      </c>
      <c r="AA107" s="27" t="n">
        <v>0</v>
      </c>
      <c r="AB107" s="27" t="n">
        <v>0</v>
      </c>
      <c r="AC107" s="27" t="n">
        <v>0</v>
      </c>
      <c r="AD107" s="27" t="n">
        <v>37905</v>
      </c>
      <c r="AE107" s="27" t="n">
        <v>0</v>
      </c>
    </row>
    <row r="108">
      <c r="A108" t="inlineStr">
        <is>
          <t>CALI</t>
        </is>
      </c>
      <c r="B108" t="inlineStr">
        <is>
          <t>SUROCCIDENTE Y EJE CAFETERO</t>
        </is>
      </c>
      <c r="C108" t="inlineStr">
        <is>
          <t>0004-0003</t>
        </is>
      </c>
      <c r="D108" t="inlineStr">
        <is>
          <t>76001</t>
        </is>
      </c>
      <c r="E108" t="inlineStr">
        <is>
          <t>TA-25-973870</t>
        </is>
      </c>
      <c r="F108" t="inlineStr">
        <is>
          <t>3007076363</t>
        </is>
      </c>
      <c r="G108" t="inlineStr">
        <is>
          <t>OC CIERRE</t>
        </is>
      </c>
      <c r="H108" t="inlineStr">
        <is>
          <t>VALLE DEL CAUCA</t>
        </is>
      </c>
      <c r="I108" t="inlineStr">
        <is>
          <t>CALI</t>
        </is>
      </c>
      <c r="J108" t="inlineStr">
        <is>
          <t>BARRIO UNICENTRO CALI CALI</t>
        </is>
      </c>
      <c r="K108" t="inlineStr">
        <is>
          <t>BANCOLOMBIA</t>
        </is>
      </c>
      <c r="L108" t="inlineStr">
        <is>
          <t>FO-25-1375884</t>
        </is>
      </c>
      <c r="M108" s="26" t="n">
        <v>45883.55625</v>
      </c>
      <c r="N108" s="26" t="n">
        <v>45884.34236111111</v>
      </c>
      <c r="O108" s="27" t="n">
        <v>0</v>
      </c>
      <c r="P108" t="inlineStr">
        <is>
          <t>CB UNO A UNO</t>
        </is>
      </c>
      <c r="Q108" t="inlineStr">
        <is>
          <t>CB UNO A UNO</t>
        </is>
      </c>
      <c r="R108" t="inlineStr">
        <is>
          <t>EJECUTADO / CANCELADO</t>
        </is>
      </c>
      <c r="S108" t="inlineStr">
        <is>
          <t>CB CERRADO - DESOCUPADO</t>
        </is>
      </c>
      <c r="T108" t="inlineStr">
        <is>
          <t>VISITA TECNICA</t>
        </is>
      </c>
      <c r="U108" t="inlineStr">
        <is>
          <t>A10RZ460</t>
        </is>
      </c>
      <c r="V108" t="inlineStr">
        <is>
          <t>TIPO I</t>
        </is>
      </c>
      <c r="W108" t="inlineStr">
        <is>
          <t>TERRESTRE</t>
        </is>
      </c>
      <c r="X108" t="inlineStr">
        <is>
          <t>HERRERA MONAR GEOVANNY</t>
        </is>
      </c>
      <c r="Y108" t="inlineStr">
        <is>
          <t>1</t>
        </is>
      </c>
      <c r="Z108" t="inlineStr">
        <is>
          <t>0</t>
        </is>
      </c>
      <c r="AA108" s="27" t="n">
        <v>0</v>
      </c>
      <c r="AB108" s="27" t="n">
        <v>0</v>
      </c>
      <c r="AC108" s="27" t="n">
        <v>0</v>
      </c>
      <c r="AD108" s="27" t="n">
        <v>44560</v>
      </c>
      <c r="AE108" s="27" t="n">
        <v>0</v>
      </c>
    </row>
    <row r="109">
      <c r="A109" t="inlineStr">
        <is>
          <t>PASTO</t>
        </is>
      </c>
      <c r="B109" t="inlineStr">
        <is>
          <t>SUROCCIDENTE Y EJE CAFETERO</t>
        </is>
      </c>
      <c r="C109" t="inlineStr">
        <is>
          <t>0004-0003</t>
        </is>
      </c>
      <c r="D109" t="inlineStr">
        <is>
          <t>86749</t>
        </is>
      </c>
      <c r="E109" t="inlineStr">
        <is>
          <t>TA-25-973871</t>
        </is>
      </c>
      <c r="F109" t="inlineStr">
        <is>
          <t>3007076649</t>
        </is>
      </c>
      <c r="G109" t="inlineStr">
        <is>
          <t>OC CIERRE</t>
        </is>
      </c>
      <c r="H109" t="inlineStr">
        <is>
          <t>PUTUMAYO</t>
        </is>
      </c>
      <c r="I109" t="inlineStr">
        <is>
          <t>SIBUNDOY</t>
        </is>
      </c>
      <c r="J109" t="inlineStr">
        <is>
          <t>BARRIO COMERCIAL SIBUNDOY 1</t>
        </is>
      </c>
      <c r="K109" t="inlineStr">
        <is>
          <t>BANCOLOMBIA</t>
        </is>
      </c>
      <c r="L109" t="inlineStr">
        <is>
          <t>FO-25-1375888</t>
        </is>
      </c>
      <c r="M109" s="26" t="n">
        <v>45883.61736111111</v>
      </c>
      <c r="N109" s="26" t="n">
        <v>45888.42847222222</v>
      </c>
      <c r="O109" s="27" t="n">
        <v>0</v>
      </c>
      <c r="P109" t="inlineStr">
        <is>
          <t>UNO A UNO</t>
        </is>
      </c>
      <c r="Q109" t="inlineStr">
        <is>
          <t>UNO A UNO</t>
        </is>
      </c>
      <c r="R109" t="inlineStr">
        <is>
          <t>EJECUTADO / CANCELADO</t>
        </is>
      </c>
      <c r="S109" t="inlineStr">
        <is>
          <t>CB NO ENTREGA EQUIPO</t>
        </is>
      </c>
      <c r="T109" t="inlineStr">
        <is>
          <t>VISITA TECNICA</t>
        </is>
      </c>
      <c r="U109" t="inlineStr">
        <is>
          <t>LA2ZZ432</t>
        </is>
      </c>
      <c r="V109" t="inlineStr">
        <is>
          <t>TIPO III</t>
        </is>
      </c>
      <c r="W109" t="inlineStr">
        <is>
          <t>TERRESTRE</t>
        </is>
      </c>
      <c r="X109" t="inlineStr">
        <is>
          <t>CASTILLO HERRERA ALEX RICARDO</t>
        </is>
      </c>
      <c r="Y109" t="inlineStr">
        <is>
          <t>1</t>
        </is>
      </c>
      <c r="Z109" t="inlineStr">
        <is>
          <t>0</t>
        </is>
      </c>
      <c r="AA109" s="27" t="n">
        <v>0</v>
      </c>
      <c r="AB109" s="27" t="n">
        <v>0</v>
      </c>
      <c r="AC109" s="27" t="n">
        <v>0</v>
      </c>
      <c r="AD109" s="27" t="n">
        <v>222904</v>
      </c>
      <c r="AE109" s="27" t="n">
        <v>0</v>
      </c>
    </row>
  </sheetData>
  <autoFilter ref="A1:AE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Adriana</dc:creator>
  <dcterms:created xmlns:dcterms="http://purl.org/dc/terms/" xmlns:xsi="http://www.w3.org/2001/XMLSchema-instance" xsi:type="dcterms:W3CDTF">2015-11-09T13:46:27Z</dcterms:created>
  <dcterms:modified xmlns:dcterms="http://purl.org/dc/terms/" xmlns:xsi="http://www.w3.org/2001/XMLSchema-instance" xsi:type="dcterms:W3CDTF">2025-09-01T11:16:04Z</dcterms:modified>
  <cp:lastModifiedBy>Luz Nedy Molina Torrado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0x01010053B65F2A1E6B224C9C5044DE90DA3D05</vt:lpwstr>
  </property>
  <property name="MediaServiceImageTags" fmtid="{D5CDD505-2E9C-101B-9397-08002B2CF9AE}" pid="3">
    <vt:lpwstr xmlns:vt="http://schemas.openxmlformats.org/officeDocument/2006/docPropsVTypes"/>
  </property>
</Properties>
</file>