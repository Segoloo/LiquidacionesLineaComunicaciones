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840" tabRatio="940" firstSheet="0" activeTab="0" autoFilterDateGrouping="1"/>
  </bookViews>
  <sheets>
    <sheet xmlns:r="http://schemas.openxmlformats.org/officeDocument/2006/relationships" name="BASE DE LIQUIDACION 2025" sheetId="1" state="visible" r:id="rId1"/>
    <sheet xmlns:r="http://schemas.openxmlformats.org/officeDocument/2006/relationships" name="CENTRO DE COSTOS" sheetId="2" state="hidden" r:id="rId2"/>
    <sheet xmlns:r="http://schemas.openxmlformats.org/officeDocument/2006/relationships" name="PUBLICIDAD_APERTURAS" sheetId="3" state="visible" r:id="rId3"/>
    <sheet xmlns:r="http://schemas.openxmlformats.org/officeDocument/2006/relationships" name="PUBLICIDAD_OC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</externalReferences>
  <definedNames>
    <definedName name="A">#REF!</definedName>
    <definedName name="Actividad">[2]Formulas!$H$2:$H$5000</definedName>
    <definedName name="Analistas">'[3]Listas Desplegables'!$T$2:$T$7</definedName>
    <definedName name="arearesponsable">'[4]Listas desplegables'!$BB$2:$BB$100</definedName>
    <definedName name="CCO">[5]Tecnicos!$A$2:$A$1000</definedName>
    <definedName name="Clientes">[2]Clientes!$A$2:$A$100</definedName>
    <definedName name="COORDINADOR">[1]Hoja2!$D$2:$D$30</definedName>
    <definedName name="Coordinadores">[2]Coordinadores!$A$2:$A$1000</definedName>
    <definedName name="DOCUMENTADOR">[1]Hoja2!$A$2:$A$30</definedName>
    <definedName name="ES">[1]Hoja2!$K$2:$K$30</definedName>
    <definedName name="ESS">[1]Hoja2!$K$2:$K$30</definedName>
    <definedName name="Estado">[2]Formulas!$K$2:$K$5000</definedName>
    <definedName name="ESTADOACTIVIDAD">[1]Hoja2!$M$2:$M$30</definedName>
    <definedName name="ESTADOS">'[9]Listas desplegables'!$B$1:$D$1</definedName>
    <definedName name="ESTADOSCIERRES">'[10]lista desplegable'!$CX$1:$DA$1</definedName>
    <definedName name="Facturacion">'[11]Listas desplegables'!$AO$1:$AR$1</definedName>
    <definedName name="FACTURACIÓN">'[9]Listas desplegables'!$Y$1:$AB$1</definedName>
    <definedName name="falla">#REF!</definedName>
    <definedName name="Fallas">'[13]Listas desplegables'!$F$2:$L$2</definedName>
    <definedName name="Grupo_Falla">'[15]Listas Desplegables'!$CH$2:$CH$5</definedName>
    <definedName name="inconservmanager">'[4]Listas desplegables'!$BC$2:$BC$100</definedName>
    <definedName name="INCUMPLIMIENTO">'[17]Listas desplegables'!$AT$1:$AX$1</definedName>
    <definedName name="LISTA">[19]Dptos!$A$1139:$A$1171</definedName>
    <definedName name="LISTA2">[20]Hoja3!$A$1:$A$26</definedName>
    <definedName name="LOLO">[21]Coordinadores!$A$2:$A$1000</definedName>
    <definedName name="solicitudes">'[11]Listas desplegables'!$U$1:$AF$1</definedName>
    <definedName name="Tecnicos">[2]Tecnicos!$A$2:$A$1000</definedName>
    <definedName name="Version">[2]Formulas!$I$2:$I$3</definedName>
    <definedName name="A" localSheetId="1">#REF!</definedName>
    <definedName name="ACTIVIDAD" localSheetId="1">[1]Hoja2!$P$2:$P$30</definedName>
    <definedName name="Clientes" localSheetId="1">[6]Clientes!$A$2:$A$100</definedName>
    <definedName name="Coordinadores" localSheetId="1">[7]Coordinadores!$A$2:$A$1000</definedName>
    <definedName name="Estado" localSheetId="1">[6]Formulas!$K$2:$K$5000</definedName>
    <definedName name="ESTADOS" localSheetId="1">'[8]Listas desplegables'!$B$1:$D$1</definedName>
    <definedName name="FACTURACIÓN" localSheetId="1">'[8]Listas desplegables'!$Y$1:$AB$1</definedName>
    <definedName name="Fallas" localSheetId="1">'[12]Listas desplegables'!$F$2:$L$2</definedName>
    <definedName name="Grupo_Falla" localSheetId="1">'[14]Listas Desplegables'!$CH$2:$CH$5</definedName>
    <definedName name="inconservmanager" localSheetId="1">'[16]Listas desplegables'!$BC$2:$BC$100</definedName>
    <definedName name="INCUMPLIMIENTO" localSheetId="1">'[4]Listas desplegables'!$AK$1:$AN$1</definedName>
    <definedName name="LISTA" localSheetId="1">[18]Dptos!$A$1139:$A$1171</definedName>
    <definedName name="LISTA2" localSheetId="1">#REF!</definedName>
    <definedName name="solicitudes" localSheetId="1">'[11]Listas desplegables'!$U$1:$AF$1</definedName>
    <definedName name="Tecnicos" localSheetId="1">[6]Tecnicos!$A$2:$A$1000</definedName>
    <definedName name="Version" localSheetId="1">[22]Formulas!$I$2:$I$3</definedName>
    <definedName name="_xlnm._FilterDatabase" localSheetId="1" hidden="1">'CENTRO DE COSTOS'!$A$1:$D$23</definedName>
    <definedName name="_xlnm._FilterDatabase" localSheetId="2" hidden="1">'PUBLICIDAD_APERTURAS'!$A$1:$AC$500</definedName>
    <definedName name="_xlnm._FilterDatabase" localSheetId="3" hidden="1">'PUBLICIDAD_OC'!$A$1:$AD$120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&quot;$&quot;#,##0.00;\-&quot;$&quot;#,##0.00"/>
    <numFmt numFmtId="167" formatCode="yyyy-mm-dd h:mm:ss"/>
    <numFmt numFmtId="168" formatCode="[$-409]d\-m\-yy\ h:mm\ AM/PM;@"/>
    <numFmt numFmtId="169" formatCode="_ &quot;$&quot;\ * #,##0_ ;_ &quot;$&quot;\ * \-#,##0_ ;_ &quot;$&quot;\ * &quot;-&quot;??_ ;_ @_ "/>
    <numFmt numFmtId="170" formatCode="[$-240A]dddd\,\ dd&quot; de &quot;mmmm&quot; de &quot;yyyy"/>
    <numFmt numFmtId="171" formatCode="_ * #,##0.00_ ;_ * \-#,##0.00_ ;_ * &quot;-&quot;??_ ;_ @_ "/>
    <numFmt numFmtId="172" formatCode="_-* #,##0.00\ _€_-;\-* #,##0.00\ _€_-;_-* &quot;-&quot;??\ _€_-;_-@_-"/>
    <numFmt numFmtId="173" formatCode="_-&quot;$&quot;* #,##0.00_-;\-&quot;$&quot;* #,##0.00_-;_-&quot;$&quot;* &quot;-&quot;??_-;_-@_-"/>
    <numFmt numFmtId="174" formatCode="_-&quot;$&quot;* #,##0_-;\-&quot;$&quot;* #,##0_-;_-&quot;$&quot;* &quot;-&quot;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pex"/>
      <family val="2"/>
      <color theme="1"/>
      <sz val="10"/>
    </font>
    <font>
      <name val="Century Gothic"/>
      <family val="2"/>
      <color theme="1"/>
      <sz val="8"/>
    </font>
    <font>
      <name val="Calibri"/>
      <family val="2"/>
      <color indexed="8"/>
      <sz val="11"/>
    </font>
    <font>
      <name val="Arial"/>
      <family val="2"/>
      <color rgb="FF000000"/>
      <sz val="10"/>
    </font>
    <font>
      <name val="Calibri"/>
      <family val="2"/>
      <color theme="10"/>
      <sz val="11"/>
      <u val="single"/>
      <scheme val="minor"/>
    </font>
    <font>
      <name val="Trebuchet MS"/>
      <family val="2"/>
      <color theme="1"/>
      <sz val="12"/>
    </font>
    <font>
      <name val="Gelion Thin"/>
      <b val="1"/>
      <color theme="1"/>
      <sz val="11"/>
    </font>
    <font>
      <name val="Gelion Thin"/>
      <b val="1"/>
      <sz val="8"/>
    </font>
    <font>
      <name val="Gelion Thin"/>
      <color rgb="FF000000"/>
      <sz val="8"/>
    </font>
    <font>
      <name val="Gelion Thin"/>
      <color theme="1"/>
      <sz val="8"/>
    </font>
    <font>
      <name val="Gelion Thin"/>
      <color rgb="FF00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9B9B9A"/>
        <bgColor indexed="64"/>
      </patternFill>
    </fill>
    <fill>
      <patternFill patternType="solid">
        <fgColor rgb="FFB0F70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001D62"/>
        <bgColor rgb="00001D6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4">
    <xf numFmtId="0" fontId="1" fillId="0" borderId="0"/>
    <xf numFmtId="164" fontId="1" fillId="0" borderId="0"/>
    <xf numFmtId="0" fontId="2" fillId="0" borderId="0"/>
    <xf numFmtId="164" fontId="1" fillId="0" borderId="0"/>
    <xf numFmtId="0" fontId="2" fillId="0" borderId="0"/>
    <xf numFmtId="164" fontId="2" fillId="0" borderId="0"/>
    <xf numFmtId="0" fontId="1" fillId="0" borderId="0"/>
    <xf numFmtId="164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168" fontId="2" fillId="0" borderId="0"/>
    <xf numFmtId="169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68" fontId="1" fillId="0" borderId="0"/>
    <xf numFmtId="0" fontId="5" fillId="0" borderId="0"/>
    <xf numFmtId="170" fontId="2" fillId="0" borderId="0"/>
    <xf numFmtId="168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2" fillId="0" borderId="0"/>
    <xf numFmtId="171" fontId="2" fillId="0" borderId="0"/>
    <xf numFmtId="168" fontId="2" fillId="0" borderId="0"/>
    <xf numFmtId="0" fontId="1" fillId="0" borderId="0"/>
    <xf numFmtId="168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43" fontId="2" fillId="0" borderId="0"/>
    <xf numFmtId="0" fontId="2" fillId="0" borderId="0"/>
    <xf numFmtId="0" fontId="3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171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43" fontId="1" fillId="0" borderId="0"/>
    <xf numFmtId="172" fontId="1" fillId="0" borderId="0"/>
    <xf numFmtId="173" fontId="3" fillId="0" borderId="0"/>
    <xf numFmtId="164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8" fontId="2" fillId="0" borderId="0"/>
    <xf numFmtId="171" fontId="2" fillId="0" borderId="0"/>
    <xf numFmtId="0" fontId="1" fillId="0" borderId="0"/>
    <xf numFmtId="174" fontId="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64" fontId="2" fillId="0" borderId="0"/>
    <xf numFmtId="164" fontId="1" fillId="0" borderId="0"/>
    <xf numFmtId="0" fontId="1" fillId="0" borderId="0"/>
    <xf numFmtId="173" fontId="1" fillId="0" borderId="0"/>
    <xf numFmtId="173" fontId="1" fillId="0" borderId="0"/>
    <xf numFmtId="0" fontId="1" fillId="0" borderId="0"/>
  </cellStyleXfs>
  <cellXfs count="47">
    <xf numFmtId="0" fontId="0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164" fontId="12" fillId="0" borderId="1" applyAlignment="1" pivotButton="0" quotePrefix="0" xfId="3">
      <alignment vertical="center" wrapText="1"/>
    </xf>
    <xf numFmtId="0" fontId="11" fillId="0" borderId="1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165" fontId="12" fillId="0" borderId="0" pivotButton="0" quotePrefix="0" xfId="0"/>
    <xf numFmtId="0" fontId="9" fillId="0" borderId="1" pivotButton="0" quotePrefix="0" xfId="83"/>
    <xf numFmtId="0" fontId="1" fillId="0" borderId="0" pivotButton="0" quotePrefix="0" xfId="83"/>
    <xf numFmtId="0" fontId="10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left" vertical="center" wrapText="1"/>
    </xf>
    <xf numFmtId="0" fontId="13" fillId="0" borderId="1" pivotButton="0" quotePrefix="0" xfId="0"/>
    <xf numFmtId="0" fontId="13" fillId="0" borderId="5" pivotButton="0" quotePrefix="0" xfId="0"/>
    <xf numFmtId="0" fontId="13" fillId="0" borderId="3" pivotButton="0" quotePrefix="0" xfId="0"/>
    <xf numFmtId="0" fontId="13" fillId="0" borderId="7" pivotButton="0" quotePrefix="0" xfId="0"/>
    <xf numFmtId="10" fontId="4" fillId="3" borderId="0" applyAlignment="1" pivotButton="0" quotePrefix="0" xfId="0">
      <alignment horizontal="center"/>
    </xf>
    <xf numFmtId="165" fontId="12" fillId="4" borderId="1" applyAlignment="1" pivotButton="0" quotePrefix="0" xfId="3">
      <alignment horizontal="center" vertical="center"/>
    </xf>
    <xf numFmtId="165" fontId="12" fillId="4" borderId="2" applyAlignment="1" pivotButton="0" quotePrefix="0" xfId="3">
      <alignment horizontal="center" vertical="center"/>
    </xf>
    <xf numFmtId="165" fontId="12" fillId="4" borderId="1" applyAlignment="1" pivotButton="0" quotePrefix="0" xfId="3">
      <alignment vertical="center" wrapText="1"/>
    </xf>
    <xf numFmtId="165" fontId="12" fillId="4" borderId="1" applyAlignment="1" pivotButton="0" quotePrefix="0" xfId="3">
      <alignment horizontal="center"/>
    </xf>
    <xf numFmtId="0" fontId="10" fillId="2" borderId="2" applyAlignment="1" pivotButton="0" quotePrefix="0" xfId="0">
      <alignment horizontal="center"/>
    </xf>
    <xf numFmtId="0" fontId="10" fillId="2" borderId="6" applyAlignment="1" pivotButton="0" quotePrefix="0" xfId="0">
      <alignment horizontal="center"/>
    </xf>
    <xf numFmtId="0" fontId="10" fillId="2" borderId="5" applyAlignment="1" pivotButton="0" quotePrefix="0" xfId="0">
      <alignment horizontal="center"/>
    </xf>
    <xf numFmtId="0" fontId="10" fillId="2" borderId="2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center" vertical="center"/>
    </xf>
    <xf numFmtId="164" fontId="12" fillId="0" borderId="1" applyAlignment="1" pivotButton="0" quotePrefix="0" xfId="3">
      <alignment vertical="center" wrapText="1"/>
    </xf>
    <xf numFmtId="165" fontId="12" fillId="4" borderId="1" applyAlignment="1" pivotButton="0" quotePrefix="0" xfId="3">
      <alignment horizontal="center" vertical="center"/>
    </xf>
    <xf numFmtId="165" fontId="12" fillId="4" borderId="2" applyAlignment="1" pivotButton="0" quotePrefix="0" xfId="3">
      <alignment horizontal="center" vertical="center"/>
    </xf>
    <xf numFmtId="165" fontId="12" fillId="4" borderId="1" applyAlignment="1" pivotButton="0" quotePrefix="0" xfId="3">
      <alignment vertical="center" wrapText="1"/>
    </xf>
    <xf numFmtId="165" fontId="12" fillId="4" borderId="1" applyAlignment="1" pivotButton="0" quotePrefix="0" xfId="3">
      <alignment horizontal="center"/>
    </xf>
    <xf numFmtId="165" fontId="12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pivotButton="0" quotePrefix="0" xfId="0"/>
    <xf numFmtId="0" fontId="14" fillId="5" borderId="0" applyAlignment="1" pivotButton="0" quotePrefix="0" xfId="0">
      <alignment horizontal="center" vertical="center"/>
    </xf>
    <xf numFmtId="167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84">
    <cellStyle name="Normal" xfId="0" builtinId="0"/>
    <cellStyle name="Moneda 2 2 2" xfId="1"/>
    <cellStyle name="Normal 2 2 2" xfId="2"/>
    <cellStyle name="Moneda 4" xfId="3"/>
    <cellStyle name="Normal 2 2 2 3" xfId="4"/>
    <cellStyle name="Moneda 2" xfId="5"/>
    <cellStyle name="Normal 2 2 2 2 6 2" xfId="6"/>
    <cellStyle name="Moneda 2 10" xfId="7"/>
    <cellStyle name="Normal 172" xfId="8"/>
    <cellStyle name="Normal 5" xfId="9"/>
    <cellStyle name="Normal 2 10" xfId="10"/>
    <cellStyle name="Normal 2 10 2" xfId="11"/>
    <cellStyle name="Normal 2 2 2 2" xfId="12"/>
    <cellStyle name="Normal 8" xfId="13"/>
    <cellStyle name="Normal 7" xfId="14"/>
    <cellStyle name="Normal 81" xfId="15"/>
    <cellStyle name="Normal 2" xfId="16"/>
    <cellStyle name="Normal 7 2" xfId="17"/>
    <cellStyle name="Normal 2 2" xfId="18"/>
    <cellStyle name="Excel Built-in Normal" xfId="19"/>
    <cellStyle name="Normal 2 2 2 4" xfId="20"/>
    <cellStyle name="Normal 10 2 10" xfId="21"/>
    <cellStyle name="Normal 2 4" xfId="22"/>
    <cellStyle name="Normal 3" xfId="23"/>
    <cellStyle name="Normal 2 10 3" xfId="24"/>
    <cellStyle name="Normal 2 2 4" xfId="25"/>
    <cellStyle name="Normal 4" xfId="26"/>
    <cellStyle name="Millares 2" xfId="27"/>
    <cellStyle name="Normal 15" xfId="28"/>
    <cellStyle name="Normal 17" xfId="29"/>
    <cellStyle name="Normal 2 41" xfId="30"/>
    <cellStyle name="Normal 10 2 10 50" xfId="31"/>
    <cellStyle name="Normal 2 2 2 2 2" xfId="32"/>
    <cellStyle name="Normal 5 5" xfId="33"/>
    <cellStyle name="Normal 2 2 3" xfId="34"/>
    <cellStyle name="Normal 2 3" xfId="35"/>
    <cellStyle name="Normal 5 2" xfId="36"/>
    <cellStyle name="Millares 2 2" xfId="37"/>
    <cellStyle name="Normal 2 2 2 3 49" xfId="38"/>
    <cellStyle name="Normal 10" xfId="39"/>
    <cellStyle name="Normal 2 5" xfId="40"/>
    <cellStyle name="Normal 10 2 10 3" xfId="41"/>
    <cellStyle name="Normal 2 2 5" xfId="42"/>
    <cellStyle name="Normal 5 10" xfId="43"/>
    <cellStyle name="Normal 8 3" xfId="44"/>
    <cellStyle name="Normal 9" xfId="45"/>
    <cellStyle name="Normal 3 4" xfId="46"/>
    <cellStyle name="Normal 4 3" xfId="47"/>
    <cellStyle name="Normal 5 4" xfId="48"/>
    <cellStyle name="Hyperlink" xfId="49"/>
    <cellStyle name="Normal 6" xfId="50"/>
    <cellStyle name="Millares 2 3" xfId="51"/>
    <cellStyle name="Millares 3" xfId="52"/>
    <cellStyle name="Moneda 3" xfId="53"/>
    <cellStyle name="Moneda 4 2" xfId="54"/>
    <cellStyle name="Normal 10 2 10 2" xfId="55"/>
    <cellStyle name="Normal 10 2 10 50 2" xfId="56"/>
    <cellStyle name="Normal 2 2 2 2 3" xfId="57"/>
    <cellStyle name="Normal 2 2 3 2" xfId="58"/>
    <cellStyle name="Normal 2 2 4 2" xfId="59"/>
    <cellStyle name="Normal 2 2 52" xfId="60"/>
    <cellStyle name="Normal 2 3 2" xfId="61"/>
    <cellStyle name="Normal 2 4 2" xfId="62"/>
    <cellStyle name="Normal 3 2" xfId="63"/>
    <cellStyle name="Normal 3 3" xfId="64"/>
    <cellStyle name="Normal 4 2" xfId="65"/>
    <cellStyle name="Normal 5 10 2" xfId="66"/>
    <cellStyle name="Normal 5 2 2" xfId="67"/>
    <cellStyle name="Normal 5 3" xfId="68"/>
    <cellStyle name="Normal 7 10" xfId="69"/>
    <cellStyle name="Normal 7 4" xfId="70"/>
    <cellStyle name="Normal 8 2" xfId="71"/>
    <cellStyle name="Normal 9 2" xfId="72"/>
    <cellStyle name="Moneda [0] 2" xfId="73"/>
    <cellStyle name="Normal 11" xfId="74"/>
    <cellStyle name="Normal 12" xfId="75"/>
    <cellStyle name="Normal 2 2 2 2 6 2 2" xfId="76"/>
    <cellStyle name="Moneda 5" xfId="77"/>
    <cellStyle name="Moneda 2 10 2" xfId="78"/>
    <cellStyle name="Moneda 4 3" xfId="79"/>
    <cellStyle name="Normal 2 2 2 2 6 2 3" xfId="80"/>
    <cellStyle name="Moneda 6" xfId="81"/>
    <cellStyle name="Moneda 3 7" xfId="82"/>
    <cellStyle name="Normal 177" xfId="8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lineacomunicacionesco.sharepoint.com/Users/Adriana/AppData/Local/Microsoft/Windows/INetCache/Content.Outlook/CTVKRU3D/Entregables%20atraso%202015%20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lineacomunicacionesco.sharepoint.com/linea%20comunicaciones/ZONAS%20REMOTAS/Matriz%20Formato%20Estado%20Diario%20Zonas%20Remotas%20Julio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lineacomunicacionesco.sharepoint.com/Users/lini.hernandez/Downloads/Informe%20Gesti&#243;n%20Incidentes%20CB%20Bancolombia%20Julio%202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lineacomunicacionesco.sharepoint.com/Users/Usuario/Desktop/COORDINACI&#211;N%20NOROCCIDENTE/Operacion/INFORME%20DE%20GESTION%20ESTADO%20DIARIO/MATRIZ%20INFORME%20DE%20GESTION%20JULIO/Matriz%20Formato%20Estado%20Diario%20(Julio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lineacomunicacionesco.sharepoint.com/ENTREGA%20GERENCIA%20PROYECTO%20BANCO/FACTURACION/AGOSTO/JESSICA/Matriz%20Formato%20Estado%20Diario%20Zonas%20Remotas%20Julio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lineacomunicacionesco.sharepoint.com/BANCA/COORDINACION%20ZONA%20NOROCCIDENTE/ESTADO%20DIARIO/Estado%20Diario%20Diciembre/Copia%20de%20Matriz%20Formato%20Estado%20Diario%20DICIEMBRE.xlsm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Aleja\Downloads\Informe%20Gesti&#243;n%20Incidentes%20CB%20Bancolombia%20V4%20(7)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btasdata01\Gerencia%20de%20Medios%20de%20Acceso%201\Aleja\Downloads\Informe%20Gesti&#243;n%20Incidentes%20CB%20Bancolombia%20V4%20(7)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lineacomunicacionesco.sharepoint.com/personal/lini_hernandez_lineacom_co/Documents/DESCARGAS%207%20DE%20JULIO/FACTURACI&#211;N%202022/OCTUBRE/DATA%20V2/Informe%20Gestion%20CB%20BANCOLOMBIA%202022%20-%20ORDENES%20DE%20CAMBIO%20(12)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Users\JuliethTatiana\Downloads\Informe%20Gesti&#243;n%20Ordenes%20Cambio%20CB%20Bancolombia%20V6%20(2)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Users\Lenovo\AppData\Local\Microsoft\Windows\Temporary%20Internet%20Files\Content.Outlook\I8UJS5CV\Informe%20Gesti&#243;n%20Incidentes%20CB%20Bancolombia%20con%20corte%20al%2030%20septiembre%202014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Users\lini.hernandez\Downloads\Informe%20Gesti&#243;n%20Incidentes%20CB%20Bancolombia%20Marzo%202021%20(1)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lineacomunicacionesco.sharepoint.com/Users/lini.hernandez/Downloads/Informe%20Gestion%20de%20Incidentes%20Bancolombia%20Marzo%202021%20(66)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Google%20Drive\Linea%20Comunicaciones\CB%20Proyecto%20Incidentes\2016\Agosto\31%20ago\Informe%20Gesti&#243;n%20Incidentes%20CB%20Bancolombia,%20con%20corte%2031%20agosto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https://lineacomunicacionesco.sharepoint.com/Users/adriana.galvis/Downloads/Informe%20Gestion%20Ordenes%20de%20cambio%20CB%20Bancolombia%20Noviembre%2001-%20(1)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Q:\Ucanales\GERENCIA%20CORRESPONSALES%20NO%20BANCARIOS\CARPETA%20COMPARTIDA%20CNB%20CON%20OTRAS%20AREAS\MACRO%20PROCESO%20SELECCION%20E%20IMPLEMENTACION%20CNB\Seleccion%20vinculacion%20y%20apertura%20de%20CNB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lineacomunicacionesco.sharepoint.com/ANALISTA%20APERTURAS%202016/CRECIMIENTO%20Y%20MIGRACION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Mauricio\Documents\LINEA%20COMUNICACIONES\Informes\Matriz%20Formato%20Estado%20Diario%20%20Costa%20New%201.xlsm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ENTREGA%20GERENCIA%20PROYECTO%20BANCO\FACTURACION\2016\FEBRERO%202016\JESSICA\Matriz%20Formato%20Estado%20Diario%20Zonas%20Remotas%20Julio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ERTURAS ATRASO"/>
      <sheetName val="OTRAS ACTIVIDADES ATRASO"/>
      <sheetName val="Hoja2"/>
      <sheetName val="ENTREGAD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Puntos"/>
      <sheetName val="Formulas"/>
      <sheetName val="CAPACIDAD"/>
      <sheetName val="PERSONAL"/>
      <sheetName val="EVALU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Puntos"/>
      <sheetName val="Formulas"/>
      <sheetName val="Clien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triz BANCOLOMBIA"/>
      <sheetName val="INCIDENTES RBM-ABIERTOS"/>
      <sheetName val="TIPOLOGIAS"/>
      <sheetName val="OTRAS OC"/>
      <sheetName val="CIERRES"/>
      <sheetName val="ROLLOS"/>
      <sheetName val="lista despleg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errados RBM Febrero"/>
      <sheetName val="Matriz1"/>
      <sheetName val=" Cerrados RBM Marzo"/>
      <sheetName val="Abiertos RBM"/>
      <sheetName val="Abiertos CCO"/>
      <sheetName val="Abiertos AVAL"/>
      <sheetName val="Cerrados CCO Marzo"/>
      <sheetName val="Cerrados AVAL Febrero"/>
      <sheetName val="Cerrados CCO Febrero"/>
      <sheetName val="Cerrados Aval MARZO"/>
      <sheetName val="Gestión de IM(ATH BBVA)"/>
      <sheetName val="Listas Desplegables"/>
      <sheetName val="TIPOLOGÍAS"/>
      <sheetName val="Cerrados MARZO"/>
      <sheetName val="Informe Gestión Incidentes CB 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ESTADO"/>
      <sheetName val="VALORES CB"/>
      <sheetName val="A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3"/>
      <sheetName val="Hoja2"/>
    </sheetNames>
    <sheetDataSet>
      <sheetData sheetId="0" refreshError="1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zoomScale="120" zoomScaleNormal="120" workbookViewId="0">
      <selection activeCell="A31" sqref="A31"/>
    </sheetView>
  </sheetViews>
  <sheetFormatPr baseColWidth="10" defaultColWidth="11.42578125" defaultRowHeight="13.5"/>
  <cols>
    <col width="17.5703125" bestFit="1" customWidth="1" style="2" min="1" max="1"/>
    <col width="16.5703125" customWidth="1" style="2" min="2" max="2"/>
    <col width="15.140625" customWidth="1" style="2" min="3" max="3"/>
    <col width="20.140625" customWidth="1" style="2" min="4" max="4"/>
    <col width="14.140625" customWidth="1" style="2" min="5" max="5"/>
    <col width="2" customWidth="1" style="2" min="6" max="6"/>
    <col width="12.7109375" bestFit="1" customWidth="1" style="2" min="7" max="7"/>
    <col width="11.42578125" customWidth="1" style="2" min="8" max="11"/>
    <col width="15" bestFit="1" customWidth="1" style="2" min="12" max="12"/>
    <col width="11.42578125" customWidth="1" style="1" min="13" max="16384"/>
  </cols>
  <sheetData>
    <row r="1" ht="21" customHeight="1">
      <c r="A1" s="28" t="inlineStr">
        <is>
          <t>TARIFAS AÑO 2025</t>
        </is>
      </c>
      <c r="B1" s="29" t="n"/>
      <c r="C1" s="29" t="n"/>
      <c r="D1" s="29" t="n"/>
      <c r="E1" s="30" t="n"/>
      <c r="G1" s="28" t="inlineStr">
        <is>
          <t>TARIFAS AÑO 2025</t>
        </is>
      </c>
      <c r="H1" s="29" t="n"/>
      <c r="I1" s="29" t="n"/>
      <c r="J1" s="29" t="n"/>
      <c r="K1" s="29" t="n"/>
      <c r="L1" s="30" t="n"/>
      <c r="N1" s="10" t="inlineStr">
        <is>
          <t>Incremento 2025</t>
        </is>
      </c>
    </row>
    <row r="2" ht="31.5" customHeight="1">
      <c r="A2" s="11" t="inlineStr">
        <is>
          <t>TIPOLOGÍA</t>
        </is>
      </c>
      <c r="B2" s="10" t="inlineStr">
        <is>
          <t>Instalación de avisos internos</t>
        </is>
      </c>
      <c r="C2" s="10" t="inlineStr">
        <is>
          <t>Instalación de avisos EXTERNOS</t>
        </is>
      </c>
      <c r="D2" s="10" t="inlineStr">
        <is>
          <t>Transporte de señalización y aviso de 1,50m x 50 cm.</t>
        </is>
      </c>
      <c r="E2" s="11" t="inlineStr">
        <is>
          <t>Total Valor Actividad</t>
        </is>
      </c>
      <c r="G2" s="31" t="inlineStr">
        <is>
          <t>ORDENES DE CAMBIO</t>
        </is>
      </c>
      <c r="H2" s="29" t="n"/>
      <c r="I2" s="29" t="n"/>
      <c r="J2" s="29" t="n"/>
      <c r="K2" s="29" t="n"/>
      <c r="L2" s="30" t="n"/>
      <c r="N2" s="16" t="n">
        <v>0.052</v>
      </c>
    </row>
    <row r="3" ht="31.5" customHeight="1">
      <c r="A3" s="32" t="inlineStr">
        <is>
          <t>TIPO I</t>
        </is>
      </c>
      <c r="B3" s="33">
        <f>10695.08*(1+$N$2)</f>
        <v/>
      </c>
      <c r="C3" s="34">
        <f>120073.31*(1+$N$2)</f>
        <v/>
      </c>
      <c r="D3" s="34">
        <f>54574.12*(1+$N$2)</f>
        <v/>
      </c>
      <c r="E3" s="35">
        <f>185342.51*(1+$N$2)</f>
        <v/>
      </c>
      <c r="G3" s="9" t="inlineStr">
        <is>
          <t xml:space="preserve">Tipificación </t>
        </is>
      </c>
      <c r="H3" s="9" t="inlineStr">
        <is>
          <t>Descripción</t>
        </is>
      </c>
      <c r="I3" s="9" t="inlineStr">
        <is>
          <t>Dia actividad</t>
        </is>
      </c>
      <c r="J3" s="9" t="inlineStr">
        <is>
          <t>Transporte</t>
        </is>
      </c>
      <c r="K3" s="9" t="inlineStr">
        <is>
          <t>Envio operador Logistico</t>
        </is>
      </c>
      <c r="L3" s="9" t="inlineStr">
        <is>
          <t>Gestión telefónica</t>
        </is>
      </c>
    </row>
    <row r="4">
      <c r="A4" s="32" t="inlineStr">
        <is>
          <t>TIPO II - TIPO III - TIPO IV</t>
        </is>
      </c>
      <c r="B4" s="33">
        <f>10695.08*(1+$N$2)</f>
        <v/>
      </c>
      <c r="C4" s="34">
        <f>120073.31*(1+$N$2)</f>
        <v/>
      </c>
      <c r="D4" s="34">
        <f>105331.06*(1+$N$2)</f>
        <v/>
      </c>
      <c r="E4" s="35">
        <f>236099.45*(1+$N$2)</f>
        <v/>
      </c>
      <c r="G4" s="4" t="inlineStr">
        <is>
          <t>Tipo I</t>
        </is>
      </c>
      <c r="H4" s="4" t="inlineStr">
        <is>
          <t>Metropolitano</t>
        </is>
      </c>
      <c r="I4" s="36">
        <f>91255.89*(1+$N$2)</f>
        <v/>
      </c>
      <c r="J4" s="36">
        <f>54574.12*(1+$N$2)</f>
        <v/>
      </c>
      <c r="K4" s="36">
        <f>53547.34*(1+$N$2)</f>
        <v/>
      </c>
      <c r="L4" s="36">
        <f>36031.04*(1+$N$2)</f>
        <v/>
      </c>
    </row>
    <row r="5">
      <c r="G5" s="4" t="inlineStr">
        <is>
          <t>Tipo II</t>
        </is>
      </c>
      <c r="H5" s="4" t="inlineStr">
        <is>
          <t>Hasta 3 horas</t>
        </is>
      </c>
      <c r="I5" s="36">
        <f>221348.48*(1+$N$2)</f>
        <v/>
      </c>
      <c r="J5" s="36">
        <f>105331.06*(1+$N$2)</f>
        <v/>
      </c>
      <c r="K5" s="36">
        <f>53547.34*(1+$N$2)</f>
        <v/>
      </c>
      <c r="L5" s="36">
        <f>36031.04*(1+$N$2)</f>
        <v/>
      </c>
    </row>
    <row r="6">
      <c r="G6" s="4" t="inlineStr">
        <is>
          <t>Tipo III</t>
        </is>
      </c>
      <c r="H6" s="4" t="inlineStr">
        <is>
          <t>De 3 a 5 horas</t>
        </is>
      </c>
      <c r="I6" s="36">
        <f>327732.48*(1+$N$2)</f>
        <v/>
      </c>
      <c r="J6" s="36">
        <f>105331.06*(1+$N$2)</f>
        <v/>
      </c>
      <c r="K6" s="36">
        <f>53547.34*(1+$N$2)</f>
        <v/>
      </c>
      <c r="L6" s="36">
        <f>36031.04*(1+$N$2)</f>
        <v/>
      </c>
    </row>
    <row r="7">
      <c r="B7" s="37" t="n"/>
      <c r="C7" s="37" t="n"/>
      <c r="D7" s="37" t="n"/>
      <c r="E7" s="37" t="n"/>
      <c r="G7" s="4" t="inlineStr">
        <is>
          <t>Tipo IV</t>
        </is>
      </c>
      <c r="H7" s="4" t="inlineStr">
        <is>
          <t>Más de 5 horas</t>
        </is>
      </c>
      <c r="I7" s="36">
        <f>521514.86*(1+$N$2)</f>
        <v/>
      </c>
      <c r="J7" s="36">
        <f>105331.06*(1+$N$2)</f>
        <v/>
      </c>
      <c r="K7" s="36">
        <f>53547.34*(1+$N$2)</f>
        <v/>
      </c>
      <c r="L7" s="36">
        <f>36031.04*(1+$N$2)</f>
        <v/>
      </c>
    </row>
    <row r="8">
      <c r="D8" s="37" t="n"/>
      <c r="E8" s="37" t="n"/>
      <c r="G8" s="5" t="inlineStr">
        <is>
          <t>Destino Aereo*</t>
        </is>
      </c>
      <c r="H8" s="5" t="inlineStr">
        <is>
          <t>Viaje en Avión</t>
        </is>
      </c>
      <c r="I8" s="36">
        <f>521514.86*(1+$N$2)</f>
        <v/>
      </c>
      <c r="J8" s="36">
        <f>105331.06*(1+$N$2)</f>
        <v/>
      </c>
      <c r="K8" s="36">
        <f>53547.34*(1+$N$2)</f>
        <v/>
      </c>
      <c r="L8" s="36">
        <f>36031.04*(1+$N$2)</f>
        <v/>
      </c>
    </row>
    <row r="9">
      <c r="G9" s="27" t="inlineStr">
        <is>
          <t>* donde se requiera transporte aéreo o fluvial se factura adicional a tarifa TIPO IV el valor del tiquete + el 12% de admon</t>
        </is>
      </c>
      <c r="H9" s="38" t="n"/>
      <c r="I9" s="38" t="n"/>
      <c r="J9" s="38" t="n"/>
      <c r="K9" s="38" t="n"/>
      <c r="L9" s="39" t="n"/>
    </row>
    <row r="10">
      <c r="B10" s="37" t="n"/>
      <c r="C10" s="37" t="n"/>
      <c r="D10" s="37" t="n"/>
      <c r="E10" s="37" t="n"/>
      <c r="G10" s="40" t="n"/>
      <c r="H10" s="41" t="n"/>
      <c r="I10" s="41" t="n"/>
      <c r="J10" s="41" t="n"/>
      <c r="K10" s="41" t="n"/>
      <c r="L10" s="42" t="n"/>
    </row>
    <row r="11">
      <c r="B11" s="37" t="n"/>
      <c r="C11" s="37" t="n"/>
      <c r="D11" s="37" t="n"/>
      <c r="E11" s="37" t="n"/>
    </row>
    <row r="12">
      <c r="I12" s="37" t="n"/>
      <c r="J12" s="37" t="n"/>
      <c r="K12" s="37" t="n"/>
      <c r="L12" s="37" t="n"/>
    </row>
    <row r="13">
      <c r="I13" s="37" t="n"/>
      <c r="J13" s="37" t="n"/>
      <c r="K13" s="37" t="n"/>
      <c r="L13" s="37" t="n"/>
    </row>
    <row r="14">
      <c r="I14" s="37" t="n"/>
      <c r="J14" s="37" t="n"/>
      <c r="K14" s="37" t="n"/>
      <c r="L14" s="37" t="n"/>
    </row>
    <row r="15">
      <c r="I15" s="37" t="n"/>
      <c r="J15" s="37" t="n"/>
      <c r="K15" s="37" t="n"/>
      <c r="L15" s="37" t="n"/>
    </row>
    <row r="16">
      <c r="C16" s="37" t="n"/>
      <c r="G16" s="37" t="n"/>
      <c r="I16" s="37" t="n"/>
      <c r="J16" s="37" t="n"/>
      <c r="K16" s="37" t="n"/>
      <c r="L16" s="37" t="n"/>
    </row>
    <row r="17">
      <c r="G17" s="37" t="n"/>
      <c r="I17" s="37" t="n"/>
      <c r="J17" s="37" t="n"/>
      <c r="K17" s="37" t="n"/>
      <c r="L17" s="37" t="n"/>
    </row>
    <row r="18">
      <c r="G18" s="37" t="n"/>
    </row>
    <row r="19">
      <c r="G19" s="37" t="n"/>
    </row>
    <row r="20">
      <c r="G20" s="37" t="n"/>
    </row>
    <row r="21">
      <c r="G21" s="37" t="n"/>
    </row>
  </sheetData>
  <mergeCells count="4">
    <mergeCell ref="G1:L1"/>
    <mergeCell ref="G9:L10"/>
    <mergeCell ref="A1:E1"/>
    <mergeCell ref="G2:L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2" sqref="A2:D23"/>
    </sheetView>
  </sheetViews>
  <sheetFormatPr baseColWidth="10" defaultColWidth="11.42578125" defaultRowHeight="15"/>
  <cols>
    <col width="15.28515625" bestFit="1" customWidth="1" style="8" min="1" max="1"/>
    <col width="18.28515625" bestFit="1" customWidth="1" style="8" min="2" max="2"/>
    <col width="30.28515625" bestFit="1" customWidth="1" style="8" min="3" max="4"/>
    <col width="11.42578125" customWidth="1" style="8" min="5" max="16384"/>
  </cols>
  <sheetData>
    <row r="1">
      <c r="A1" s="7" t="inlineStr">
        <is>
          <t>CIUDAD</t>
        </is>
      </c>
      <c r="B1" s="7" t="inlineStr">
        <is>
          <t>CENTRO_COSTO</t>
        </is>
      </c>
      <c r="C1" s="7" t="inlineStr">
        <is>
          <t>DESCRIPCION</t>
        </is>
      </c>
      <c r="D1" s="7" t="inlineStr">
        <is>
          <t>COORDINADOR</t>
        </is>
      </c>
    </row>
    <row r="2">
      <c r="A2" s="12" t="inlineStr">
        <is>
          <t>APARTADO</t>
        </is>
      </c>
      <c r="B2" s="13" t="inlineStr">
        <is>
          <t>0004-0005</t>
        </is>
      </c>
      <c r="C2" s="13" t="inlineStr">
        <is>
          <t>Redeban Noroccidente (Medellín)</t>
        </is>
      </c>
      <c r="D2" s="13" t="inlineStr">
        <is>
          <t>JUAN SEBASTIÁN RÍOS CASTRILLÓN</t>
        </is>
      </c>
    </row>
    <row r="3">
      <c r="A3" s="14" t="inlineStr">
        <is>
          <t>BARRANQUILLA</t>
        </is>
      </c>
      <c r="B3" s="15" t="inlineStr">
        <is>
          <t>0004-0001</t>
        </is>
      </c>
      <c r="C3" s="15" t="inlineStr">
        <is>
          <t>Redeban Costa (Barranqullla)</t>
        </is>
      </c>
      <c r="D3" s="15" t="inlineStr">
        <is>
          <t>JOSE MAURICIO HERNANDEZ ROJAS</t>
        </is>
      </c>
    </row>
    <row r="4">
      <c r="A4" s="14" t="inlineStr">
        <is>
          <t>BOGOTA</t>
        </is>
      </c>
      <c r="B4" s="15" t="inlineStr">
        <is>
          <t>0004-0004</t>
        </is>
      </c>
      <c r="C4" s="15" t="inlineStr">
        <is>
          <t>Redeban Centro ( Bogotá)</t>
        </is>
      </c>
      <c r="D4" s="15" t="inlineStr">
        <is>
          <t>WILLIAM ASDRUBAL ROZO ROZO</t>
        </is>
      </c>
    </row>
    <row r="5">
      <c r="A5" s="14" t="inlineStr">
        <is>
          <t>BUCARAMANGA</t>
        </is>
      </c>
      <c r="B5" s="15" t="inlineStr">
        <is>
          <t>0004-0008</t>
        </is>
      </c>
      <c r="C5" s="15" t="inlineStr">
        <is>
          <t>Redeban Santander</t>
        </is>
      </c>
      <c r="D5" s="15" t="inlineStr">
        <is>
          <t>MIGUEL JULIÁN HERNÁNDEZ GUARÍN</t>
        </is>
      </c>
    </row>
    <row r="6">
      <c r="A6" s="14" t="inlineStr">
        <is>
          <t>CALI</t>
        </is>
      </c>
      <c r="B6" s="15" t="inlineStr">
        <is>
          <t>0004-0003</t>
        </is>
      </c>
      <c r="C6" s="15" t="inlineStr">
        <is>
          <t>Redeban Suroccidente (Cali)</t>
        </is>
      </c>
      <c r="D6" s="15" t="inlineStr">
        <is>
          <t>DIEGO FERNANDO HENAO CARDONA</t>
        </is>
      </c>
    </row>
    <row r="7">
      <c r="A7" s="14" t="inlineStr">
        <is>
          <t>CARTAGENA</t>
        </is>
      </c>
      <c r="B7" s="15" t="inlineStr">
        <is>
          <t>0004-0001</t>
        </is>
      </c>
      <c r="C7" s="15" t="inlineStr">
        <is>
          <t>Redeban Costa (Barranqullla)</t>
        </is>
      </c>
      <c r="D7" s="15" t="inlineStr">
        <is>
          <t>JOSE MAURICIO HERNANDEZ ROJAS</t>
        </is>
      </c>
    </row>
    <row r="8">
      <c r="A8" s="14" t="inlineStr">
        <is>
          <t>CUCUTA</t>
        </is>
      </c>
      <c r="B8" s="15" t="inlineStr">
        <is>
          <t>0004-0008</t>
        </is>
      </c>
      <c r="C8" s="15" t="inlineStr">
        <is>
          <t>Redeban Santander</t>
        </is>
      </c>
      <c r="D8" s="15" t="inlineStr">
        <is>
          <t>MIGUEL JULIÁN HERNÁNDEZ GUARÍN</t>
        </is>
      </c>
    </row>
    <row r="9">
      <c r="A9" s="14" t="inlineStr">
        <is>
          <t>FLORENCIA</t>
        </is>
      </c>
      <c r="B9" s="15" t="inlineStr">
        <is>
          <t>0004-0007</t>
        </is>
      </c>
      <c r="C9" s="15" t="inlineStr">
        <is>
          <t>Redeban Oriente (Otros)</t>
        </is>
      </c>
      <c r="D9" s="15" t="inlineStr">
        <is>
          <t>KEVIN ALEXIS CORZO BUSTOS</t>
        </is>
      </c>
    </row>
    <row r="10">
      <c r="A10" s="14" t="inlineStr">
        <is>
          <t>IBAGUE</t>
        </is>
      </c>
      <c r="B10" s="15" t="inlineStr">
        <is>
          <t>0004-0007</t>
        </is>
      </c>
      <c r="C10" s="15" t="inlineStr">
        <is>
          <t>Redeban Oriente (Otros)</t>
        </is>
      </c>
      <c r="D10" s="15" t="inlineStr">
        <is>
          <t>KEVIN ALEXIS CORZO BUSTOS</t>
        </is>
      </c>
    </row>
    <row r="11">
      <c r="A11" s="14" t="inlineStr">
        <is>
          <t>MANIZALES</t>
        </is>
      </c>
      <c r="B11" s="15" t="inlineStr">
        <is>
          <t>0004-0002</t>
        </is>
      </c>
      <c r="C11" s="15" t="inlineStr">
        <is>
          <t>Redeban Eje Cafetero (Pereira)</t>
        </is>
      </c>
      <c r="D11" s="15" t="inlineStr">
        <is>
          <t>DIEGO FERNANDO HENAO CARDONA</t>
        </is>
      </c>
    </row>
    <row r="12">
      <c r="A12" s="14" t="inlineStr">
        <is>
          <t>MEDELLIN</t>
        </is>
      </c>
      <c r="B12" s="15" t="inlineStr">
        <is>
          <t>0004-0005</t>
        </is>
      </c>
      <c r="C12" s="15" t="inlineStr">
        <is>
          <t>Redeban Noroccidente (Medellín)</t>
        </is>
      </c>
      <c r="D12" s="15" t="inlineStr">
        <is>
          <t>JUAN SEBASTIÁN RÍOS CASTRILLÓN</t>
        </is>
      </c>
    </row>
    <row r="13">
      <c r="A13" s="14" t="inlineStr">
        <is>
          <t>MONTERIA</t>
        </is>
      </c>
      <c r="B13" s="15" t="inlineStr">
        <is>
          <t>0004-0001</t>
        </is>
      </c>
      <c r="C13" s="15" t="inlineStr">
        <is>
          <t>Redeban Costa (Barranqullla)</t>
        </is>
      </c>
      <c r="D13" s="15" t="inlineStr">
        <is>
          <t>JOSE MAURICIO HERNANDEZ ROJAS</t>
        </is>
      </c>
    </row>
    <row r="14">
      <c r="A14" s="14" t="inlineStr">
        <is>
          <t>NEIVA</t>
        </is>
      </c>
      <c r="B14" s="15" t="inlineStr">
        <is>
          <t>0004-0007</t>
        </is>
      </c>
      <c r="C14" s="15" t="inlineStr">
        <is>
          <t>Redeban Oriente (Otros)</t>
        </is>
      </c>
      <c r="D14" s="15" t="inlineStr">
        <is>
          <t>KEVIN ALEXIS CORZO BUSTOS</t>
        </is>
      </c>
    </row>
    <row r="15">
      <c r="A15" s="14" t="inlineStr">
        <is>
          <t>PASTO</t>
        </is>
      </c>
      <c r="B15" s="15" t="inlineStr">
        <is>
          <t>0004-0003</t>
        </is>
      </c>
      <c r="C15" s="15" t="inlineStr">
        <is>
          <t>Redeban Suroccidente (Cali)</t>
        </is>
      </c>
      <c r="D15" s="15" t="inlineStr">
        <is>
          <t>DIEGO FERNANDO HENAO CARDONA</t>
        </is>
      </c>
    </row>
    <row r="16">
      <c r="A16" s="14" t="inlineStr">
        <is>
          <t>PEREIRA</t>
        </is>
      </c>
      <c r="B16" s="15" t="inlineStr">
        <is>
          <t>0004-0002</t>
        </is>
      </c>
      <c r="C16" s="15" t="inlineStr">
        <is>
          <t>Redeban Eje Cafetero (Pereira)</t>
        </is>
      </c>
      <c r="D16" s="15" t="inlineStr">
        <is>
          <t>DIEGO FERNANDO HENAO CARDONA</t>
        </is>
      </c>
    </row>
    <row r="17">
      <c r="A17" s="14" t="inlineStr">
        <is>
          <t>POPAYAN</t>
        </is>
      </c>
      <c r="B17" s="15" t="inlineStr">
        <is>
          <t>0004-0003</t>
        </is>
      </c>
      <c r="C17" s="15" t="inlineStr">
        <is>
          <t>Redeban Suroccidente (Cali)</t>
        </is>
      </c>
      <c r="D17" s="15" t="inlineStr">
        <is>
          <t>DIEGO FERNANDO HENAO CARDONA</t>
        </is>
      </c>
    </row>
    <row r="18">
      <c r="A18" s="14" t="inlineStr">
        <is>
          <t>SANTA MARTA</t>
        </is>
      </c>
      <c r="B18" s="15" t="inlineStr">
        <is>
          <t>0004-0001</t>
        </is>
      </c>
      <c r="C18" s="15" t="inlineStr">
        <is>
          <t>Redeban Costa (Barranqullla)</t>
        </is>
      </c>
      <c r="D18" s="15" t="inlineStr">
        <is>
          <t>JOSE MAURICIO HERNANDEZ ROJAS</t>
        </is>
      </c>
    </row>
    <row r="19">
      <c r="A19" s="14" t="inlineStr">
        <is>
          <t>SINCELEJO</t>
        </is>
      </c>
      <c r="B19" s="15" t="inlineStr">
        <is>
          <t>0004-0001</t>
        </is>
      </c>
      <c r="C19" s="15" t="inlineStr">
        <is>
          <t>Redeban Costa (Barranqullla)</t>
        </is>
      </c>
      <c r="D19" s="15" t="inlineStr">
        <is>
          <t>JOSE MAURICIO HERNANDEZ ROJAS</t>
        </is>
      </c>
    </row>
    <row r="20">
      <c r="A20" s="14" t="inlineStr">
        <is>
          <t>TUNJA</t>
        </is>
      </c>
      <c r="B20" s="15" t="inlineStr">
        <is>
          <t>0004-0008</t>
        </is>
      </c>
      <c r="C20" s="15" t="inlineStr">
        <is>
          <t>Redeban Santander</t>
        </is>
      </c>
      <c r="D20" s="15" t="inlineStr">
        <is>
          <t>MIGUEL JULIÁN HERNÁNDEZ GUARÍN</t>
        </is>
      </c>
    </row>
    <row r="21">
      <c r="A21" s="14" t="inlineStr">
        <is>
          <t>VALLEDUPAR</t>
        </is>
      </c>
      <c r="B21" s="15" t="inlineStr">
        <is>
          <t>0004-0001</t>
        </is>
      </c>
      <c r="C21" s="15" t="inlineStr">
        <is>
          <t>Redeban Costa (Barranqullla)</t>
        </is>
      </c>
      <c r="D21" s="15" t="inlineStr">
        <is>
          <t>JOSE MAURICIO HERNANDEZ ROJAS</t>
        </is>
      </c>
    </row>
    <row r="22">
      <c r="A22" s="14" t="inlineStr">
        <is>
          <t>VILLAVICENCIO</t>
        </is>
      </c>
      <c r="B22" s="15" t="inlineStr">
        <is>
          <t>0004-0007</t>
        </is>
      </c>
      <c r="C22" s="15" t="inlineStr">
        <is>
          <t>Redeban Oriente (Otros)</t>
        </is>
      </c>
      <c r="D22" s="15" t="inlineStr">
        <is>
          <t>KEVIN ALEXIS CORZO BUSTOS</t>
        </is>
      </c>
    </row>
    <row r="23">
      <c r="A23" s="14" t="inlineStr">
        <is>
          <t>YOPAL</t>
        </is>
      </c>
      <c r="B23" s="15" t="inlineStr">
        <is>
          <t>0004-0007</t>
        </is>
      </c>
      <c r="C23" s="15" t="inlineStr">
        <is>
          <t>Redeban Oriente (Otros)</t>
        </is>
      </c>
      <c r="D23" s="15" t="inlineStr">
        <is>
          <t>KEVIN ALEXIS CORZO BUSTOS</t>
        </is>
      </c>
    </row>
  </sheetData>
  <autoFilter ref="A1:D2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43" t="inlineStr">
        <is>
          <t>CIUDAD SEDE</t>
        </is>
      </c>
      <c r="B1" s="43" t="inlineStr">
        <is>
          <t>COORDINADOR</t>
        </is>
      </c>
      <c r="C1" s="43" t="inlineStr">
        <is>
          <t>CENTRO DE COSTOS LINEACOM</t>
        </is>
      </c>
      <c r="D1" s="43" t="inlineStr">
        <is>
          <t>CODIGO DANE</t>
        </is>
      </c>
      <c r="E1" s="43" t="inlineStr">
        <is>
          <t>TA/CODIGO ACTIVIDAD</t>
        </is>
      </c>
      <c r="F1" s="43" t="inlineStr">
        <is>
          <t>CODIGO CB</t>
        </is>
      </c>
      <c r="G1" s="43" t="inlineStr">
        <is>
          <t>ACTIVIDAD</t>
        </is>
      </c>
      <c r="H1" s="43" t="inlineStr">
        <is>
          <t>TIPO DE APERTURA</t>
        </is>
      </c>
      <c r="I1" s="43" t="inlineStr">
        <is>
          <t>DEPARTAMENTO</t>
        </is>
      </c>
      <c r="J1" s="43" t="inlineStr">
        <is>
          <t>CIUDAD</t>
        </is>
      </c>
      <c r="K1" s="43" t="inlineStr">
        <is>
          <t xml:space="preserve">NOMBRE  DEL CB </t>
        </is>
      </c>
      <c r="L1" s="43" t="inlineStr">
        <is>
          <t>RED</t>
        </is>
      </c>
      <c r="M1" s="43" t="inlineStr">
        <is>
          <t>FO</t>
        </is>
      </c>
      <c r="N1" s="43" t="inlineStr">
        <is>
          <t>FECHA LISTA</t>
        </is>
      </c>
      <c r="O1" s="43" t="inlineStr">
        <is>
          <t>FECHA ULTIMA ACTUALIZACION</t>
        </is>
      </c>
      <c r="P1" s="43" t="inlineStr">
        <is>
          <t>FORMATO</t>
        </is>
      </c>
      <c r="Q1" s="43" t="inlineStr">
        <is>
          <t>CADENA</t>
        </is>
      </c>
      <c r="R1" s="43" t="inlineStr">
        <is>
          <t>ESTADO</t>
        </is>
      </c>
      <c r="S1" s="43" t="inlineStr">
        <is>
          <t>FORMA DE ATENCION</t>
        </is>
      </c>
      <c r="T1" s="43" t="inlineStr">
        <is>
          <t>TERMINAL(ES)</t>
        </is>
      </c>
      <c r="U1" s="43" t="inlineStr">
        <is>
          <t>TIPIFICACION</t>
        </is>
      </c>
      <c r="V1" s="43" t="inlineStr">
        <is>
          <t>TIPO DE TRAYECTO</t>
        </is>
      </c>
      <c r="W1" s="43" t="inlineStr">
        <is>
          <t>NOMBRE DEL TECNICO</t>
        </is>
      </c>
      <c r="X1" s="43" t="inlineStr">
        <is>
          <t>FLANGER, DISPLAY LEGAL, DISPLAY CARTA O TABLOIDE</t>
        </is>
      </c>
      <c r="Y1" s="43" t="inlineStr">
        <is>
          <t xml:space="preserve">INSTALACION DE AVISOS EXTERNOS </t>
        </is>
      </c>
      <c r="Z1" s="43" t="inlineStr">
        <is>
          <t>VALOR DIAS ACTIVIDAD FACTURABLES E</t>
        </is>
      </c>
      <c r="AA1" s="43" t="inlineStr">
        <is>
          <t>VALOR DIAS ACOMPAÑAMIENTO FACTURABLES</t>
        </is>
      </c>
      <c r="AB1" s="43" t="inlineStr">
        <is>
          <t>VALOR TOTAL</t>
        </is>
      </c>
      <c r="AC1" s="43" t="inlineStr">
        <is>
          <t>VALOR TOTAL</t>
        </is>
      </c>
    </row>
    <row r="2">
      <c r="A2" t="inlineStr">
        <is>
          <t>NEIVA</t>
        </is>
      </c>
      <c r="B2" t="inlineStr">
        <is>
          <t>REMOTAS</t>
        </is>
      </c>
      <c r="C2" t="inlineStr">
        <is>
          <t>0004-0007</t>
        </is>
      </c>
      <c r="D2" t="inlineStr">
        <is>
          <t>41001</t>
        </is>
      </c>
      <c r="E2" t="inlineStr">
        <is>
          <t>TA-25-1005055</t>
        </is>
      </c>
      <c r="F2" t="inlineStr">
        <is>
          <t>3007081170</t>
        </is>
      </c>
      <c r="G2" t="inlineStr">
        <is>
          <t>APERTURA</t>
        </is>
      </c>
      <c r="H2" t="inlineStr">
        <is>
          <t>CB CRECIMIENTO - NUEVO</t>
        </is>
      </c>
      <c r="I2" t="inlineStr">
        <is>
          <t>HUILA</t>
        </is>
      </c>
      <c r="J2" t="inlineStr">
        <is>
          <t>NEIVA</t>
        </is>
      </c>
      <c r="K2" t="inlineStr">
        <is>
          <t>BARRIO LOS CAMBULOS NEIVA 1</t>
        </is>
      </c>
      <c r="L2" t="inlineStr">
        <is>
          <t>BANCOLOMBIA</t>
        </is>
      </c>
      <c r="M2" t="inlineStr">
        <is>
          <t>FO-25-1418960</t>
        </is>
      </c>
      <c r="N2" s="46" t="n">
        <v>45894.73472222222</v>
      </c>
      <c r="O2" s="46" t="n">
        <v>45895.66111111111</v>
      </c>
      <c r="P2" t="inlineStr">
        <is>
          <t>UNO A UNO</t>
        </is>
      </c>
      <c r="Q2" t="inlineStr">
        <is>
          <t>UNO A UNO</t>
        </is>
      </c>
      <c r="R2" t="inlineStr">
        <is>
          <t>EJECUTADO</t>
        </is>
      </c>
      <c r="S2" t="inlineStr">
        <is>
          <t>VISITA TECNICA</t>
        </is>
      </c>
      <c r="T2" t="inlineStr">
        <is>
          <t>VBZZZ271</t>
        </is>
      </c>
      <c r="U2" t="inlineStr">
        <is>
          <t>TIPO I</t>
        </is>
      </c>
      <c r="V2" t="inlineStr">
        <is>
          <t>TERRESTRE</t>
        </is>
      </c>
      <c r="W2" t="inlineStr">
        <is>
          <t>DEVIA REINOSO JUAN CARLOS</t>
        </is>
      </c>
      <c r="X2" t="inlineStr">
        <is>
          <t>Si</t>
        </is>
      </c>
      <c r="Y2" t="inlineStr">
        <is>
          <t>Si</t>
        </is>
      </c>
      <c r="Z2" s="45" t="n">
        <v>0</v>
      </c>
      <c r="AA2" t="inlineStr">
        <is>
          <t>0</t>
        </is>
      </c>
      <c r="AB2" s="45" t="n">
        <v>194983</v>
      </c>
      <c r="AC2" s="45" t="n">
        <v>0</v>
      </c>
    </row>
    <row r="3">
      <c r="A3" t="inlineStr">
        <is>
          <t>BUCARAMANGA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68276</t>
        </is>
      </c>
      <c r="E3" t="inlineStr">
        <is>
          <t>TA-25-1005057</t>
        </is>
      </c>
      <c r="F3" t="inlineStr">
        <is>
          <t>3007081168</t>
        </is>
      </c>
      <c r="G3" t="inlineStr">
        <is>
          <t>APERTURA</t>
        </is>
      </c>
      <c r="H3" t="inlineStr">
        <is>
          <t>CB CRECIMIENTO - NUEVO</t>
        </is>
      </c>
      <c r="I3" t="inlineStr">
        <is>
          <t>SANTANDER</t>
        </is>
      </c>
      <c r="J3" t="inlineStr">
        <is>
          <t>FLORIDABLANCA</t>
        </is>
      </c>
      <c r="K3" t="inlineStr">
        <is>
          <t>BARRIO BELLAVISTA FLORIDABLANCA FLORIDABLACA</t>
        </is>
      </c>
      <c r="L3" t="inlineStr">
        <is>
          <t>BANCOLOMBIA</t>
        </is>
      </c>
      <c r="M3" t="inlineStr">
        <is>
          <t>FO-25-1418968</t>
        </is>
      </c>
      <c r="N3" s="46" t="n">
        <v>45894.67291666667</v>
      </c>
      <c r="O3" s="46" t="n">
        <v>45895.66527777778</v>
      </c>
      <c r="P3" t="inlineStr">
        <is>
          <t>UNO A UNO</t>
        </is>
      </c>
      <c r="Q3" t="inlineStr">
        <is>
          <t>UNO A UNO</t>
        </is>
      </c>
      <c r="R3" t="inlineStr">
        <is>
          <t>EJECUTADO</t>
        </is>
      </c>
      <c r="S3" t="inlineStr">
        <is>
          <t>VISITA TECNICA</t>
        </is>
      </c>
      <c r="T3" t="inlineStr">
        <is>
          <t>VBZZZ272</t>
        </is>
      </c>
      <c r="U3" t="inlineStr">
        <is>
          <t>TIPO I</t>
        </is>
      </c>
      <c r="V3" t="inlineStr">
        <is>
          <t>TERRESTRE</t>
        </is>
      </c>
      <c r="W3" t="inlineStr">
        <is>
          <t>MARTINEZ FLOREZ DONIS ALBERTO</t>
        </is>
      </c>
      <c r="X3" t="inlineStr">
        <is>
          <t>Si</t>
        </is>
      </c>
      <c r="Y3" t="inlineStr">
        <is>
          <t>Si</t>
        </is>
      </c>
      <c r="Z3" s="45" t="n">
        <v>0</v>
      </c>
      <c r="AA3" t="inlineStr">
        <is>
          <t>0</t>
        </is>
      </c>
      <c r="AB3" s="45" t="n">
        <v>194983</v>
      </c>
      <c r="AC3" s="45" t="n">
        <v>0</v>
      </c>
    </row>
    <row r="4">
      <c r="A4" t="inlineStr">
        <is>
          <t>VALLEDUPAR</t>
        </is>
      </c>
      <c r="B4" t="inlineStr">
        <is>
          <t>COSTA</t>
        </is>
      </c>
      <c r="C4" t="inlineStr">
        <is>
          <t>0004-0001</t>
        </is>
      </c>
      <c r="D4" t="inlineStr">
        <is>
          <t>20001</t>
        </is>
      </c>
      <c r="E4" t="inlineStr">
        <is>
          <t>TA-25-1005058</t>
        </is>
      </c>
      <c r="F4" t="inlineStr">
        <is>
          <t>3007081179</t>
        </is>
      </c>
      <c r="G4" t="inlineStr">
        <is>
          <t>APERTURA</t>
        </is>
      </c>
      <c r="H4" t="inlineStr">
        <is>
          <t>CB CRECIMIENTO - NUEVO</t>
        </is>
      </c>
      <c r="I4" t="inlineStr">
        <is>
          <t>CESAR</t>
        </is>
      </c>
      <c r="J4" t="inlineStr">
        <is>
          <t>VALLEDUPAR</t>
        </is>
      </c>
      <c r="K4" t="inlineStr">
        <is>
          <t>BARRIO DOCE DE OCTUBRE VALLEDUPAR 5</t>
        </is>
      </c>
      <c r="L4" t="inlineStr">
        <is>
          <t>BANCOLOMBIA</t>
        </is>
      </c>
      <c r="M4" t="inlineStr">
        <is>
          <t>FO-25-1418974</t>
        </is>
      </c>
      <c r="N4" s="46" t="n">
        <v>45894.73055555556</v>
      </c>
      <c r="O4" s="46" t="n">
        <v>45895.65347222222</v>
      </c>
      <c r="P4" t="inlineStr">
        <is>
          <t>UNO A UNO</t>
        </is>
      </c>
      <c r="Q4" t="inlineStr">
        <is>
          <t>UNO A UNO</t>
        </is>
      </c>
      <c r="R4" t="inlineStr">
        <is>
          <t>EJECUTADO</t>
        </is>
      </c>
      <c r="S4" t="inlineStr">
        <is>
          <t>VISITA TECNICA</t>
        </is>
      </c>
      <c r="T4" t="inlineStr">
        <is>
          <t>VBZZZ273</t>
        </is>
      </c>
      <c r="U4" t="inlineStr">
        <is>
          <t>TIPO I</t>
        </is>
      </c>
      <c r="V4" t="inlineStr">
        <is>
          <t>TERRESTRE</t>
        </is>
      </c>
      <c r="W4" t="inlineStr">
        <is>
          <t>MAESTRE MENGUAL EDGAR ENRIQUE</t>
        </is>
      </c>
      <c r="X4" t="inlineStr">
        <is>
          <t>Si</t>
        </is>
      </c>
      <c r="Y4" t="inlineStr">
        <is>
          <t>Si</t>
        </is>
      </c>
      <c r="Z4" s="45" t="n">
        <v>0</v>
      </c>
      <c r="AA4" t="inlineStr">
        <is>
          <t>0</t>
        </is>
      </c>
      <c r="AB4" s="45" t="n">
        <v>194983</v>
      </c>
      <c r="AC4" s="45" t="n">
        <v>0</v>
      </c>
    </row>
    <row r="5">
      <c r="A5" t="inlineStr">
        <is>
          <t>TUNJA</t>
        </is>
      </c>
      <c r="B5" t="inlineStr">
        <is>
          <t>SANTANDERES</t>
        </is>
      </c>
      <c r="C5" t="inlineStr">
        <is>
          <t>0004-0008</t>
        </is>
      </c>
      <c r="D5" t="inlineStr">
        <is>
          <t>15837</t>
        </is>
      </c>
      <c r="E5" t="inlineStr">
        <is>
          <t>TA-25-1005059</t>
        </is>
      </c>
      <c r="F5" t="inlineStr">
        <is>
          <t>3007081175</t>
        </is>
      </c>
      <c r="G5" t="inlineStr">
        <is>
          <t>APERTURA</t>
        </is>
      </c>
      <c r="H5" t="inlineStr">
        <is>
          <t>CB CRECIMIENTO - NUEVO</t>
        </is>
      </c>
      <c r="I5" t="inlineStr">
        <is>
          <t>BOYACA</t>
        </is>
      </c>
      <c r="J5" t="inlineStr">
        <is>
          <t>TUTA</t>
        </is>
      </c>
      <c r="K5" t="inlineStr">
        <is>
          <t>BARRIO VEREDA RIO DE PIEDRAS TUTA</t>
        </is>
      </c>
      <c r="L5" t="inlineStr">
        <is>
          <t>BANCOLOMBIA</t>
        </is>
      </c>
      <c r="M5" t="inlineStr">
        <is>
          <t>FO-25-1418980</t>
        </is>
      </c>
      <c r="N5" s="46" t="n">
        <v>45894.67291666667</v>
      </c>
      <c r="O5" s="46" t="n">
        <v>45895.61527777778</v>
      </c>
      <c r="P5" t="inlineStr">
        <is>
          <t>UNO A UNO</t>
        </is>
      </c>
      <c r="Q5" t="inlineStr">
        <is>
          <t>UNO A UNO</t>
        </is>
      </c>
      <c r="R5" t="inlineStr">
        <is>
          <t>EJECUTADO</t>
        </is>
      </c>
      <c r="S5" t="inlineStr">
        <is>
          <t>VISITA TECNICA</t>
        </is>
      </c>
      <c r="T5" t="inlineStr">
        <is>
          <t>VBZZZ274</t>
        </is>
      </c>
      <c r="U5" t="inlineStr">
        <is>
          <t>TIPO II</t>
        </is>
      </c>
      <c r="V5" t="inlineStr">
        <is>
          <t>TERRESTRE</t>
        </is>
      </c>
      <c r="W5" t="inlineStr">
        <is>
          <t>GONZALEZ GONZALEZ MARIO ALBERTO</t>
        </is>
      </c>
      <c r="X5" t="inlineStr">
        <is>
          <t>Si</t>
        </is>
      </c>
      <c r="Y5" t="inlineStr">
        <is>
          <t>Si</t>
        </is>
      </c>
      <c r="Z5" s="45" t="n">
        <v>0</v>
      </c>
      <c r="AA5" t="inlineStr">
        <is>
          <t>0</t>
        </is>
      </c>
      <c r="AB5" s="45" t="n">
        <v>248376</v>
      </c>
      <c r="AC5" s="45" t="n">
        <v>0</v>
      </c>
    </row>
    <row r="6">
      <c r="A6" t="inlineStr">
        <is>
          <t>VALLEDUPAR</t>
        </is>
      </c>
      <c r="B6" t="inlineStr">
        <is>
          <t>COSTA</t>
        </is>
      </c>
      <c r="C6" t="inlineStr">
        <is>
          <t>0004-0001</t>
        </is>
      </c>
      <c r="D6" t="inlineStr">
        <is>
          <t>20750</t>
        </is>
      </c>
      <c r="E6" t="inlineStr">
        <is>
          <t>TA-25-1005061</t>
        </is>
      </c>
      <c r="F6" t="inlineStr">
        <is>
          <t>3007081174</t>
        </is>
      </c>
      <c r="G6" t="inlineStr">
        <is>
          <t>APERTURA</t>
        </is>
      </c>
      <c r="H6" t="inlineStr">
        <is>
          <t>CB CRECIMIENTO - NUEVO</t>
        </is>
      </c>
      <c r="I6" t="inlineStr">
        <is>
          <t>CESAR</t>
        </is>
      </c>
      <c r="J6" t="inlineStr">
        <is>
          <t>SAN DIEGO</t>
        </is>
      </c>
      <c r="K6" t="inlineStr">
        <is>
          <t>BARRIO MUNICH SAN DIEGO</t>
        </is>
      </c>
      <c r="L6" t="inlineStr">
        <is>
          <t>BANCOLOMBIA</t>
        </is>
      </c>
      <c r="M6" t="inlineStr">
        <is>
          <t>FO-25-1418984</t>
        </is>
      </c>
      <c r="N6" s="46" t="n">
        <v>45894.625</v>
      </c>
      <c r="O6" s="46" t="n">
        <v>45896.60694444444</v>
      </c>
      <c r="P6" t="inlineStr">
        <is>
          <t>UNO A UNO</t>
        </is>
      </c>
      <c r="Q6" t="inlineStr">
        <is>
          <t>UNO A UNO</t>
        </is>
      </c>
      <c r="R6" t="inlineStr">
        <is>
          <t>EJECUTADO</t>
        </is>
      </c>
      <c r="S6" t="inlineStr">
        <is>
          <t>VISITA TECNICA</t>
        </is>
      </c>
      <c r="T6" t="inlineStr">
        <is>
          <t>VBZZZ275</t>
        </is>
      </c>
      <c r="U6" t="inlineStr">
        <is>
          <t>TIPO II</t>
        </is>
      </c>
      <c r="V6" t="inlineStr">
        <is>
          <t>TERRESTRE</t>
        </is>
      </c>
      <c r="W6" t="inlineStr">
        <is>
          <t>MONTES DIAZ JOHN FRED</t>
        </is>
      </c>
      <c r="X6" t="inlineStr">
        <is>
          <t>Si</t>
        </is>
      </c>
      <c r="Y6" t="inlineStr">
        <is>
          <t>Si</t>
        </is>
      </c>
      <c r="Z6" s="45" t="n">
        <v>0</v>
      </c>
      <c r="AA6" t="inlineStr">
        <is>
          <t>0</t>
        </is>
      </c>
      <c r="AB6" s="45" t="n">
        <v>248376</v>
      </c>
      <c r="AC6" s="45" t="n">
        <v>0</v>
      </c>
    </row>
    <row r="7">
      <c r="A7" t="inlineStr">
        <is>
          <t>BUCARAMANGA</t>
        </is>
      </c>
      <c r="B7" t="inlineStr">
        <is>
          <t>SANTANDERES</t>
        </is>
      </c>
      <c r="C7" t="inlineStr">
        <is>
          <t>0004-0008</t>
        </is>
      </c>
      <c r="D7" t="inlineStr">
        <is>
          <t>68547</t>
        </is>
      </c>
      <c r="E7" t="inlineStr">
        <is>
          <t>TA-25-1005062</t>
        </is>
      </c>
      <c r="F7" t="inlineStr">
        <is>
          <t>3007081172</t>
        </is>
      </c>
      <c r="G7" t="inlineStr">
        <is>
          <t>APERTURA</t>
        </is>
      </c>
      <c r="H7" t="inlineStr">
        <is>
          <t>CB CRECIMIENTO - NUEVO</t>
        </is>
      </c>
      <c r="I7" t="inlineStr">
        <is>
          <t>SANTANDER</t>
        </is>
      </c>
      <c r="J7" t="inlineStr">
        <is>
          <t>PIEDECUESTA</t>
        </is>
      </c>
      <c r="K7" t="inlineStr">
        <is>
          <t>BARRIO VILLANUEVA PIEDECUESTA 1</t>
        </is>
      </c>
      <c r="L7" t="inlineStr">
        <is>
          <t>BANCOLOMBIA</t>
        </is>
      </c>
      <c r="M7" t="inlineStr">
        <is>
          <t>FO-25-1418990</t>
        </is>
      </c>
      <c r="N7" s="46" t="n">
        <v>45894.67291666667</v>
      </c>
      <c r="O7" s="46" t="n">
        <v>45895.55694444444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VISITA TECNICA</t>
        </is>
      </c>
      <c r="T7" t="inlineStr">
        <is>
          <t>VBZZZ276</t>
        </is>
      </c>
      <c r="U7" t="inlineStr">
        <is>
          <t>TIPO II</t>
        </is>
      </c>
      <c r="V7" t="inlineStr">
        <is>
          <t>TERRESTRE</t>
        </is>
      </c>
      <c r="W7" t="inlineStr">
        <is>
          <t>ORTEBARRERAGA MARLON STWAR</t>
        </is>
      </c>
      <c r="X7" t="inlineStr">
        <is>
          <t>Si</t>
        </is>
      </c>
      <c r="Y7" t="inlineStr">
        <is>
          <t>Si</t>
        </is>
      </c>
      <c r="Z7" s="45" t="n">
        <v>0</v>
      </c>
      <c r="AA7" t="inlineStr">
        <is>
          <t>0</t>
        </is>
      </c>
      <c r="AB7" s="45" t="n">
        <v>248376</v>
      </c>
      <c r="AC7" s="45" t="n">
        <v>0</v>
      </c>
    </row>
    <row r="8">
      <c r="A8" t="inlineStr">
        <is>
          <t>SINCELEJO</t>
        </is>
      </c>
      <c r="B8" t="inlineStr">
        <is>
          <t>COSTA</t>
        </is>
      </c>
      <c r="C8" t="inlineStr">
        <is>
          <t>0004-0001</t>
        </is>
      </c>
      <c r="D8" t="inlineStr">
        <is>
          <t>70124</t>
        </is>
      </c>
      <c r="E8" t="inlineStr">
        <is>
          <t>TA-25-1005063</t>
        </is>
      </c>
      <c r="F8" t="inlineStr">
        <is>
          <t>3007081165</t>
        </is>
      </c>
      <c r="G8" t="inlineStr">
        <is>
          <t>APERTURA</t>
        </is>
      </c>
      <c r="H8" t="inlineStr">
        <is>
          <t>CB CRECIMIENTO - NUEVO</t>
        </is>
      </c>
      <c r="I8" t="inlineStr">
        <is>
          <t>SUCRE</t>
        </is>
      </c>
      <c r="J8" t="inlineStr">
        <is>
          <t>CAIMITO</t>
        </is>
      </c>
      <c r="K8" t="inlineStr">
        <is>
          <t>BARRIO LAS GUADUAS CAIMITO</t>
        </is>
      </c>
      <c r="L8" t="inlineStr">
        <is>
          <t>BANCOLOMBIA</t>
        </is>
      </c>
      <c r="M8" t="inlineStr">
        <is>
          <t>FO-25-1418996</t>
        </is>
      </c>
      <c r="N8" s="46" t="n">
        <v>45894.67361111111</v>
      </c>
      <c r="O8" s="46" t="n">
        <v>45896.50208333333</v>
      </c>
      <c r="P8" t="inlineStr">
        <is>
          <t>UNO A UNO</t>
        </is>
      </c>
      <c r="Q8" t="inlineStr">
        <is>
          <t>UNO A UNO</t>
        </is>
      </c>
      <c r="R8" t="inlineStr">
        <is>
          <t>EJECUTADO</t>
        </is>
      </c>
      <c r="S8" t="inlineStr">
        <is>
          <t>VISITA TECNICA</t>
        </is>
      </c>
      <c r="T8" t="inlineStr">
        <is>
          <t>VBZZZ277</t>
        </is>
      </c>
      <c r="U8" t="inlineStr">
        <is>
          <t>TIPO IV</t>
        </is>
      </c>
      <c r="V8" t="inlineStr">
        <is>
          <t>TERRESTRE</t>
        </is>
      </c>
      <c r="W8" t="inlineStr">
        <is>
          <t>CACERES HERNANDEZ ANDRES</t>
        </is>
      </c>
      <c r="X8" t="inlineStr">
        <is>
          <t>Si</t>
        </is>
      </c>
      <c r="Y8" t="inlineStr">
        <is>
          <t>Si</t>
        </is>
      </c>
      <c r="Z8" s="45" t="n">
        <v>0</v>
      </c>
      <c r="AA8" t="inlineStr">
        <is>
          <t>0</t>
        </is>
      </c>
      <c r="AB8" s="45" t="n">
        <v>248376</v>
      </c>
      <c r="AC8" s="45" t="n">
        <v>0</v>
      </c>
    </row>
    <row r="9">
      <c r="A9" t="inlineStr">
        <is>
          <t>SANTA MARTA</t>
        </is>
      </c>
      <c r="B9" t="inlineStr">
        <is>
          <t>COSTA</t>
        </is>
      </c>
      <c r="C9" t="inlineStr">
        <is>
          <t>0004-0001</t>
        </is>
      </c>
      <c r="D9" t="inlineStr">
        <is>
          <t>47798</t>
        </is>
      </c>
      <c r="E9" t="inlineStr">
        <is>
          <t>TA-25-1005065</t>
        </is>
      </c>
      <c r="F9" t="inlineStr">
        <is>
          <t>3007081177</t>
        </is>
      </c>
      <c r="G9" t="inlineStr">
        <is>
          <t>APERTURA</t>
        </is>
      </c>
      <c r="H9" t="inlineStr">
        <is>
          <t>CB CRECIMIENTO - NUEVO</t>
        </is>
      </c>
      <c r="I9" t="inlineStr">
        <is>
          <t>MAGDALENA</t>
        </is>
      </c>
      <c r="J9" t="inlineStr">
        <is>
          <t>TENERIFE</t>
        </is>
      </c>
      <c r="K9" t="inlineStr">
        <is>
          <t>BARRIO CENTRO TENERIFE 2</t>
        </is>
      </c>
      <c r="L9" t="inlineStr">
        <is>
          <t>BANCOLOMBIA</t>
        </is>
      </c>
      <c r="M9" t="inlineStr">
        <is>
          <t>FO-25-1419002</t>
        </is>
      </c>
      <c r="N9" s="46" t="n">
        <v>45894.67986111111</v>
      </c>
      <c r="O9" s="46" t="n">
        <v>45896.30069444444</v>
      </c>
      <c r="P9" t="inlineStr">
        <is>
          <t>UNO A UNO</t>
        </is>
      </c>
      <c r="Q9" t="inlineStr">
        <is>
          <t>UNO A UNO</t>
        </is>
      </c>
      <c r="R9" t="inlineStr">
        <is>
          <t>EJECUTADO</t>
        </is>
      </c>
      <c r="S9" t="inlineStr">
        <is>
          <t>VISITA TECNICA</t>
        </is>
      </c>
      <c r="T9" t="inlineStr">
        <is>
          <t>VBZZZ278</t>
        </is>
      </c>
      <c r="U9" t="inlineStr">
        <is>
          <t>TIPO IV</t>
        </is>
      </c>
      <c r="V9" t="inlineStr">
        <is>
          <t>TERRESTRE</t>
        </is>
      </c>
      <c r="W9" t="inlineStr">
        <is>
          <t>BENITEZ CARVAJAL ALVARO JAVIER</t>
        </is>
      </c>
      <c r="X9" t="inlineStr">
        <is>
          <t>Si</t>
        </is>
      </c>
      <c r="Y9" t="inlineStr">
        <is>
          <t>Si</t>
        </is>
      </c>
      <c r="Z9" s="45" t="n">
        <v>0</v>
      </c>
      <c r="AA9" t="inlineStr">
        <is>
          <t>0</t>
        </is>
      </c>
      <c r="AB9" s="45" t="n">
        <v>248376</v>
      </c>
      <c r="AC9" s="45" t="n">
        <v>0</v>
      </c>
    </row>
    <row r="10">
      <c r="A10" t="inlineStr">
        <is>
          <t>VILLAVICENCIO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50270</t>
        </is>
      </c>
      <c r="E10" t="inlineStr">
        <is>
          <t>TA-25-1005066</t>
        </is>
      </c>
      <c r="F10" t="inlineStr">
        <is>
          <t>3007081167</t>
        </is>
      </c>
      <c r="G10" t="inlineStr">
        <is>
          <t>APERTURA</t>
        </is>
      </c>
      <c r="H10" t="inlineStr">
        <is>
          <t>CB CRECIMIENTO - NUEVO</t>
        </is>
      </c>
      <c r="I10" t="inlineStr">
        <is>
          <t>META</t>
        </is>
      </c>
      <c r="J10" t="inlineStr">
        <is>
          <t>EL DORADO</t>
        </is>
      </c>
      <c r="K10" t="inlineStr">
        <is>
          <t>BARRIO CENTRO EL DORADO 2</t>
        </is>
      </c>
      <c r="L10" t="inlineStr">
        <is>
          <t>BANCOLOMBIA</t>
        </is>
      </c>
      <c r="M10" t="inlineStr">
        <is>
          <t>FO-25-1419007</t>
        </is>
      </c>
      <c r="N10" s="46" t="n">
        <v>45894.74930555555</v>
      </c>
      <c r="O10" s="46" t="n">
        <v>45895.61736111111</v>
      </c>
      <c r="P10" t="inlineStr">
        <is>
          <t>UNO A UNO</t>
        </is>
      </c>
      <c r="Q10" t="inlineStr">
        <is>
          <t>UNO A UNO</t>
        </is>
      </c>
      <c r="R10" t="inlineStr">
        <is>
          <t>EJECUTADO</t>
        </is>
      </c>
      <c r="S10" t="inlineStr">
        <is>
          <t>VISITA TECNICA</t>
        </is>
      </c>
      <c r="T10" t="inlineStr">
        <is>
          <t>VBZZZ279</t>
        </is>
      </c>
      <c r="U10" t="inlineStr">
        <is>
          <t>TIPO II</t>
        </is>
      </c>
      <c r="V10" t="inlineStr">
        <is>
          <t>TERRESTRE</t>
        </is>
      </c>
      <c r="W10" t="inlineStr">
        <is>
          <t>PEDREROS CONTRERAS MICHAEL STEVENS</t>
        </is>
      </c>
      <c r="X10" t="inlineStr">
        <is>
          <t>Si</t>
        </is>
      </c>
      <c r="Y10" t="inlineStr">
        <is>
          <t>Si</t>
        </is>
      </c>
      <c r="Z10" s="45" t="n">
        <v>0</v>
      </c>
      <c r="AA10" t="inlineStr">
        <is>
          <t>0</t>
        </is>
      </c>
      <c r="AB10" s="45" t="n">
        <v>248376</v>
      </c>
      <c r="AC10" s="45" t="n">
        <v>0</v>
      </c>
    </row>
    <row r="11">
      <c r="A11" t="inlineStr">
        <is>
          <t>MONTERIA</t>
        </is>
      </c>
      <c r="B11" t="inlineStr">
        <is>
          <t>COSTA</t>
        </is>
      </c>
      <c r="C11" t="inlineStr">
        <is>
          <t>0004-0001</t>
        </is>
      </c>
      <c r="D11" t="inlineStr">
        <is>
          <t>23090</t>
        </is>
      </c>
      <c r="E11" t="inlineStr">
        <is>
          <t>TA-25-1005067</t>
        </is>
      </c>
      <c r="F11" t="inlineStr">
        <is>
          <t>3007081166</t>
        </is>
      </c>
      <c r="G11" t="inlineStr">
        <is>
          <t>APERTURA</t>
        </is>
      </c>
      <c r="H11" t="inlineStr">
        <is>
          <t>CB CRECIMIENTO - NUEVO</t>
        </is>
      </c>
      <c r="I11" t="inlineStr">
        <is>
          <t>CORDOBA</t>
        </is>
      </c>
      <c r="J11" t="inlineStr">
        <is>
          <t>CANALETE</t>
        </is>
      </c>
      <c r="K11" t="inlineStr">
        <is>
          <t>BARRIO EL CENTRO CANALETE</t>
        </is>
      </c>
      <c r="L11" t="inlineStr">
        <is>
          <t>BANCOLOMBIA</t>
        </is>
      </c>
      <c r="M11" t="inlineStr">
        <is>
          <t>FO-25-1419012</t>
        </is>
      </c>
      <c r="N11" s="46" t="n">
        <v>45894.70833333334</v>
      </c>
      <c r="O11" s="46" t="n">
        <v>45896.61041666667</v>
      </c>
      <c r="P11" t="inlineStr">
        <is>
          <t>UNO A UNO</t>
        </is>
      </c>
      <c r="Q11" t="inlineStr">
        <is>
          <t>UNO A UNO</t>
        </is>
      </c>
      <c r="R11" t="inlineStr">
        <is>
          <t>EJECUTADO</t>
        </is>
      </c>
      <c r="S11" t="inlineStr">
        <is>
          <t>VISITA TECNICA</t>
        </is>
      </c>
      <c r="T11" t="inlineStr">
        <is>
          <t>VBZZZ280</t>
        </is>
      </c>
      <c r="U11" t="inlineStr">
        <is>
          <t>TIPO II</t>
        </is>
      </c>
      <c r="V11" t="inlineStr">
        <is>
          <t>TERRESTRE</t>
        </is>
      </c>
      <c r="W11" t="inlineStr">
        <is>
          <t>CALDERA SALCEDO CARLOS JULIO</t>
        </is>
      </c>
      <c r="X11" t="inlineStr">
        <is>
          <t>Si</t>
        </is>
      </c>
      <c r="Y11" t="inlineStr">
        <is>
          <t>Si</t>
        </is>
      </c>
      <c r="Z11" s="45" t="n">
        <v>0</v>
      </c>
      <c r="AA11" t="inlineStr">
        <is>
          <t>0</t>
        </is>
      </c>
      <c r="AB11" s="45" t="n">
        <v>248376</v>
      </c>
      <c r="AC11" s="45" t="n">
        <v>0</v>
      </c>
    </row>
    <row r="12">
      <c r="A12" t="inlineStr">
        <is>
          <t>TUNJA</t>
        </is>
      </c>
      <c r="B12" t="inlineStr">
        <is>
          <t>SANTANDERES</t>
        </is>
      </c>
      <c r="C12" t="inlineStr">
        <is>
          <t>0004-0008</t>
        </is>
      </c>
      <c r="D12" t="inlineStr">
        <is>
          <t>15276</t>
        </is>
      </c>
      <c r="E12" t="inlineStr">
        <is>
          <t>TA-25-1005071</t>
        </is>
      </c>
      <c r="F12" t="inlineStr">
        <is>
          <t>3007081178</t>
        </is>
      </c>
      <c r="G12" t="inlineStr">
        <is>
          <t>APERTURA</t>
        </is>
      </c>
      <c r="H12" t="inlineStr">
        <is>
          <t>CB CRECIMIENTO - NUEVO</t>
        </is>
      </c>
      <c r="I12" t="inlineStr">
        <is>
          <t>BOYACA</t>
        </is>
      </c>
      <c r="J12" t="inlineStr">
        <is>
          <t>FLORESTA</t>
        </is>
      </c>
      <c r="K12" t="inlineStr">
        <is>
          <t>BARRIO CENTRO FLORESTA</t>
        </is>
      </c>
      <c r="L12" t="inlineStr">
        <is>
          <t>BANCOLOMBIA</t>
        </is>
      </c>
      <c r="M12" t="inlineStr">
        <is>
          <t>FO-25-1419021</t>
        </is>
      </c>
      <c r="N12" s="46" t="n">
        <v>45894.67361111111</v>
      </c>
      <c r="O12" s="46" t="n">
        <v>45898.37638888889</v>
      </c>
      <c r="P12" t="inlineStr">
        <is>
          <t>UNO A UNO</t>
        </is>
      </c>
      <c r="Q12" t="inlineStr">
        <is>
          <t>UNO A UNO</t>
        </is>
      </c>
      <c r="R12" t="inlineStr">
        <is>
          <t>EJECUTADO</t>
        </is>
      </c>
      <c r="S12" t="inlineStr">
        <is>
          <t>VISITA TECNICA</t>
        </is>
      </c>
      <c r="T12" t="inlineStr">
        <is>
          <t>VBZZZ281</t>
        </is>
      </c>
      <c r="U12" t="inlineStr">
        <is>
          <t>TIPO II</t>
        </is>
      </c>
      <c r="V12" t="inlineStr">
        <is>
          <t>TERRESTRE</t>
        </is>
      </c>
      <c r="W12" t="inlineStr">
        <is>
          <t>ALVARADO MORENO CRISTHIAN</t>
        </is>
      </c>
      <c r="X12" t="inlineStr">
        <is>
          <t>Si</t>
        </is>
      </c>
      <c r="Y12" t="inlineStr">
        <is>
          <t>Si</t>
        </is>
      </c>
      <c r="Z12" s="45" t="n">
        <v>0</v>
      </c>
      <c r="AA12" t="inlineStr">
        <is>
          <t>0</t>
        </is>
      </c>
      <c r="AB12" s="45" t="n">
        <v>248376</v>
      </c>
      <c r="AC12" s="45" t="n">
        <v>0</v>
      </c>
    </row>
    <row r="13">
      <c r="A13" t="inlineStr">
        <is>
          <t>SINCELEJO</t>
        </is>
      </c>
      <c r="B13" t="inlineStr">
        <is>
          <t>COSTA</t>
        </is>
      </c>
      <c r="C13" t="inlineStr">
        <is>
          <t>0004-0001</t>
        </is>
      </c>
      <c r="D13" t="inlineStr">
        <is>
          <t>70708</t>
        </is>
      </c>
      <c r="E13" t="inlineStr">
        <is>
          <t>TA-25-1005073</t>
        </is>
      </c>
      <c r="F13" t="inlineStr">
        <is>
          <t>3007081176</t>
        </is>
      </c>
      <c r="G13" t="inlineStr">
        <is>
          <t>APERTURA</t>
        </is>
      </c>
      <c r="H13" t="inlineStr">
        <is>
          <t>CB CRECIMIENTO - NUEVO</t>
        </is>
      </c>
      <c r="I13" t="inlineStr">
        <is>
          <t>SUCRE</t>
        </is>
      </c>
      <c r="J13" t="inlineStr">
        <is>
          <t>SAN MARCOS</t>
        </is>
      </c>
      <c r="K13" t="inlineStr">
        <is>
          <t>BARRIO SAN JOSE SAN MARCOS 2</t>
        </is>
      </c>
      <c r="L13" t="inlineStr">
        <is>
          <t>BANCOLOMBIA</t>
        </is>
      </c>
      <c r="M13" t="inlineStr">
        <is>
          <t>FO-25-1419026</t>
        </is>
      </c>
      <c r="N13" s="46" t="n">
        <v>45894.67638888889</v>
      </c>
      <c r="O13" s="46" t="n">
        <v>45895.56875</v>
      </c>
      <c r="P13" t="inlineStr">
        <is>
          <t>UNO A UNO</t>
        </is>
      </c>
      <c r="Q13" t="inlineStr">
        <is>
          <t>UNO A UNO</t>
        </is>
      </c>
      <c r="R13" t="inlineStr">
        <is>
          <t>EJECUTADO</t>
        </is>
      </c>
      <c r="S13" t="inlineStr">
        <is>
          <t>VISITA TECNICA</t>
        </is>
      </c>
      <c r="T13" t="inlineStr">
        <is>
          <t>VBZZZ282</t>
        </is>
      </c>
      <c r="U13" t="inlineStr">
        <is>
          <t>TIPO III</t>
        </is>
      </c>
      <c r="V13" t="inlineStr">
        <is>
          <t>TERRESTRE</t>
        </is>
      </c>
      <c r="W13" t="inlineStr">
        <is>
          <t>SANTOS GUZMAN CHRISTIAN FELIPE</t>
        </is>
      </c>
      <c r="X13" t="inlineStr">
        <is>
          <t>Si</t>
        </is>
      </c>
      <c r="Y13" t="inlineStr">
        <is>
          <t>Si</t>
        </is>
      </c>
      <c r="Z13" s="45" t="n">
        <v>0</v>
      </c>
      <c r="AA13" t="inlineStr">
        <is>
          <t>0</t>
        </is>
      </c>
      <c r="AB13" s="45" t="n">
        <v>248376</v>
      </c>
      <c r="AC13" s="45" t="n">
        <v>0</v>
      </c>
    </row>
    <row r="14">
      <c r="A14" t="inlineStr">
        <is>
          <t>VILLAVICENCIO</t>
        </is>
      </c>
      <c r="B14" t="inlineStr">
        <is>
          <t>REMOTAS</t>
        </is>
      </c>
      <c r="C14" t="inlineStr">
        <is>
          <t>0004-0007</t>
        </is>
      </c>
      <c r="D14" t="inlineStr">
        <is>
          <t>50287</t>
        </is>
      </c>
      <c r="E14" t="inlineStr">
        <is>
          <t>TA-25-1005074</t>
        </is>
      </c>
      <c r="F14" t="inlineStr">
        <is>
          <t>3007081169</t>
        </is>
      </c>
      <c r="G14" t="inlineStr">
        <is>
          <t>APERTURA</t>
        </is>
      </c>
      <c r="H14" t="inlineStr">
        <is>
          <t>CB CRECIMIENTO - NUEVO</t>
        </is>
      </c>
      <c r="I14" t="inlineStr">
        <is>
          <t>META</t>
        </is>
      </c>
      <c r="J14" t="inlineStr">
        <is>
          <t>FUENTE DE ORO</t>
        </is>
      </c>
      <c r="K14" t="inlineStr">
        <is>
          <t>BARRIO CENTRO FUENTE 7 DE ORO</t>
        </is>
      </c>
      <c r="L14" t="inlineStr">
        <is>
          <t>BANCOLOMBIA</t>
        </is>
      </c>
      <c r="M14" t="inlineStr">
        <is>
          <t>FO-25-1419031</t>
        </is>
      </c>
      <c r="N14" s="46" t="n">
        <v>45894.74930555555</v>
      </c>
      <c r="O14" s="46" t="n">
        <v>45896.60069444445</v>
      </c>
      <c r="P14" t="inlineStr">
        <is>
          <t>UNO A UNO</t>
        </is>
      </c>
      <c r="Q14" t="inlineStr">
        <is>
          <t>UNO A UNO</t>
        </is>
      </c>
      <c r="R14" t="inlineStr">
        <is>
          <t>EJECUTADO</t>
        </is>
      </c>
      <c r="S14" t="inlineStr">
        <is>
          <t>VISITA TECNICA</t>
        </is>
      </c>
      <c r="T14" t="inlineStr">
        <is>
          <t>VBZZZ283</t>
        </is>
      </c>
      <c r="U14" t="inlineStr">
        <is>
          <t>TIPO III</t>
        </is>
      </c>
      <c r="V14" t="inlineStr">
        <is>
          <t>TERRESTRE</t>
        </is>
      </c>
      <c r="W14" t="inlineStr">
        <is>
          <t>CASTRILLON URREA LONDIER LEANDRO</t>
        </is>
      </c>
      <c r="X14" t="inlineStr">
        <is>
          <t>Si</t>
        </is>
      </c>
      <c r="Y14" t="inlineStr">
        <is>
          <t>Si</t>
        </is>
      </c>
      <c r="Z14" s="45" t="n">
        <v>0</v>
      </c>
      <c r="AA14" t="inlineStr">
        <is>
          <t>0</t>
        </is>
      </c>
      <c r="AB14" s="45" t="n">
        <v>248376</v>
      </c>
      <c r="AC14" s="45" t="n">
        <v>0</v>
      </c>
    </row>
    <row r="15">
      <c r="A15" t="inlineStr">
        <is>
          <t>VILLAVICENCIO</t>
        </is>
      </c>
      <c r="B15" t="inlineStr">
        <is>
          <t>REMOTAS</t>
        </is>
      </c>
      <c r="C15" t="inlineStr">
        <is>
          <t>0004-0007</t>
        </is>
      </c>
      <c r="D15" t="inlineStr">
        <is>
          <t>50577</t>
        </is>
      </c>
      <c r="E15" t="inlineStr">
        <is>
          <t>TA-25-1005075</t>
        </is>
      </c>
      <c r="F15" t="inlineStr">
        <is>
          <t>3007081173</t>
        </is>
      </c>
      <c r="G15" t="inlineStr">
        <is>
          <t>APERTURA</t>
        </is>
      </c>
      <c r="H15" t="inlineStr">
        <is>
          <t>CB CRECIMIENTO - NUEVO</t>
        </is>
      </c>
      <c r="I15" t="inlineStr">
        <is>
          <t>META</t>
        </is>
      </c>
      <c r="J15" t="inlineStr">
        <is>
          <t>PUERTO LLERAS</t>
        </is>
      </c>
      <c r="K15" t="inlineStr">
        <is>
          <t>BARRIO CENTRO PUERTO 7 LLERAS</t>
        </is>
      </c>
      <c r="L15" t="inlineStr">
        <is>
          <t>BANCOLOMBIA</t>
        </is>
      </c>
      <c r="M15" t="inlineStr">
        <is>
          <t>FO-25-1419036</t>
        </is>
      </c>
      <c r="N15" s="46" t="n">
        <v>45894.75</v>
      </c>
      <c r="O15" s="46" t="n">
        <v>45896.70069444444</v>
      </c>
      <c r="P15" t="inlineStr">
        <is>
          <t>UNO A UNO</t>
        </is>
      </c>
      <c r="Q15" t="inlineStr">
        <is>
          <t>UNO A UNO</t>
        </is>
      </c>
      <c r="R15" t="inlineStr">
        <is>
          <t>EJECUTADO</t>
        </is>
      </c>
      <c r="S15" t="inlineStr">
        <is>
          <t>VISITA TECNICA</t>
        </is>
      </c>
      <c r="T15" t="inlineStr">
        <is>
          <t>VBZZZ284</t>
        </is>
      </c>
      <c r="U15" t="inlineStr">
        <is>
          <t>TIPO III</t>
        </is>
      </c>
      <c r="V15" t="inlineStr">
        <is>
          <t>TERRESTRE</t>
        </is>
      </c>
      <c r="W15" t="inlineStr">
        <is>
          <t>CASTRILLON URREA LONDIER LEANDRO</t>
        </is>
      </c>
      <c r="X15" t="inlineStr">
        <is>
          <t>Si</t>
        </is>
      </c>
      <c r="Y15" t="inlineStr">
        <is>
          <t>Si</t>
        </is>
      </c>
      <c r="Z15" s="45" t="n">
        <v>0</v>
      </c>
      <c r="AA15" t="inlineStr">
        <is>
          <t>0</t>
        </is>
      </c>
      <c r="AB15" s="45" t="n">
        <v>248376</v>
      </c>
      <c r="AC15" s="45" t="n">
        <v>0</v>
      </c>
    </row>
    <row r="16">
      <c r="A16" t="inlineStr">
        <is>
          <t>TUNJA</t>
        </is>
      </c>
      <c r="B16" t="inlineStr">
        <is>
          <t>SANTANDERES</t>
        </is>
      </c>
      <c r="C16" t="inlineStr">
        <is>
          <t>0004-0008</t>
        </is>
      </c>
      <c r="D16" t="inlineStr">
        <is>
          <t>15516</t>
        </is>
      </c>
      <c r="E16" t="inlineStr">
        <is>
          <t>TA-25-1005078</t>
        </is>
      </c>
      <c r="F16" t="inlineStr">
        <is>
          <t>3007081171</t>
        </is>
      </c>
      <c r="G16" t="inlineStr">
        <is>
          <t>APERTURA</t>
        </is>
      </c>
      <c r="H16" t="inlineStr">
        <is>
          <t>CB CRECIMIENTO - NUEVO</t>
        </is>
      </c>
      <c r="I16" t="inlineStr">
        <is>
          <t>BOYACA</t>
        </is>
      </c>
      <c r="J16" t="inlineStr">
        <is>
          <t>PAIPA</t>
        </is>
      </c>
      <c r="K16" t="inlineStr">
        <is>
          <t>BARRIO CENTRO PAIPA 19</t>
        </is>
      </c>
      <c r="L16" t="inlineStr">
        <is>
          <t>BANCOLOMBIA</t>
        </is>
      </c>
      <c r="M16" t="inlineStr">
        <is>
          <t>FO-25-1419041</t>
        </is>
      </c>
      <c r="N16" s="46" t="n">
        <v>45894.67361111111</v>
      </c>
      <c r="O16" s="46" t="n">
        <v>45896.55625</v>
      </c>
      <c r="P16" t="inlineStr">
        <is>
          <t>UNO A UNO</t>
        </is>
      </c>
      <c r="Q16" t="inlineStr">
        <is>
          <t>UNO A UNO</t>
        </is>
      </c>
      <c r="R16" t="inlineStr">
        <is>
          <t>EJECUTADO</t>
        </is>
      </c>
      <c r="S16" t="inlineStr">
        <is>
          <t>VISITA TECNICA</t>
        </is>
      </c>
      <c r="T16" t="inlineStr">
        <is>
          <t>VBZZZ285</t>
        </is>
      </c>
      <c r="U16" t="inlineStr">
        <is>
          <t>TIPO II</t>
        </is>
      </c>
      <c r="V16" t="inlineStr">
        <is>
          <t>TERRESTRE</t>
        </is>
      </c>
      <c r="W16" t="inlineStr">
        <is>
          <t>SOLER HOYOS CRISTIAN LEONARDO</t>
        </is>
      </c>
      <c r="X16" t="inlineStr">
        <is>
          <t>Si</t>
        </is>
      </c>
      <c r="Y16" t="inlineStr">
        <is>
          <t>Si</t>
        </is>
      </c>
      <c r="Z16" s="45" t="n">
        <v>0</v>
      </c>
      <c r="AA16" t="inlineStr">
        <is>
          <t>0</t>
        </is>
      </c>
      <c r="AB16" s="45" t="n">
        <v>248376</v>
      </c>
      <c r="AC16" s="45" t="n">
        <v>0</v>
      </c>
    </row>
    <row r="17">
      <c r="A17" t="inlineStr">
        <is>
          <t>CALI</t>
        </is>
      </c>
      <c r="B17" t="inlineStr">
        <is>
          <t>SUROCCIDENTE Y EJE CAFETERO</t>
        </is>
      </c>
      <c r="C17" t="inlineStr">
        <is>
          <t>0004-0003</t>
        </is>
      </c>
      <c r="D17" t="inlineStr">
        <is>
          <t>76001</t>
        </is>
      </c>
      <c r="E17" t="inlineStr">
        <is>
          <t>TA-25-1005079</t>
        </is>
      </c>
      <c r="F17" t="inlineStr">
        <is>
          <t>3007081060</t>
        </is>
      </c>
      <c r="G17" t="inlineStr">
        <is>
          <t>APERTURA</t>
        </is>
      </c>
      <c r="H17" t="inlineStr">
        <is>
          <t>CB CRECIMIENTO - OTRAS LISTAS</t>
        </is>
      </c>
      <c r="I17" t="inlineStr">
        <is>
          <t>VALLE DEL CAUCA</t>
        </is>
      </c>
      <c r="J17" t="inlineStr">
        <is>
          <t>CALI</t>
        </is>
      </c>
      <c r="K17" t="inlineStr">
        <is>
          <t>BARRIO SANTA ISABEL CALI 3</t>
        </is>
      </c>
      <c r="L17" t="inlineStr">
        <is>
          <t>BANCOLOMBIA</t>
        </is>
      </c>
      <c r="M17" t="inlineStr">
        <is>
          <t>FO-25-1419047</t>
        </is>
      </c>
      <c r="N17" s="46" t="n">
        <v>45894.74722222222</v>
      </c>
      <c r="O17" s="46" t="n">
        <v>45895.58958333333</v>
      </c>
      <c r="P17" t="inlineStr">
        <is>
          <t>UNO A UNO</t>
        </is>
      </c>
      <c r="Q17" t="inlineStr">
        <is>
          <t>UNO A UNO</t>
        </is>
      </c>
      <c r="R17" t="inlineStr">
        <is>
          <t>EJECUTADO</t>
        </is>
      </c>
      <c r="S17" t="inlineStr">
        <is>
          <t>VISITA TECNICA</t>
        </is>
      </c>
      <c r="T17" t="inlineStr">
        <is>
          <t>VBZZZ286</t>
        </is>
      </c>
      <c r="U17" t="inlineStr">
        <is>
          <t>TIPO I</t>
        </is>
      </c>
      <c r="V17" t="inlineStr">
        <is>
          <t>TERRESTRE</t>
        </is>
      </c>
      <c r="W17" t="inlineStr">
        <is>
          <t>MONTERO MUESES GIAN CARLO</t>
        </is>
      </c>
      <c r="X17" t="inlineStr">
        <is>
          <t>Si</t>
        </is>
      </c>
      <c r="Y17" t="inlineStr">
        <is>
          <t>Si</t>
        </is>
      </c>
      <c r="Z17" s="45" t="n">
        <v>0</v>
      </c>
      <c r="AA17" t="inlineStr">
        <is>
          <t>0</t>
        </is>
      </c>
      <c r="AB17" s="45" t="n">
        <v>194983</v>
      </c>
      <c r="AC17" s="45" t="n">
        <v>0</v>
      </c>
    </row>
    <row r="18">
      <c r="A18" t="inlineStr">
        <is>
          <t>CALI</t>
        </is>
      </c>
      <c r="B18" t="inlineStr">
        <is>
          <t>SUROCCIDENTE Y EJE CAFETERO</t>
        </is>
      </c>
      <c r="C18" t="inlineStr">
        <is>
          <t>0004-0003</t>
        </is>
      </c>
      <c r="D18" t="inlineStr">
        <is>
          <t>76520</t>
        </is>
      </c>
      <c r="E18" t="inlineStr">
        <is>
          <t>TA-25-1005081</t>
        </is>
      </c>
      <c r="F18" t="inlineStr">
        <is>
          <t>3007081090</t>
        </is>
      </c>
      <c r="G18" t="inlineStr">
        <is>
          <t>APERTURA</t>
        </is>
      </c>
      <c r="H18" t="inlineStr">
        <is>
          <t>CB CRECIMIENTO - OTRAS LISTAS</t>
        </is>
      </c>
      <c r="I18" t="inlineStr">
        <is>
          <t>VALLE DEL CAUCA</t>
        </is>
      </c>
      <c r="J18" t="inlineStr">
        <is>
          <t>PALMIRA</t>
        </is>
      </c>
      <c r="K18" t="inlineStr">
        <is>
          <t>BARRIO POPULAR MODELO PALMIRA</t>
        </is>
      </c>
      <c r="L18" t="inlineStr">
        <is>
          <t>BANCOLOMBIA</t>
        </is>
      </c>
      <c r="M18" t="inlineStr">
        <is>
          <t>FO-25-1419050</t>
        </is>
      </c>
      <c r="N18" s="46" t="n">
        <v>45894.72152777778</v>
      </c>
      <c r="O18" s="46" t="n">
        <v>45895.63888888889</v>
      </c>
      <c r="P18" t="inlineStr">
        <is>
          <t>UNO A UNO</t>
        </is>
      </c>
      <c r="Q18" t="inlineStr">
        <is>
          <t>UNO A UNO</t>
        </is>
      </c>
      <c r="R18" t="inlineStr">
        <is>
          <t>EJECUTADO</t>
        </is>
      </c>
      <c r="S18" t="inlineStr">
        <is>
          <t>VISITA TECNICA</t>
        </is>
      </c>
      <c r="T18" t="inlineStr">
        <is>
          <t>VBZZZ287</t>
        </is>
      </c>
      <c r="U18" t="inlineStr">
        <is>
          <t>TIPO I</t>
        </is>
      </c>
      <c r="V18" t="inlineStr">
        <is>
          <t>TERRESTRE</t>
        </is>
      </c>
      <c r="W18" t="inlineStr">
        <is>
          <t>BOLAÑOS TABORDA JORGE ENRIQUE</t>
        </is>
      </c>
      <c r="X18" t="inlineStr">
        <is>
          <t>Si</t>
        </is>
      </c>
      <c r="Y18" t="inlineStr">
        <is>
          <t>Si</t>
        </is>
      </c>
      <c r="Z18" s="45" t="n">
        <v>0</v>
      </c>
      <c r="AA18" t="inlineStr">
        <is>
          <t>0</t>
        </is>
      </c>
      <c r="AB18" s="45" t="n">
        <v>194983</v>
      </c>
      <c r="AC18" s="45" t="n">
        <v>0</v>
      </c>
    </row>
    <row r="19">
      <c r="A19" t="inlineStr">
        <is>
          <t>MEDELLIN</t>
        </is>
      </c>
      <c r="B19" t="inlineStr">
        <is>
          <t>NOROCCIDENTE</t>
        </is>
      </c>
      <c r="C19" t="inlineStr">
        <is>
          <t>0004-0005</t>
        </is>
      </c>
      <c r="D19" t="inlineStr">
        <is>
          <t>5380</t>
        </is>
      </c>
      <c r="E19" t="inlineStr">
        <is>
          <t>TA-25-1031265</t>
        </is>
      </c>
      <c r="F19" t="inlineStr">
        <is>
          <t>3007081253</t>
        </is>
      </c>
      <c r="G19" t="inlineStr">
        <is>
          <t>APERTURA</t>
        </is>
      </c>
      <c r="H19" t="inlineStr">
        <is>
          <t>CB CRECIMIENTO - NUEVO</t>
        </is>
      </c>
      <c r="I19" t="inlineStr">
        <is>
          <t>ANTIOQUIA</t>
        </is>
      </c>
      <c r="J19" t="inlineStr">
        <is>
          <t>LA ESTRELLA</t>
        </is>
      </c>
      <c r="K19" t="inlineStr">
        <is>
          <t>BARRIO BAVARIA LA ESTRELLA 1</t>
        </is>
      </c>
      <c r="L19" t="inlineStr">
        <is>
          <t>BANCOLOMBIA</t>
        </is>
      </c>
      <c r="M19" t="inlineStr">
        <is>
          <t>FO-25-1429791</t>
        </is>
      </c>
      <c r="N19" s="46" t="n">
        <v>45895.67638888889</v>
      </c>
      <c r="O19" s="46" t="n">
        <v>45896.59375</v>
      </c>
      <c r="P19" t="inlineStr">
        <is>
          <t>UNO A UNO</t>
        </is>
      </c>
      <c r="Q19" t="inlineStr">
        <is>
          <t>UNO A UNO</t>
        </is>
      </c>
      <c r="R19" t="inlineStr">
        <is>
          <t>EJECUTADO</t>
        </is>
      </c>
      <c r="S19" t="inlineStr">
        <is>
          <t>VISITA TECNICA</t>
        </is>
      </c>
      <c r="T19" t="inlineStr">
        <is>
          <t>FKZZZ676</t>
        </is>
      </c>
      <c r="U19" t="inlineStr">
        <is>
          <t>TIPO I</t>
        </is>
      </c>
      <c r="V19" t="inlineStr">
        <is>
          <t>TERRESTRE</t>
        </is>
      </c>
      <c r="W19" t="inlineStr">
        <is>
          <t>ALVAREZ ARENAS VICTOR HUGO</t>
        </is>
      </c>
      <c r="X19" t="inlineStr">
        <is>
          <t>Si</t>
        </is>
      </c>
      <c r="Y19" t="inlineStr">
        <is>
          <t>Si</t>
        </is>
      </c>
      <c r="Z19" s="45" t="n">
        <v>0</v>
      </c>
      <c r="AA19" t="inlineStr">
        <is>
          <t>0</t>
        </is>
      </c>
      <c r="AB19" s="45" t="n">
        <v>194983</v>
      </c>
      <c r="AC19" s="45" t="n">
        <v>0</v>
      </c>
    </row>
    <row r="20">
      <c r="A20" t="inlineStr">
        <is>
          <t>CUCUTA</t>
        </is>
      </c>
      <c r="B20" t="inlineStr">
        <is>
          <t>SANTANDERES</t>
        </is>
      </c>
      <c r="C20" t="inlineStr">
        <is>
          <t>0004-0008</t>
        </is>
      </c>
      <c r="D20" t="inlineStr">
        <is>
          <t>54313</t>
        </is>
      </c>
      <c r="E20" t="inlineStr">
        <is>
          <t>TA-25-1033965</t>
        </is>
      </c>
      <c r="F20" t="inlineStr">
        <is>
          <t>3007081205</t>
        </is>
      </c>
      <c r="G20" t="inlineStr">
        <is>
          <t>APERTURA</t>
        </is>
      </c>
      <c r="H20" t="inlineStr">
        <is>
          <t>CB CRECIMIENTO - NUEVO</t>
        </is>
      </c>
      <c r="I20" t="inlineStr">
        <is>
          <t>NORTE DE SANTANDER</t>
        </is>
      </c>
      <c r="J20" t="inlineStr">
        <is>
          <t>GRAMALOTE</t>
        </is>
      </c>
      <c r="K20" t="inlineStr">
        <is>
          <t>BARRIO GRAMALOTE GRAMALOTE</t>
        </is>
      </c>
      <c r="L20" t="inlineStr">
        <is>
          <t>BANCOLOMBIA</t>
        </is>
      </c>
      <c r="M20" t="inlineStr">
        <is>
          <t>FO-25-1432951</t>
        </is>
      </c>
      <c r="N20" s="46" t="n">
        <v>45896.84791666667</v>
      </c>
      <c r="O20" s="46" t="n">
        <v>45898.61388888889</v>
      </c>
      <c r="P20" t="inlineStr">
        <is>
          <t>UNO A UNO</t>
        </is>
      </c>
      <c r="Q20" t="inlineStr">
        <is>
          <t>UNO A UNO</t>
        </is>
      </c>
      <c r="R20" t="inlineStr">
        <is>
          <t>EJECUTADO</t>
        </is>
      </c>
      <c r="S20" t="inlineStr">
        <is>
          <t>VISITA TECNICA</t>
        </is>
      </c>
      <c r="T20" t="inlineStr">
        <is>
          <t>FKZZZ661</t>
        </is>
      </c>
      <c r="U20" t="inlineStr">
        <is>
          <t>TIPO II</t>
        </is>
      </c>
      <c r="V20" t="inlineStr">
        <is>
          <t>TERRESTRE</t>
        </is>
      </c>
      <c r="W20" t="inlineStr">
        <is>
          <t>NARANJO AFANADOR RUBEN JESUS</t>
        </is>
      </c>
      <c r="X20" t="inlineStr">
        <is>
          <t>Si</t>
        </is>
      </c>
      <c r="Y20" t="inlineStr">
        <is>
          <t>Si</t>
        </is>
      </c>
      <c r="Z20" s="45" t="n">
        <v>0</v>
      </c>
      <c r="AA20" t="inlineStr">
        <is>
          <t>0</t>
        </is>
      </c>
      <c r="AB20" s="45" t="n">
        <v>248376</v>
      </c>
      <c r="AC20" s="45" t="n">
        <v>0</v>
      </c>
    </row>
    <row r="21">
      <c r="A21" t="inlineStr">
        <is>
          <t>SANTA MARTA</t>
        </is>
      </c>
      <c r="B21" t="inlineStr">
        <is>
          <t>COSTA</t>
        </is>
      </c>
      <c r="C21" t="inlineStr">
        <is>
          <t>0004-0001</t>
        </is>
      </c>
      <c r="D21" t="inlineStr">
        <is>
          <t>47030</t>
        </is>
      </c>
      <c r="E21" t="inlineStr">
        <is>
          <t>TA-25-1033968</t>
        </is>
      </c>
      <c r="F21" t="inlineStr">
        <is>
          <t>3007081182</t>
        </is>
      </c>
      <c r="G21" t="inlineStr">
        <is>
          <t>APERTURA</t>
        </is>
      </c>
      <c r="H21" t="inlineStr">
        <is>
          <t>CB CRECIMIENTO - NUEVO</t>
        </is>
      </c>
      <c r="I21" t="inlineStr">
        <is>
          <t>MAGDALENA</t>
        </is>
      </c>
      <c r="J21" t="inlineStr">
        <is>
          <t>ALGARROBO</t>
        </is>
      </c>
      <c r="K21" t="inlineStr">
        <is>
          <t>BARRIO CENTRO ALGARROBO 1</t>
        </is>
      </c>
      <c r="L21" t="inlineStr">
        <is>
          <t>BANCOLOMBIA</t>
        </is>
      </c>
      <c r="M21" t="inlineStr">
        <is>
          <t>FO-25-1432956</t>
        </is>
      </c>
      <c r="N21" s="46" t="n">
        <v>45896.55486111111</v>
      </c>
      <c r="O21" s="46" t="n">
        <v>45898.37569444445</v>
      </c>
      <c r="P21" t="inlineStr">
        <is>
          <t>UNO A UNO</t>
        </is>
      </c>
      <c r="Q21" t="inlineStr">
        <is>
          <t>UNO A UNO</t>
        </is>
      </c>
      <c r="R21" t="inlineStr">
        <is>
          <t>EJECUTADO</t>
        </is>
      </c>
      <c r="S21" t="inlineStr">
        <is>
          <t>VISITA TECNICA</t>
        </is>
      </c>
      <c r="T21" t="inlineStr">
        <is>
          <t>FKZZZ631</t>
        </is>
      </c>
      <c r="U21" t="inlineStr">
        <is>
          <t>TIPO IV</t>
        </is>
      </c>
      <c r="V21" t="inlineStr">
        <is>
          <t>TERRESTRE</t>
        </is>
      </c>
      <c r="W21" t="inlineStr">
        <is>
          <t>THOMAS  CAMPO SIGIFREDO SEGUNDO</t>
        </is>
      </c>
      <c r="X21" t="inlineStr">
        <is>
          <t>Si</t>
        </is>
      </c>
      <c r="Y21" t="inlineStr">
        <is>
          <t>Si</t>
        </is>
      </c>
      <c r="Z21" s="45" t="n">
        <v>0</v>
      </c>
      <c r="AA21" t="inlineStr">
        <is>
          <t>0</t>
        </is>
      </c>
      <c r="AB21" s="45" t="n">
        <v>248376</v>
      </c>
      <c r="AC21" s="45" t="n">
        <v>0</v>
      </c>
    </row>
    <row r="22">
      <c r="A22" t="inlineStr">
        <is>
          <t>NEIVA</t>
        </is>
      </c>
      <c r="B22" t="inlineStr">
        <is>
          <t>REMOTAS</t>
        </is>
      </c>
      <c r="C22" t="inlineStr">
        <is>
          <t>0004-0007</t>
        </is>
      </c>
      <c r="D22" t="inlineStr">
        <is>
          <t>41298</t>
        </is>
      </c>
      <c r="E22" t="inlineStr">
        <is>
          <t>TA-25-1033971</t>
        </is>
      </c>
      <c r="F22" t="inlineStr">
        <is>
          <t>3007081204</t>
        </is>
      </c>
      <c r="G22" t="inlineStr">
        <is>
          <t>APERTURA</t>
        </is>
      </c>
      <c r="H22" t="inlineStr">
        <is>
          <t>CB CRECIMIENTO - NUEVO</t>
        </is>
      </c>
      <c r="I22" t="inlineStr">
        <is>
          <t>HUILA</t>
        </is>
      </c>
      <c r="J22" t="inlineStr">
        <is>
          <t>GARZON</t>
        </is>
      </c>
      <c r="K22" t="inlineStr">
        <is>
          <t>BARRIO GUADUALES GARZON</t>
        </is>
      </c>
      <c r="L22" t="inlineStr">
        <is>
          <t>BANCOLOMBIA</t>
        </is>
      </c>
      <c r="M22" t="inlineStr">
        <is>
          <t>FO-25-1432962</t>
        </is>
      </c>
      <c r="N22" s="46" t="n">
        <v>45896.68680555555</v>
      </c>
      <c r="O22" s="46" t="n">
        <v>45898.28680555556</v>
      </c>
      <c r="P22" t="inlineStr">
        <is>
          <t>UNO A UNO</t>
        </is>
      </c>
      <c r="Q22" t="inlineStr">
        <is>
          <t>UNO A UNO</t>
        </is>
      </c>
      <c r="R22" t="inlineStr">
        <is>
          <t>EJECUTADO</t>
        </is>
      </c>
      <c r="S22" t="inlineStr">
        <is>
          <t>VISITA TECNICA</t>
        </is>
      </c>
      <c r="T22" t="inlineStr">
        <is>
          <t>FKZZZ632</t>
        </is>
      </c>
      <c r="U22" t="inlineStr">
        <is>
          <t>TIPO III</t>
        </is>
      </c>
      <c r="V22" t="inlineStr">
        <is>
          <t>TERRESTRE</t>
        </is>
      </c>
      <c r="W22" t="inlineStr">
        <is>
          <t>ANDRADE HERNANDEZ JUAN CARLOS</t>
        </is>
      </c>
      <c r="X22" t="inlineStr">
        <is>
          <t>Si</t>
        </is>
      </c>
      <c r="Y22" t="inlineStr">
        <is>
          <t>Si</t>
        </is>
      </c>
      <c r="Z22" s="45" t="n">
        <v>0</v>
      </c>
      <c r="AA22" t="inlineStr">
        <is>
          <t>0</t>
        </is>
      </c>
      <c r="AB22" s="45" t="n">
        <v>248376</v>
      </c>
      <c r="AC22" s="45" t="n">
        <v>0</v>
      </c>
    </row>
    <row r="23">
      <c r="A23" t="inlineStr">
        <is>
          <t>IBAGUE</t>
        </is>
      </c>
      <c r="B23" t="inlineStr">
        <is>
          <t>REMOTAS</t>
        </is>
      </c>
      <c r="C23" t="inlineStr">
        <is>
          <t>0004-0007</t>
        </is>
      </c>
      <c r="D23" t="inlineStr">
        <is>
          <t>73319</t>
        </is>
      </c>
      <c r="E23" t="inlineStr">
        <is>
          <t>TA-25-1033972</t>
        </is>
      </c>
      <c r="F23" t="inlineStr">
        <is>
          <t>3007081206</t>
        </is>
      </c>
      <c r="G23" t="inlineStr">
        <is>
          <t>APERTURA</t>
        </is>
      </c>
      <c r="H23" t="inlineStr">
        <is>
          <t>CB CRECIMIENTO - NUEVO</t>
        </is>
      </c>
      <c r="I23" t="inlineStr">
        <is>
          <t>TOLIMA</t>
        </is>
      </c>
      <c r="J23" t="inlineStr">
        <is>
          <t>GUAMO</t>
        </is>
      </c>
      <c r="K23" t="inlineStr">
        <is>
          <t>BARRIO SANTA ANA GUAMO 2</t>
        </is>
      </c>
      <c r="L23" t="inlineStr">
        <is>
          <t>BANCOLOMBIA</t>
        </is>
      </c>
      <c r="M23" t="inlineStr">
        <is>
          <t>FO-25-1432965</t>
        </is>
      </c>
      <c r="N23" s="46" t="n">
        <v>45896.68680555555</v>
      </c>
      <c r="O23" s="46" t="n">
        <v>45897.64861111111</v>
      </c>
      <c r="P23" t="inlineStr">
        <is>
          <t>UNO A UNO</t>
        </is>
      </c>
      <c r="Q23" t="inlineStr">
        <is>
          <t>UNO A UNO</t>
        </is>
      </c>
      <c r="R23" t="inlineStr">
        <is>
          <t>EJECUTADO</t>
        </is>
      </c>
      <c r="S23" t="inlineStr">
        <is>
          <t>VISITA TECNICA</t>
        </is>
      </c>
      <c r="T23" t="inlineStr">
        <is>
          <t>FKZZZ633</t>
        </is>
      </c>
      <c r="U23" t="inlineStr">
        <is>
          <t>TIPO II</t>
        </is>
      </c>
      <c r="V23" t="inlineStr">
        <is>
          <t>TERRESTRE</t>
        </is>
      </c>
      <c r="W23" t="inlineStr">
        <is>
          <t>GUTIERREZ  CAMILO ANDRES</t>
        </is>
      </c>
      <c r="X23" t="inlineStr">
        <is>
          <t>Si</t>
        </is>
      </c>
      <c r="Y23" t="inlineStr">
        <is>
          <t>Si</t>
        </is>
      </c>
      <c r="Z23" s="45" t="n">
        <v>0</v>
      </c>
      <c r="AA23" t="inlineStr">
        <is>
          <t>0</t>
        </is>
      </c>
      <c r="AB23" s="45" t="n">
        <v>248376</v>
      </c>
      <c r="AC23" s="45" t="n">
        <v>0</v>
      </c>
    </row>
    <row r="24">
      <c r="A24" t="inlineStr">
        <is>
          <t>TUNJA</t>
        </is>
      </c>
      <c r="B24" t="inlineStr">
        <is>
          <t>SANTANDERES</t>
        </is>
      </c>
      <c r="C24" t="inlineStr">
        <is>
          <t>0004-0008</t>
        </is>
      </c>
      <c r="D24" t="inlineStr">
        <is>
          <t>68271</t>
        </is>
      </c>
      <c r="E24" t="inlineStr">
        <is>
          <t>TA-25-1033973</t>
        </is>
      </c>
      <c r="F24" t="inlineStr">
        <is>
          <t>3007081202</t>
        </is>
      </c>
      <c r="G24" t="inlineStr">
        <is>
          <t>APERTURA</t>
        </is>
      </c>
      <c r="H24" t="inlineStr">
        <is>
          <t>CB CRECIMIENTO - NUEVO</t>
        </is>
      </c>
      <c r="I24" t="inlineStr">
        <is>
          <t>SANTANDER</t>
        </is>
      </c>
      <c r="J24" t="inlineStr">
        <is>
          <t>FLORIAN</t>
        </is>
      </c>
      <c r="K24" t="inlineStr">
        <is>
          <t>BARRIO CENTRO FLORIAN 1</t>
        </is>
      </c>
      <c r="L24" t="inlineStr">
        <is>
          <t>BANCOLOMBIA</t>
        </is>
      </c>
      <c r="M24" t="inlineStr">
        <is>
          <t>FO-25-1432972</t>
        </is>
      </c>
      <c r="N24" s="46" t="n">
        <v>45896.84791666667</v>
      </c>
      <c r="O24" s="46" t="n">
        <v>45898.46597222222</v>
      </c>
      <c r="P24" t="inlineStr">
        <is>
          <t>UNO A UNO</t>
        </is>
      </c>
      <c r="Q24" t="inlineStr">
        <is>
          <t>UNO A UNO</t>
        </is>
      </c>
      <c r="R24" t="inlineStr">
        <is>
          <t>EJECUTADO</t>
        </is>
      </c>
      <c r="S24" t="inlineStr">
        <is>
          <t>VISITA TECNICA</t>
        </is>
      </c>
      <c r="T24" t="inlineStr">
        <is>
          <t>FKZZZ634</t>
        </is>
      </c>
      <c r="U24" t="inlineStr">
        <is>
          <t>TIPO IV</t>
        </is>
      </c>
      <c r="V24" t="inlineStr">
        <is>
          <t>TERRESTRE</t>
        </is>
      </c>
      <c r="W24" t="inlineStr">
        <is>
          <t>SOLER HOYOS CRISTIAN LEONARDO</t>
        </is>
      </c>
      <c r="X24" t="inlineStr">
        <is>
          <t>Si</t>
        </is>
      </c>
      <c r="Y24" t="inlineStr">
        <is>
          <t>Si</t>
        </is>
      </c>
      <c r="Z24" s="45" t="n">
        <v>0</v>
      </c>
      <c r="AA24" t="inlineStr">
        <is>
          <t>0</t>
        </is>
      </c>
      <c r="AB24" s="45" t="n">
        <v>248376</v>
      </c>
      <c r="AC24" s="45" t="n">
        <v>0</v>
      </c>
    </row>
    <row r="25">
      <c r="A25" t="inlineStr">
        <is>
          <t>BOGOTA</t>
        </is>
      </c>
      <c r="B25" t="inlineStr">
        <is>
          <t>CUNDINAMARCA</t>
        </is>
      </c>
      <c r="C25" t="inlineStr">
        <is>
          <t>0004-0004</t>
        </is>
      </c>
      <c r="D25" t="inlineStr">
        <is>
          <t>25430</t>
        </is>
      </c>
      <c r="E25" t="inlineStr">
        <is>
          <t>TA-25-1033976</t>
        </is>
      </c>
      <c r="F25" t="inlineStr">
        <is>
          <t>3007081210</t>
        </is>
      </c>
      <c r="G25" t="inlineStr">
        <is>
          <t>APERTURA</t>
        </is>
      </c>
      <c r="H25" t="inlineStr">
        <is>
          <t>CB CRECIMIENTO - NUEVO</t>
        </is>
      </c>
      <c r="I25" t="inlineStr">
        <is>
          <t>CUNDINAMARCA</t>
        </is>
      </c>
      <c r="J25" t="inlineStr">
        <is>
          <t>MADRID</t>
        </is>
      </c>
      <c r="K25" t="inlineStr">
        <is>
          <t>BARRIO SAN JOSE MADRID MADRID</t>
        </is>
      </c>
      <c r="L25" t="inlineStr">
        <is>
          <t>BANCOLOMBIA</t>
        </is>
      </c>
      <c r="M25" t="inlineStr">
        <is>
          <t>FO-25-1432992</t>
        </is>
      </c>
      <c r="N25" s="46" t="n">
        <v>45896.72361111111</v>
      </c>
      <c r="O25" s="46" t="n">
        <v>45897.57013888889</v>
      </c>
      <c r="P25" t="inlineStr">
        <is>
          <t>UNO A UNO</t>
        </is>
      </c>
      <c r="Q25" t="inlineStr">
        <is>
          <t>UNO A UNO</t>
        </is>
      </c>
      <c r="R25" t="inlineStr">
        <is>
          <t>EJECUTADO</t>
        </is>
      </c>
      <c r="S25" t="inlineStr">
        <is>
          <t>VISITA TECNICA</t>
        </is>
      </c>
      <c r="T25" t="inlineStr">
        <is>
          <t>FKZZZ637</t>
        </is>
      </c>
      <c r="U25" t="inlineStr">
        <is>
          <t>TIPO II</t>
        </is>
      </c>
      <c r="V25" t="inlineStr">
        <is>
          <t>TERRESTRE</t>
        </is>
      </c>
      <c r="W25" t="inlineStr">
        <is>
          <t>GOMEZ VEGA DAVID SNEYDER</t>
        </is>
      </c>
      <c r="X25" t="inlineStr">
        <is>
          <t>Si</t>
        </is>
      </c>
      <c r="Y25" t="inlineStr">
        <is>
          <t>Si</t>
        </is>
      </c>
      <c r="Z25" s="45" t="n">
        <v>0</v>
      </c>
      <c r="AA25" t="inlineStr">
        <is>
          <t>0</t>
        </is>
      </c>
      <c r="AB25" s="45" t="n">
        <v>248376</v>
      </c>
      <c r="AC25" s="45" t="n">
        <v>0</v>
      </c>
    </row>
    <row r="26">
      <c r="A26" t="inlineStr">
        <is>
          <t>BOGOTA</t>
        </is>
      </c>
      <c r="B26" t="inlineStr">
        <is>
          <t>CUNDINAMARCA</t>
        </is>
      </c>
      <c r="C26" t="inlineStr">
        <is>
          <t>0004-0004</t>
        </is>
      </c>
      <c r="D26" t="inlineStr">
        <is>
          <t>11001</t>
        </is>
      </c>
      <c r="E26" t="inlineStr">
        <is>
          <t>TA-25-1033977</t>
        </is>
      </c>
      <c r="F26" t="inlineStr">
        <is>
          <t>3007081187</t>
        </is>
      </c>
      <c r="G26" t="inlineStr">
        <is>
          <t>APERTURA</t>
        </is>
      </c>
      <c r="H26" t="inlineStr">
        <is>
          <t>CB CRECIMIENTO - NUEVO</t>
        </is>
      </c>
      <c r="I26" t="inlineStr">
        <is>
          <t>CUNDINAMARCA</t>
        </is>
      </c>
      <c r="J26" t="inlineStr">
        <is>
          <t>BOGOTA</t>
        </is>
      </c>
      <c r="K26" t="inlineStr">
        <is>
          <t>BARRIO LA ESMERALDA BOGOTA 7</t>
        </is>
      </c>
      <c r="L26" t="inlineStr">
        <is>
          <t>BANCOLOMBIA</t>
        </is>
      </c>
      <c r="M26" t="inlineStr">
        <is>
          <t>FO-25-1432997</t>
        </is>
      </c>
      <c r="N26" s="46" t="n">
        <v>45896.72430555556</v>
      </c>
      <c r="O26" s="46" t="n">
        <v>45898.63194444445</v>
      </c>
      <c r="P26" t="inlineStr">
        <is>
          <t>UNO A UNO</t>
        </is>
      </c>
      <c r="Q26" t="inlineStr">
        <is>
          <t>UNO A UNO</t>
        </is>
      </c>
      <c r="R26" t="inlineStr">
        <is>
          <t>EJECUTADO</t>
        </is>
      </c>
      <c r="S26" t="inlineStr">
        <is>
          <t>VISITA TECNICA</t>
        </is>
      </c>
      <c r="T26" t="inlineStr">
        <is>
          <t>FKZZZ638</t>
        </is>
      </c>
      <c r="U26" t="inlineStr">
        <is>
          <t>TIPO I</t>
        </is>
      </c>
      <c r="V26" t="inlineStr">
        <is>
          <t>TERRESTRE</t>
        </is>
      </c>
      <c r="W26" t="inlineStr">
        <is>
          <t>LOZADA ROJAS CHRISTIAN ANDRES</t>
        </is>
      </c>
      <c r="X26" t="inlineStr">
        <is>
          <t>Si</t>
        </is>
      </c>
      <c r="Y26" t="inlineStr">
        <is>
          <t>Si</t>
        </is>
      </c>
      <c r="Z26" s="45" t="n">
        <v>0</v>
      </c>
      <c r="AA26" t="inlineStr">
        <is>
          <t>0</t>
        </is>
      </c>
      <c r="AB26" s="45" t="n">
        <v>194983</v>
      </c>
      <c r="AC26" s="45" t="n">
        <v>0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25290</t>
        </is>
      </c>
      <c r="E27" t="inlineStr">
        <is>
          <t>TA-25-1033978</t>
        </is>
      </c>
      <c r="F27" t="inlineStr">
        <is>
          <t>3007081203</t>
        </is>
      </c>
      <c r="G27" t="inlineStr">
        <is>
          <t>APERTURA</t>
        </is>
      </c>
      <c r="H27" t="inlineStr">
        <is>
          <t>CB CRECIMIENTO - NUEVO</t>
        </is>
      </c>
      <c r="I27" t="inlineStr">
        <is>
          <t>CUNDINAMARCA</t>
        </is>
      </c>
      <c r="J27" t="inlineStr">
        <is>
          <t>FUSAGASUGA</t>
        </is>
      </c>
      <c r="K27" t="inlineStr">
        <is>
          <t>BARRIO VILLA LADY FUSAGASUGA</t>
        </is>
      </c>
      <c r="L27" t="inlineStr">
        <is>
          <t>BANCOLOMBIA</t>
        </is>
      </c>
      <c r="M27" t="inlineStr">
        <is>
          <t>FO-25-1433002</t>
        </is>
      </c>
      <c r="N27" s="46" t="n">
        <v>45896.72361111111</v>
      </c>
      <c r="O27" s="46" t="n">
        <v>45898.59166666667</v>
      </c>
      <c r="P27" t="inlineStr">
        <is>
          <t>UNO A UNO</t>
        </is>
      </c>
      <c r="Q27" t="inlineStr">
        <is>
          <t>UNO A UNO</t>
        </is>
      </c>
      <c r="R27" t="inlineStr">
        <is>
          <t>EJECUTADO</t>
        </is>
      </c>
      <c r="S27" t="inlineStr">
        <is>
          <t>VISITA TECNICA</t>
        </is>
      </c>
      <c r="T27" t="inlineStr">
        <is>
          <t>FKZZZ639</t>
        </is>
      </c>
      <c r="U27" t="inlineStr">
        <is>
          <t>TIPO II</t>
        </is>
      </c>
      <c r="V27" t="inlineStr">
        <is>
          <t>TERRESTRE</t>
        </is>
      </c>
      <c r="W27" t="inlineStr">
        <is>
          <t>HERNANDEZ NARANJO OSCAR EDUARDO</t>
        </is>
      </c>
      <c r="X27" t="inlineStr">
        <is>
          <t>Si</t>
        </is>
      </c>
      <c r="Y27" t="inlineStr">
        <is>
          <t>Si</t>
        </is>
      </c>
      <c r="Z27" s="45" t="n">
        <v>0</v>
      </c>
      <c r="AA27" t="inlineStr">
        <is>
          <t>0</t>
        </is>
      </c>
      <c r="AB27" s="45" t="n">
        <v>248376</v>
      </c>
      <c r="AC27" s="45" t="n">
        <v>0</v>
      </c>
    </row>
    <row r="28">
      <c r="A28" t="inlineStr">
        <is>
          <t>MANIZALES</t>
        </is>
      </c>
      <c r="B28" t="inlineStr">
        <is>
          <t>SUROCCIDENTE Y EJE CAFETERO</t>
        </is>
      </c>
      <c r="C28" t="inlineStr">
        <is>
          <t>0004-0002</t>
        </is>
      </c>
      <c r="D28" t="inlineStr">
        <is>
          <t>17616</t>
        </is>
      </c>
      <c r="E28" t="inlineStr">
        <is>
          <t>TA-25-1033982</t>
        </is>
      </c>
      <c r="F28" t="inlineStr">
        <is>
          <t>3007081240</t>
        </is>
      </c>
      <c r="G28" t="inlineStr">
        <is>
          <t>APERTURA</t>
        </is>
      </c>
      <c r="H28" t="inlineStr">
        <is>
          <t>CB CRECIMIENTO - NUEVO</t>
        </is>
      </c>
      <c r="I28" t="inlineStr">
        <is>
          <t>CALDAS</t>
        </is>
      </c>
      <c r="J28" t="inlineStr">
        <is>
          <t>RISARALDA</t>
        </is>
      </c>
      <c r="K28" t="inlineStr">
        <is>
          <t>BARRIO CENTRO RISARALDA 2</t>
        </is>
      </c>
      <c r="L28" t="inlineStr">
        <is>
          <t>BANCOLOMBIA</t>
        </is>
      </c>
      <c r="M28" t="inlineStr">
        <is>
          <t>FO-25-1433008</t>
        </is>
      </c>
      <c r="N28" s="46" t="n">
        <v>45896.70972222222</v>
      </c>
      <c r="O28" s="46" t="n">
        <v>45897.63541666666</v>
      </c>
      <c r="P28" t="inlineStr">
        <is>
          <t>UNO A UNO</t>
        </is>
      </c>
      <c r="Q28" t="inlineStr">
        <is>
          <t>UNO A UNO</t>
        </is>
      </c>
      <c r="R28" t="inlineStr">
        <is>
          <t>EJECUTADO</t>
        </is>
      </c>
      <c r="S28" t="inlineStr">
        <is>
          <t>VISITA TECNICA</t>
        </is>
      </c>
      <c r="T28" t="inlineStr">
        <is>
          <t>FKZZZ640</t>
        </is>
      </c>
      <c r="U28" t="inlineStr">
        <is>
          <t>TIPO II</t>
        </is>
      </c>
      <c r="V28" t="inlineStr">
        <is>
          <t>TERRESTRE</t>
        </is>
      </c>
      <c r="W28" t="inlineStr">
        <is>
          <t>AGUIRRE HENAO RAUL EDUARDO</t>
        </is>
      </c>
      <c r="X28" t="inlineStr">
        <is>
          <t>Si</t>
        </is>
      </c>
      <c r="Y28" t="inlineStr">
        <is>
          <t>Si</t>
        </is>
      </c>
      <c r="Z28" s="45" t="n">
        <v>0</v>
      </c>
      <c r="AA28" t="inlineStr">
        <is>
          <t>0</t>
        </is>
      </c>
      <c r="AB28" s="45" t="n">
        <v>248376</v>
      </c>
      <c r="AC28" s="45" t="n">
        <v>0</v>
      </c>
    </row>
    <row r="29">
      <c r="A29" t="inlineStr">
        <is>
          <t>TUNJA</t>
        </is>
      </c>
      <c r="B29" t="inlineStr">
        <is>
          <t>SANTANDERES</t>
        </is>
      </c>
      <c r="C29" t="inlineStr">
        <is>
          <t>0004-0008</t>
        </is>
      </c>
      <c r="D29" t="inlineStr">
        <is>
          <t>15835</t>
        </is>
      </c>
      <c r="E29" t="inlineStr">
        <is>
          <t>TA-25-1033983</t>
        </is>
      </c>
      <c r="F29" t="inlineStr">
        <is>
          <t>3007081250</t>
        </is>
      </c>
      <c r="G29" t="inlineStr">
        <is>
          <t>APERTURA</t>
        </is>
      </c>
      <c r="H29" t="inlineStr">
        <is>
          <t>CB CRECIMIENTO - NUEVO</t>
        </is>
      </c>
      <c r="I29" t="inlineStr">
        <is>
          <t>BOYACA</t>
        </is>
      </c>
      <c r="J29" t="inlineStr">
        <is>
          <t>TURMEQUE</t>
        </is>
      </c>
      <c r="K29" t="inlineStr">
        <is>
          <t>BARRIO LA PLAZA CENTRO TURMEQUE</t>
        </is>
      </c>
      <c r="L29" t="inlineStr">
        <is>
          <t>BANCOLOMBIA</t>
        </is>
      </c>
      <c r="M29" t="inlineStr">
        <is>
          <t>FO-25-1433014</t>
        </is>
      </c>
      <c r="N29" s="46" t="n">
        <v>45896.84791666667</v>
      </c>
      <c r="O29" s="46" t="n">
        <v>45897.60208333333</v>
      </c>
      <c r="P29" t="inlineStr">
        <is>
          <t>UNO A UNO</t>
        </is>
      </c>
      <c r="Q29" t="inlineStr">
        <is>
          <t>UNO A UNO</t>
        </is>
      </c>
      <c r="R29" t="inlineStr">
        <is>
          <t>EJECUTADO</t>
        </is>
      </c>
      <c r="S29" t="inlineStr">
        <is>
          <t>VISITA TECNICA</t>
        </is>
      </c>
      <c r="T29" t="inlineStr">
        <is>
          <t>FKZZZ641</t>
        </is>
      </c>
      <c r="U29" t="inlineStr">
        <is>
          <t>TIPO II</t>
        </is>
      </c>
      <c r="V29" t="inlineStr">
        <is>
          <t>TERRESTRE</t>
        </is>
      </c>
      <c r="W29" t="inlineStr">
        <is>
          <t>GONZALEZ GONZALEZ MARIO ALBERTO</t>
        </is>
      </c>
      <c r="X29" t="inlineStr">
        <is>
          <t>Si</t>
        </is>
      </c>
      <c r="Y29" t="inlineStr">
        <is>
          <t>Si</t>
        </is>
      </c>
      <c r="Z29" s="45" t="n">
        <v>0</v>
      </c>
      <c r="AA29" t="inlineStr">
        <is>
          <t>0</t>
        </is>
      </c>
      <c r="AB29" s="45" t="n">
        <v>248376</v>
      </c>
      <c r="AC29" s="45" t="n">
        <v>0</v>
      </c>
    </row>
    <row r="30">
      <c r="A30" t="inlineStr">
        <is>
          <t>PASTO</t>
        </is>
      </c>
      <c r="B30" t="inlineStr">
        <is>
          <t>SUROCCIDENTE Y EJE CAFETERO</t>
        </is>
      </c>
      <c r="C30" t="inlineStr">
        <is>
          <t>0004-0003</t>
        </is>
      </c>
      <c r="D30" t="inlineStr">
        <is>
          <t>52256</t>
        </is>
      </c>
      <c r="E30" t="inlineStr">
        <is>
          <t>TA-25-1033984</t>
        </is>
      </c>
      <c r="F30" t="inlineStr">
        <is>
          <t>3007081200</t>
        </is>
      </c>
      <c r="G30" t="inlineStr">
        <is>
          <t>APERTURA</t>
        </is>
      </c>
      <c r="H30" t="inlineStr">
        <is>
          <t>CB CRECIMIENTO - NUEVO</t>
        </is>
      </c>
      <c r="I30" t="inlineStr">
        <is>
          <t>NARIÑO</t>
        </is>
      </c>
      <c r="J30" t="inlineStr">
        <is>
          <t>EL ROSARIO</t>
        </is>
      </c>
      <c r="K30" t="inlineStr">
        <is>
          <t>BARRIO SAGRADO CORAZON DE JESUS EL ROSARIO</t>
        </is>
      </c>
      <c r="L30" t="inlineStr">
        <is>
          <t>BANCOLOMBIA</t>
        </is>
      </c>
      <c r="M30" t="inlineStr">
        <is>
          <t>FO-25-1433021</t>
        </is>
      </c>
      <c r="N30" s="46" t="n">
        <v>45896.66736111111</v>
      </c>
      <c r="O30" s="46" t="n">
        <v>45898.62291666667</v>
      </c>
      <c r="P30" t="inlineStr">
        <is>
          <t>UNO A UNO</t>
        </is>
      </c>
      <c r="Q30" t="inlineStr">
        <is>
          <t>UNO A UNO</t>
        </is>
      </c>
      <c r="R30" t="inlineStr">
        <is>
          <t>EJECUTADO</t>
        </is>
      </c>
      <c r="S30" t="inlineStr">
        <is>
          <t>VISITA TECNICA</t>
        </is>
      </c>
      <c r="T30" t="inlineStr">
        <is>
          <t>FKZZZ642</t>
        </is>
      </c>
      <c r="U30" t="inlineStr">
        <is>
          <t>TIPO II</t>
        </is>
      </c>
      <c r="V30" t="inlineStr">
        <is>
          <t>TERRESTRE</t>
        </is>
      </c>
      <c r="W30" t="inlineStr">
        <is>
          <t>CASTILLO HERRERA ALEX RICARDO</t>
        </is>
      </c>
      <c r="X30" t="inlineStr">
        <is>
          <t>Si</t>
        </is>
      </c>
      <c r="Y30" t="inlineStr">
        <is>
          <t>Si</t>
        </is>
      </c>
      <c r="Z30" s="45" t="n">
        <v>0</v>
      </c>
      <c r="AA30" t="inlineStr">
        <is>
          <t>0</t>
        </is>
      </c>
      <c r="AB30" s="45" t="n">
        <v>248376</v>
      </c>
      <c r="AC30" s="45" t="n">
        <v>0</v>
      </c>
    </row>
    <row r="31">
      <c r="A31" t="inlineStr">
        <is>
          <t>BOGOTA</t>
        </is>
      </c>
      <c r="B31" t="inlineStr">
        <is>
          <t>CUNDINAMARCA</t>
        </is>
      </c>
      <c r="C31" t="inlineStr">
        <is>
          <t>0004-0004</t>
        </is>
      </c>
      <c r="D31" t="inlineStr">
        <is>
          <t>25279</t>
        </is>
      </c>
      <c r="E31" t="inlineStr">
        <is>
          <t>TA-25-1033986</t>
        </is>
      </c>
      <c r="F31" t="inlineStr">
        <is>
          <t>3007081209</t>
        </is>
      </c>
      <c r="G31" t="inlineStr">
        <is>
          <t>APERTURA</t>
        </is>
      </c>
      <c r="H31" t="inlineStr">
        <is>
          <t>CB CRECIMIENTO - NUEVO</t>
        </is>
      </c>
      <c r="I31" t="inlineStr">
        <is>
          <t>CUNDINAMARCA</t>
        </is>
      </c>
      <c r="J31" t="inlineStr">
        <is>
          <t>FOMEQUE</t>
        </is>
      </c>
      <c r="K31" t="inlineStr">
        <is>
          <t>BARRIO CENTRO FOMEQUE FOMEQUE</t>
        </is>
      </c>
      <c r="L31" t="inlineStr">
        <is>
          <t>BANCOLOMBIA</t>
        </is>
      </c>
      <c r="M31" t="inlineStr">
        <is>
          <t>FO-25-1433033</t>
        </is>
      </c>
      <c r="N31" s="46" t="n">
        <v>45896.72361111111</v>
      </c>
      <c r="O31" s="46" t="n">
        <v>45898.37361111111</v>
      </c>
      <c r="P31" t="inlineStr">
        <is>
          <t>UNO A UNO</t>
        </is>
      </c>
      <c r="Q31" t="inlineStr">
        <is>
          <t>UNO A UNO</t>
        </is>
      </c>
      <c r="R31" t="inlineStr">
        <is>
          <t>EJECUTADO</t>
        </is>
      </c>
      <c r="S31" t="inlineStr">
        <is>
          <t>VISITA TECNICA</t>
        </is>
      </c>
      <c r="T31" t="inlineStr">
        <is>
          <t>FLZZZ644</t>
        </is>
      </c>
      <c r="U31" t="inlineStr">
        <is>
          <t>TIPO II</t>
        </is>
      </c>
      <c r="V31" t="inlineStr">
        <is>
          <t>TERRESTRE</t>
        </is>
      </c>
      <c r="W31" t="inlineStr">
        <is>
          <t>BUSTOS MORA DIEGO MANUEL</t>
        </is>
      </c>
      <c r="X31" t="inlineStr">
        <is>
          <t>Si</t>
        </is>
      </c>
      <c r="Y31" t="inlineStr">
        <is>
          <t>Si</t>
        </is>
      </c>
      <c r="Z31" s="45" t="n">
        <v>0</v>
      </c>
      <c r="AA31" t="inlineStr">
        <is>
          <t>0</t>
        </is>
      </c>
      <c r="AB31" s="45" t="n">
        <v>248376</v>
      </c>
      <c r="AC31" s="45" t="n">
        <v>0</v>
      </c>
    </row>
    <row r="32">
      <c r="A32" t="inlineStr">
        <is>
          <t>PEREIRA</t>
        </is>
      </c>
      <c r="B32" t="inlineStr">
        <is>
          <t>SUROCCIDENTE Y EJE CAFETERO</t>
        </is>
      </c>
      <c r="C32" t="inlineStr">
        <is>
          <t>0004-0002</t>
        </is>
      </c>
      <c r="D32" t="inlineStr">
        <is>
          <t>76100</t>
        </is>
      </c>
      <c r="E32" t="inlineStr">
        <is>
          <t>TA-25-1033988</t>
        </is>
      </c>
      <c r="F32" t="inlineStr">
        <is>
          <t>3007081192</t>
        </is>
      </c>
      <c r="G32" t="inlineStr">
        <is>
          <t>APERTURA</t>
        </is>
      </c>
      <c r="H32" t="inlineStr">
        <is>
          <t>CB CRECIMIENTO - NUEVO</t>
        </is>
      </c>
      <c r="I32" t="inlineStr">
        <is>
          <t>VALLE DEL CAUCA</t>
        </is>
      </c>
      <c r="J32" t="inlineStr">
        <is>
          <t>BOLIVAR</t>
        </is>
      </c>
      <c r="K32" t="inlineStr">
        <is>
          <t>BARRIO NARANJAL BOLIVAR 1</t>
        </is>
      </c>
      <c r="L32" t="inlineStr">
        <is>
          <t>BANCOLOMBIA</t>
        </is>
      </c>
      <c r="M32" t="inlineStr">
        <is>
          <t>FO-25-1433043</t>
        </is>
      </c>
      <c r="N32" s="46" t="n">
        <v>45896.64097222222</v>
      </c>
      <c r="O32" s="46" t="n">
        <v>45898.59375</v>
      </c>
      <c r="P32" t="inlineStr">
        <is>
          <t>UNO A UNO</t>
        </is>
      </c>
      <c r="Q32" t="inlineStr">
        <is>
          <t>UNO A UNO</t>
        </is>
      </c>
      <c r="R32" t="inlineStr">
        <is>
          <t>EJECUTADO</t>
        </is>
      </c>
      <c r="S32" t="inlineStr">
        <is>
          <t>VISITA TECNICA</t>
        </is>
      </c>
      <c r="T32" t="inlineStr">
        <is>
          <t>FKZZZ647</t>
        </is>
      </c>
      <c r="U32" t="inlineStr">
        <is>
          <t>TIPO II</t>
        </is>
      </c>
      <c r="V32" t="inlineStr">
        <is>
          <t>TERRESTRE</t>
        </is>
      </c>
      <c r="W32" t="inlineStr">
        <is>
          <t>PAREDES CASTILLO DIEGO</t>
        </is>
      </c>
      <c r="X32" t="inlineStr">
        <is>
          <t>Si</t>
        </is>
      </c>
      <c r="Y32" t="inlineStr">
        <is>
          <t>Si</t>
        </is>
      </c>
      <c r="Z32" s="45" t="n">
        <v>0</v>
      </c>
      <c r="AA32" t="inlineStr">
        <is>
          <t>0</t>
        </is>
      </c>
      <c r="AB32" s="45" t="n">
        <v>248376</v>
      </c>
      <c r="AC32" s="45" t="n">
        <v>0</v>
      </c>
    </row>
    <row r="33">
      <c r="A33" t="inlineStr">
        <is>
          <t>MEDELLIN</t>
        </is>
      </c>
      <c r="B33" t="inlineStr">
        <is>
          <t>NOROCCIDENTE</t>
        </is>
      </c>
      <c r="C33" t="inlineStr">
        <is>
          <t>0004-0005</t>
        </is>
      </c>
      <c r="D33" t="inlineStr">
        <is>
          <t>5212</t>
        </is>
      </c>
      <c r="E33" t="inlineStr">
        <is>
          <t>TA-25-1033989</t>
        </is>
      </c>
      <c r="F33" t="inlineStr">
        <is>
          <t>3007081199</t>
        </is>
      </c>
      <c r="G33" t="inlineStr">
        <is>
          <t>APERTURA</t>
        </is>
      </c>
      <c r="H33" t="inlineStr">
        <is>
          <t>CB CRECIMIENTO - NUEVO</t>
        </is>
      </c>
      <c r="I33" t="inlineStr">
        <is>
          <t>ANTIOQUIA</t>
        </is>
      </c>
      <c r="J33" t="inlineStr">
        <is>
          <t>COPACABANA</t>
        </is>
      </c>
      <c r="K33" t="inlineStr">
        <is>
          <t>BARRIO VRD ZARZAL LA LUZ COPACABANA</t>
        </is>
      </c>
      <c r="L33" t="inlineStr">
        <is>
          <t>BANCOLOMBIA</t>
        </is>
      </c>
      <c r="M33" t="inlineStr">
        <is>
          <t>FO-25-1433048</t>
        </is>
      </c>
      <c r="N33" s="46" t="n">
        <v>45896.58055555556</v>
      </c>
      <c r="O33" s="46" t="n">
        <v>45898.67916666667</v>
      </c>
      <c r="P33" t="inlineStr">
        <is>
          <t>UNO A UNO</t>
        </is>
      </c>
      <c r="Q33" t="inlineStr">
        <is>
          <t>UNO A UNO</t>
        </is>
      </c>
      <c r="R33" t="inlineStr">
        <is>
          <t>EJECUTADO</t>
        </is>
      </c>
      <c r="S33" t="inlineStr">
        <is>
          <t>VISITA TECNICA</t>
        </is>
      </c>
      <c r="T33" t="inlineStr">
        <is>
          <t>FKZZZ648</t>
        </is>
      </c>
      <c r="U33" t="inlineStr">
        <is>
          <t>TIPO I</t>
        </is>
      </c>
      <c r="V33" t="inlineStr">
        <is>
          <t>TERRESTRE</t>
        </is>
      </c>
      <c r="W33" t="inlineStr">
        <is>
          <t>QUINTERO SANCHEZ JUAN SEBASTIAN</t>
        </is>
      </c>
      <c r="X33" t="inlineStr">
        <is>
          <t>Si</t>
        </is>
      </c>
      <c r="Y33" t="inlineStr">
        <is>
          <t>Si</t>
        </is>
      </c>
      <c r="Z33" s="45" t="n">
        <v>0</v>
      </c>
      <c r="AA33" t="inlineStr">
        <is>
          <t>0</t>
        </is>
      </c>
      <c r="AB33" s="45" t="n">
        <v>194983</v>
      </c>
      <c r="AC33" s="45" t="n">
        <v>0</v>
      </c>
    </row>
    <row r="34">
      <c r="A34" t="inlineStr">
        <is>
          <t>PEREIRA</t>
        </is>
      </c>
      <c r="B34" t="inlineStr">
        <is>
          <t>SUROCCIDENTE Y EJE CAFETERO</t>
        </is>
      </c>
      <c r="C34" t="inlineStr">
        <is>
          <t>0004-0002</t>
        </is>
      </c>
      <c r="D34" t="inlineStr">
        <is>
          <t>63001</t>
        </is>
      </c>
      <c r="E34" t="inlineStr">
        <is>
          <t>TA-25-1033992</t>
        </is>
      </c>
      <c r="F34" t="inlineStr">
        <is>
          <t>3007081184</t>
        </is>
      </c>
      <c r="G34" t="inlineStr">
        <is>
          <t>APERTURA</t>
        </is>
      </c>
      <c r="H34" t="inlineStr">
        <is>
          <t>CB CRECIMIENTO - NUEVO</t>
        </is>
      </c>
      <c r="I34" t="inlineStr">
        <is>
          <t>QUINDIO</t>
        </is>
      </c>
      <c r="J34" t="inlineStr">
        <is>
          <t>ARMENIA</t>
        </is>
      </c>
      <c r="K34" t="inlineStr">
        <is>
          <t>BARRIO ESMERALDA ARMENIA</t>
        </is>
      </c>
      <c r="L34" t="inlineStr">
        <is>
          <t>BANCOLOMBIA</t>
        </is>
      </c>
      <c r="M34" t="inlineStr">
        <is>
          <t>FO-25-1433065</t>
        </is>
      </c>
      <c r="N34" s="46" t="n">
        <v>45896.62916666667</v>
      </c>
      <c r="O34" s="46" t="n">
        <v>45898.28333333333</v>
      </c>
      <c r="P34" t="inlineStr">
        <is>
          <t>UNO A UNO</t>
        </is>
      </c>
      <c r="Q34" t="inlineStr">
        <is>
          <t>UNO A UNO</t>
        </is>
      </c>
      <c r="R34" t="inlineStr">
        <is>
          <t>EJECUTADO</t>
        </is>
      </c>
      <c r="S34" t="inlineStr">
        <is>
          <t>VISITA TECNICA</t>
        </is>
      </c>
      <c r="T34" t="inlineStr">
        <is>
          <t xml:space="preserve"> FKZZZ650</t>
        </is>
      </c>
      <c r="U34" t="inlineStr">
        <is>
          <t>TIPO II</t>
        </is>
      </c>
      <c r="V34" t="inlineStr">
        <is>
          <t>TERRESTRE</t>
        </is>
      </c>
      <c r="W34" t="inlineStr">
        <is>
          <t>SANCHEZ SOLORZANO JUAN SEBASTIAN</t>
        </is>
      </c>
      <c r="X34" t="inlineStr">
        <is>
          <t>Si</t>
        </is>
      </c>
      <c r="Y34" t="inlineStr">
        <is>
          <t>Si</t>
        </is>
      </c>
      <c r="Z34" s="45" t="n">
        <v>0</v>
      </c>
      <c r="AA34" t="inlineStr">
        <is>
          <t>0</t>
        </is>
      </c>
      <c r="AB34" s="45" t="n">
        <v>248376</v>
      </c>
      <c r="AC34" s="45" t="n">
        <v>0</v>
      </c>
    </row>
    <row r="35">
      <c r="A35" t="inlineStr">
        <is>
          <t>CALI</t>
        </is>
      </c>
      <c r="B35" t="inlineStr">
        <is>
          <t>SUROCCIDENTE Y EJE CAFETERO</t>
        </is>
      </c>
      <c r="C35" t="inlineStr">
        <is>
          <t>0004-0003</t>
        </is>
      </c>
      <c r="D35" t="inlineStr">
        <is>
          <t>76520</t>
        </is>
      </c>
      <c r="E35" t="inlineStr">
        <is>
          <t>TA-25-1033993</t>
        </is>
      </c>
      <c r="F35" t="inlineStr">
        <is>
          <t>3007081213</t>
        </is>
      </c>
      <c r="G35" t="inlineStr">
        <is>
          <t>APERTURA</t>
        </is>
      </c>
      <c r="H35" t="inlineStr">
        <is>
          <t>CB CRECIMIENTO - NUEVO</t>
        </is>
      </c>
      <c r="I35" t="inlineStr">
        <is>
          <t>VALLE DEL CAUCA</t>
        </is>
      </c>
      <c r="J35" t="inlineStr">
        <is>
          <t>PALMIRA</t>
        </is>
      </c>
      <c r="K35" t="inlineStr">
        <is>
          <t>BARRIO EL BOSQUE PALMIRA 1</t>
        </is>
      </c>
      <c r="L35" t="inlineStr">
        <is>
          <t>BANCOLOMBIA</t>
        </is>
      </c>
      <c r="M35" t="inlineStr">
        <is>
          <t>FO-25-1433073</t>
        </is>
      </c>
      <c r="N35" s="46" t="n">
        <v>45896.64861111111</v>
      </c>
      <c r="O35" s="46" t="n">
        <v>45897.64236111111</v>
      </c>
      <c r="P35" t="inlineStr">
        <is>
          <t>UNO A UNO</t>
        </is>
      </c>
      <c r="Q35" t="inlineStr">
        <is>
          <t>UNO A UNO</t>
        </is>
      </c>
      <c r="R35" t="inlineStr">
        <is>
          <t>EJECUTADO</t>
        </is>
      </c>
      <c r="S35" t="inlineStr">
        <is>
          <t>VISITA TECNICA</t>
        </is>
      </c>
      <c r="T35" t="inlineStr">
        <is>
          <t>FKZZZ651</t>
        </is>
      </c>
      <c r="U35" t="inlineStr">
        <is>
          <t>TIPO I</t>
        </is>
      </c>
      <c r="V35" t="inlineStr">
        <is>
          <t>TERRESTRE</t>
        </is>
      </c>
      <c r="W35" t="inlineStr">
        <is>
          <t>TORRES GARCIA JENDRY JOSE</t>
        </is>
      </c>
      <c r="X35" t="inlineStr">
        <is>
          <t>Si</t>
        </is>
      </c>
      <c r="Y35" t="inlineStr">
        <is>
          <t>Si</t>
        </is>
      </c>
      <c r="Z35" s="45" t="n">
        <v>0</v>
      </c>
      <c r="AA35" t="inlineStr">
        <is>
          <t>0</t>
        </is>
      </c>
      <c r="AB35" s="45" t="n">
        <v>194983</v>
      </c>
      <c r="AC35" s="45" t="n">
        <v>0</v>
      </c>
    </row>
    <row r="36">
      <c r="A36" t="inlineStr">
        <is>
          <t>CALI</t>
        </is>
      </c>
      <c r="B36" t="inlineStr">
        <is>
          <t>SUROCCIDENTE Y EJE CAFETERO</t>
        </is>
      </c>
      <c r="C36" t="inlineStr">
        <is>
          <t>0004-0003</t>
        </is>
      </c>
      <c r="D36" t="inlineStr">
        <is>
          <t>76001</t>
        </is>
      </c>
      <c r="E36" t="inlineStr">
        <is>
          <t>TA-25-1033994</t>
        </is>
      </c>
      <c r="F36" t="inlineStr">
        <is>
          <t>3007081193</t>
        </is>
      </c>
      <c r="G36" t="inlineStr">
        <is>
          <t>APERTURA</t>
        </is>
      </c>
      <c r="H36" t="inlineStr">
        <is>
          <t>CB CRECIMIENTO - NUEVO</t>
        </is>
      </c>
      <c r="I36" t="inlineStr">
        <is>
          <t>VALLE DEL CAUCA</t>
        </is>
      </c>
      <c r="J36" t="inlineStr">
        <is>
          <t>CALI</t>
        </is>
      </c>
      <c r="K36" t="inlineStr">
        <is>
          <t>BARRIO ULPIANO LLOREDA CALI 1</t>
        </is>
      </c>
      <c r="L36" t="inlineStr">
        <is>
          <t>BANCOLOMBIA</t>
        </is>
      </c>
      <c r="M36" t="inlineStr">
        <is>
          <t>FO-25-1433077</t>
        </is>
      </c>
      <c r="N36" s="46" t="n">
        <v>45896.65208333333</v>
      </c>
      <c r="O36" s="46" t="n">
        <v>45898.30555555555</v>
      </c>
      <c r="P36" t="inlineStr">
        <is>
          <t>UNO A UNO</t>
        </is>
      </c>
      <c r="Q36" t="inlineStr">
        <is>
          <t>UNO A UNO</t>
        </is>
      </c>
      <c r="R36" t="inlineStr">
        <is>
          <t>EJECUTADO</t>
        </is>
      </c>
      <c r="S36" t="inlineStr">
        <is>
          <t>VISITA TECNICA</t>
        </is>
      </c>
      <c r="T36" t="inlineStr">
        <is>
          <t>FKZZZ652</t>
        </is>
      </c>
      <c r="U36" t="inlineStr">
        <is>
          <t>TIPO I</t>
        </is>
      </c>
      <c r="V36" t="inlineStr">
        <is>
          <t>TERRESTRE</t>
        </is>
      </c>
      <c r="W36" t="inlineStr">
        <is>
          <t>BOLAÑOS TABORDA JORGE ENRIQUE</t>
        </is>
      </c>
      <c r="X36" t="inlineStr">
        <is>
          <t>Si</t>
        </is>
      </c>
      <c r="Y36" t="inlineStr">
        <is>
          <t>Si</t>
        </is>
      </c>
      <c r="Z36" s="45" t="n">
        <v>0</v>
      </c>
      <c r="AA36" t="inlineStr">
        <is>
          <t>0</t>
        </is>
      </c>
      <c r="AB36" s="45" t="n">
        <v>194983</v>
      </c>
      <c r="AC36" s="45" t="n">
        <v>0</v>
      </c>
    </row>
    <row r="37">
      <c r="A37" t="inlineStr">
        <is>
          <t>BOGOTA</t>
        </is>
      </c>
      <c r="B37" t="inlineStr">
        <is>
          <t>CUNDINAMARCA</t>
        </is>
      </c>
      <c r="C37" t="inlineStr">
        <is>
          <t>0004-0004</t>
        </is>
      </c>
      <c r="D37" t="inlineStr">
        <is>
          <t>11001</t>
        </is>
      </c>
      <c r="E37" t="inlineStr">
        <is>
          <t>TA-25-1033995</t>
        </is>
      </c>
      <c r="F37" t="inlineStr">
        <is>
          <t>3007081190</t>
        </is>
      </c>
      <c r="G37" t="inlineStr">
        <is>
          <t>APERTURA</t>
        </is>
      </c>
      <c r="H37" t="inlineStr">
        <is>
          <t>CB CRECIMIENTO - NUEVO</t>
        </is>
      </c>
      <c r="I37" t="inlineStr">
        <is>
          <t>CUNDINAMARCA</t>
        </is>
      </c>
      <c r="J37" t="inlineStr">
        <is>
          <t>BOGOTA</t>
        </is>
      </c>
      <c r="K37" t="inlineStr">
        <is>
          <t>BARRIO CAÑAVERALEJO BOGOTA 1</t>
        </is>
      </c>
      <c r="L37" t="inlineStr">
        <is>
          <t>BANCOLOMBIA</t>
        </is>
      </c>
      <c r="M37" t="inlineStr">
        <is>
          <t>FO-25-1433086</t>
        </is>
      </c>
      <c r="N37" s="46" t="n">
        <v>45896.72361111111</v>
      </c>
      <c r="O37" s="46" t="n">
        <v>45897.60486111111</v>
      </c>
      <c r="P37" t="inlineStr">
        <is>
          <t>UNO A UNO</t>
        </is>
      </c>
      <c r="Q37" t="inlineStr">
        <is>
          <t>UNO A UNO</t>
        </is>
      </c>
      <c r="R37" t="inlineStr">
        <is>
          <t>EJECUTADO</t>
        </is>
      </c>
      <c r="S37" t="inlineStr">
        <is>
          <t>VISITA TECNICA</t>
        </is>
      </c>
      <c r="T37" t="inlineStr">
        <is>
          <t>FKZZZ653</t>
        </is>
      </c>
      <c r="U37" t="inlineStr">
        <is>
          <t>TIPO I</t>
        </is>
      </c>
      <c r="V37" t="inlineStr">
        <is>
          <t>TERRESTRE</t>
        </is>
      </c>
      <c r="W37" t="inlineStr">
        <is>
          <t>HERNANDEZ NARANJO OSCAR EDUARDO</t>
        </is>
      </c>
      <c r="X37" t="inlineStr">
        <is>
          <t>Si</t>
        </is>
      </c>
      <c r="Y37" t="inlineStr">
        <is>
          <t>Si</t>
        </is>
      </c>
      <c r="Z37" s="45" t="n">
        <v>0</v>
      </c>
      <c r="AA37" t="inlineStr">
        <is>
          <t>0</t>
        </is>
      </c>
      <c r="AB37" s="45" t="n">
        <v>194983</v>
      </c>
      <c r="AC37" s="45" t="n">
        <v>0</v>
      </c>
    </row>
    <row r="38">
      <c r="A38" t="inlineStr">
        <is>
          <t>BOGOTA</t>
        </is>
      </c>
      <c r="B38" t="inlineStr">
        <is>
          <t>CUNDINAMARCA</t>
        </is>
      </c>
      <c r="C38" t="inlineStr">
        <is>
          <t>0004-0004</t>
        </is>
      </c>
      <c r="D38" t="inlineStr">
        <is>
          <t>11001</t>
        </is>
      </c>
      <c r="E38" t="inlineStr">
        <is>
          <t>TA-25-1033996</t>
        </is>
      </c>
      <c r="F38" t="inlineStr">
        <is>
          <t>3007081191</t>
        </is>
      </c>
      <c r="G38" t="inlineStr">
        <is>
          <t>APERTURA</t>
        </is>
      </c>
      <c r="H38" t="inlineStr">
        <is>
          <t>CB CRECIMIENTO - NUEVO</t>
        </is>
      </c>
      <c r="I38" t="inlineStr">
        <is>
          <t>CUNDINAMARCA</t>
        </is>
      </c>
      <c r="J38" t="inlineStr">
        <is>
          <t>BOGOTA</t>
        </is>
      </c>
      <c r="K38" t="inlineStr">
        <is>
          <t>BARRIO BILBAO BOGOTA 7</t>
        </is>
      </c>
      <c r="L38" t="inlineStr">
        <is>
          <t>BANCOLOMBIA</t>
        </is>
      </c>
      <c r="M38" t="inlineStr">
        <is>
          <t>FO-25-1433090</t>
        </is>
      </c>
      <c r="N38" s="46" t="n">
        <v>45896.36041666667</v>
      </c>
      <c r="O38" s="46" t="n">
        <v>45897.60763888889</v>
      </c>
      <c r="P38" t="inlineStr">
        <is>
          <t>UNO A UNO</t>
        </is>
      </c>
      <c r="Q38" t="inlineStr">
        <is>
          <t>UNO A UNO</t>
        </is>
      </c>
      <c r="R38" t="inlineStr">
        <is>
          <t>EJECUTADO</t>
        </is>
      </c>
      <c r="S38" t="inlineStr">
        <is>
          <t>VISITA TECNICA</t>
        </is>
      </c>
      <c r="T38" t="inlineStr">
        <is>
          <t>FKZZZ654</t>
        </is>
      </c>
      <c r="U38" t="inlineStr">
        <is>
          <t>TIPO I</t>
        </is>
      </c>
      <c r="V38" t="inlineStr">
        <is>
          <t>TERRESTRE</t>
        </is>
      </c>
      <c r="W38" t="inlineStr">
        <is>
          <t>VEGA MANRIQUE JONATAN MAURICIO</t>
        </is>
      </c>
      <c r="X38" t="inlineStr">
        <is>
          <t>Si</t>
        </is>
      </c>
      <c r="Y38" t="inlineStr">
        <is>
          <t>Si</t>
        </is>
      </c>
      <c r="Z38" s="45" t="n">
        <v>0</v>
      </c>
      <c r="AA38" t="inlineStr">
        <is>
          <t>0</t>
        </is>
      </c>
      <c r="AB38" s="45" t="n">
        <v>194983</v>
      </c>
      <c r="AC38" s="45" t="n">
        <v>0</v>
      </c>
    </row>
    <row r="39">
      <c r="A39" t="inlineStr">
        <is>
          <t>NEIVA</t>
        </is>
      </c>
      <c r="B39" t="inlineStr">
        <is>
          <t>REMOTAS</t>
        </is>
      </c>
      <c r="C39" t="inlineStr">
        <is>
          <t>0004-0007</t>
        </is>
      </c>
      <c r="D39" t="inlineStr">
        <is>
          <t>18001</t>
        </is>
      </c>
      <c r="E39" t="inlineStr">
        <is>
          <t>TA-25-1033997</t>
        </is>
      </c>
      <c r="F39" t="inlineStr">
        <is>
          <t>3007081201</t>
        </is>
      </c>
      <c r="G39" t="inlineStr">
        <is>
          <t>APERTURA</t>
        </is>
      </c>
      <c r="H39" t="inlineStr">
        <is>
          <t>CB CRECIMIENTO - NUEVO</t>
        </is>
      </c>
      <c r="I39" t="inlineStr">
        <is>
          <t>CAQUETA</t>
        </is>
      </c>
      <c r="J39" t="inlineStr">
        <is>
          <t>FLORENCIA</t>
        </is>
      </c>
      <c r="K39" t="inlineStr">
        <is>
          <t>BARRIO PORVENIR FLORENCIA</t>
        </is>
      </c>
      <c r="L39" t="inlineStr">
        <is>
          <t>BANCOLOMBIA</t>
        </is>
      </c>
      <c r="M39" t="inlineStr">
        <is>
          <t>FO-25-1433097</t>
        </is>
      </c>
      <c r="N39" s="46" t="n">
        <v>45896.68680555555</v>
      </c>
      <c r="O39" s="46" t="n">
        <v>45897.60972222222</v>
      </c>
      <c r="P39" t="inlineStr">
        <is>
          <t>UNO A UNO</t>
        </is>
      </c>
      <c r="Q39" t="inlineStr">
        <is>
          <t>UNO A UNO</t>
        </is>
      </c>
      <c r="R39" t="inlineStr">
        <is>
          <t>EJECUTADO</t>
        </is>
      </c>
      <c r="S39" t="inlineStr">
        <is>
          <t>VISITA TECNICA</t>
        </is>
      </c>
      <c r="T39" t="inlineStr">
        <is>
          <t>FKZZZ655</t>
        </is>
      </c>
      <c r="U39" t="inlineStr">
        <is>
          <t>TIPO IV</t>
        </is>
      </c>
      <c r="V39" t="inlineStr">
        <is>
          <t>TERRESTRE</t>
        </is>
      </c>
      <c r="W39" t="inlineStr">
        <is>
          <t>DEVIA REINOSO JUAN CARLOS</t>
        </is>
      </c>
      <c r="X39" t="inlineStr">
        <is>
          <t>Si</t>
        </is>
      </c>
      <c r="Y39" t="inlineStr">
        <is>
          <t>Si</t>
        </is>
      </c>
      <c r="Z39" s="45" t="n">
        <v>0</v>
      </c>
      <c r="AA39" t="inlineStr">
        <is>
          <t>0</t>
        </is>
      </c>
      <c r="AB39" s="45" t="n">
        <v>248376</v>
      </c>
      <c r="AC39" s="45" t="n">
        <v>0</v>
      </c>
    </row>
    <row r="40">
      <c r="A40" t="inlineStr">
        <is>
          <t>BARRANQUILLA</t>
        </is>
      </c>
      <c r="B40" t="inlineStr">
        <is>
          <t>COSTA</t>
        </is>
      </c>
      <c r="C40" t="inlineStr">
        <is>
          <t>0004-0001</t>
        </is>
      </c>
      <c r="D40" t="inlineStr">
        <is>
          <t>8638</t>
        </is>
      </c>
      <c r="E40" t="inlineStr">
        <is>
          <t>TA-25-1033998</t>
        </is>
      </c>
      <c r="F40" t="inlineStr">
        <is>
          <t>3007081245</t>
        </is>
      </c>
      <c r="G40" t="inlineStr">
        <is>
          <t>APERTURA</t>
        </is>
      </c>
      <c r="H40" t="inlineStr">
        <is>
          <t>CB CRECIMIENTO - NUEVO</t>
        </is>
      </c>
      <c r="I40" t="inlineStr">
        <is>
          <t>ATLANTICO</t>
        </is>
      </c>
      <c r="J40" t="inlineStr">
        <is>
          <t>SABANALARGA</t>
        </is>
      </c>
      <c r="K40" t="inlineStr">
        <is>
          <t>BARRIO CENTRO SABANALARGA 24</t>
        </is>
      </c>
      <c r="L40" t="inlineStr">
        <is>
          <t>BANCOLOMBIA</t>
        </is>
      </c>
      <c r="M40" t="inlineStr">
        <is>
          <t>FO-25-1433101</t>
        </is>
      </c>
      <c r="N40" s="46" t="n">
        <v>45896.55</v>
      </c>
      <c r="O40" s="46" t="n">
        <v>45898.30902777778</v>
      </c>
      <c r="P40" t="inlineStr">
        <is>
          <t>UNO A UNO</t>
        </is>
      </c>
      <c r="Q40" t="inlineStr">
        <is>
          <t>UNO A UNO</t>
        </is>
      </c>
      <c r="R40" t="inlineStr">
        <is>
          <t>EJECUTADO</t>
        </is>
      </c>
      <c r="S40" t="inlineStr">
        <is>
          <t>VISITA TECNICA</t>
        </is>
      </c>
      <c r="T40" t="inlineStr">
        <is>
          <t>FKZZZ656</t>
        </is>
      </c>
      <c r="U40" t="inlineStr">
        <is>
          <t>TIPO II</t>
        </is>
      </c>
      <c r="V40" t="inlineStr">
        <is>
          <t>TERRESTRE</t>
        </is>
      </c>
      <c r="W40" t="inlineStr">
        <is>
          <t>DE AGUAS MUÑOZ DAVID JOSE</t>
        </is>
      </c>
      <c r="X40" t="inlineStr">
        <is>
          <t>Si</t>
        </is>
      </c>
      <c r="Y40" t="inlineStr">
        <is>
          <t>Si</t>
        </is>
      </c>
      <c r="Z40" s="45" t="n">
        <v>0</v>
      </c>
      <c r="AA40" t="inlineStr">
        <is>
          <t>0</t>
        </is>
      </c>
      <c r="AB40" s="45" t="n">
        <v>248376</v>
      </c>
      <c r="AC40" s="45" t="n">
        <v>0</v>
      </c>
    </row>
    <row r="41">
      <c r="A41" t="inlineStr">
        <is>
          <t>BUCARAMANGA</t>
        </is>
      </c>
      <c r="B41" t="inlineStr">
        <is>
          <t>SANTANDERES</t>
        </is>
      </c>
      <c r="C41" t="inlineStr">
        <is>
          <t>0004-0008</t>
        </is>
      </c>
      <c r="D41" t="inlineStr">
        <is>
          <t>68679</t>
        </is>
      </c>
      <c r="E41" t="inlineStr">
        <is>
          <t>TA-25-1034001</t>
        </is>
      </c>
      <c r="F41" t="inlineStr">
        <is>
          <t>3007081248</t>
        </is>
      </c>
      <c r="G41" t="inlineStr">
        <is>
          <t>APERTURA</t>
        </is>
      </c>
      <c r="H41" t="inlineStr">
        <is>
          <t>CB CRECIMIENTO - NUEVO</t>
        </is>
      </c>
      <c r="I41" t="inlineStr">
        <is>
          <t>SANTANDER</t>
        </is>
      </c>
      <c r="J41" t="inlineStr">
        <is>
          <t>SAN GIL</t>
        </is>
      </c>
      <c r="K41" t="inlineStr">
        <is>
          <t>BARRIO SAN GIL SAN GIL 1</t>
        </is>
      </c>
      <c r="L41" t="inlineStr">
        <is>
          <t>BANCOLOMBIA</t>
        </is>
      </c>
      <c r="M41" t="inlineStr">
        <is>
          <t>FO-25-1433107</t>
        </is>
      </c>
      <c r="N41" s="46" t="n">
        <v>45896.71597222222</v>
      </c>
      <c r="O41" s="46" t="n">
        <v>45898.33402777778</v>
      </c>
      <c r="P41" t="inlineStr">
        <is>
          <t>UNO A UNO</t>
        </is>
      </c>
      <c r="Q41" t="inlineStr">
        <is>
          <t>UNO A UNO</t>
        </is>
      </c>
      <c r="R41" t="inlineStr">
        <is>
          <t>EJECUTADO</t>
        </is>
      </c>
      <c r="S41" t="inlineStr">
        <is>
          <t>VISITA TECNICA</t>
        </is>
      </c>
      <c r="T41" t="inlineStr">
        <is>
          <t>FKZZZ657</t>
        </is>
      </c>
      <c r="U41" t="inlineStr">
        <is>
          <t>TIPO II</t>
        </is>
      </c>
      <c r="V41" t="inlineStr">
        <is>
          <t>TERRESTRE</t>
        </is>
      </c>
      <c r="W41" t="inlineStr">
        <is>
          <t>HERRERA LUQUE SAUL JAVIER</t>
        </is>
      </c>
      <c r="X41" t="inlineStr">
        <is>
          <t>Si</t>
        </is>
      </c>
      <c r="Y41" t="inlineStr">
        <is>
          <t>Si</t>
        </is>
      </c>
      <c r="Z41" s="45" t="n">
        <v>0</v>
      </c>
      <c r="AA41" t="inlineStr">
        <is>
          <t>0</t>
        </is>
      </c>
      <c r="AB41" s="45" t="n">
        <v>248376</v>
      </c>
      <c r="AC41" s="45" t="n">
        <v>0</v>
      </c>
    </row>
    <row r="42">
      <c r="A42" t="inlineStr">
        <is>
          <t>CALI</t>
        </is>
      </c>
      <c r="B42" t="inlineStr">
        <is>
          <t>SUROCCIDENTE Y EJE CAFETERO</t>
        </is>
      </c>
      <c r="C42" t="inlineStr">
        <is>
          <t>0004-0003</t>
        </is>
      </c>
      <c r="D42" t="inlineStr">
        <is>
          <t>76001</t>
        </is>
      </c>
      <c r="E42" t="inlineStr">
        <is>
          <t>TA-25-1034002</t>
        </is>
      </c>
      <c r="F42" t="inlineStr">
        <is>
          <t>3007081196</t>
        </is>
      </c>
      <c r="G42" t="inlineStr">
        <is>
          <t>APERTURA</t>
        </is>
      </c>
      <c r="H42" t="inlineStr">
        <is>
          <t>CB CRECIMIENTO - NUEVO</t>
        </is>
      </c>
      <c r="I42" t="inlineStr">
        <is>
          <t>VALLE DEL CAUCA</t>
        </is>
      </c>
      <c r="J42" t="inlineStr">
        <is>
          <t>CALI</t>
        </is>
      </c>
      <c r="K42" t="inlineStr">
        <is>
          <t>BARRIO FLORALIA CALI 11</t>
        </is>
      </c>
      <c r="L42" t="inlineStr">
        <is>
          <t>BANCOLOMBIA</t>
        </is>
      </c>
      <c r="M42" t="inlineStr">
        <is>
          <t>FO-25-1433110</t>
        </is>
      </c>
      <c r="N42" s="46" t="n">
        <v>45896.65069444444</v>
      </c>
      <c r="O42" s="46" t="n">
        <v>45898.37083333333</v>
      </c>
      <c r="P42" t="inlineStr">
        <is>
          <t>UNO A UNO</t>
        </is>
      </c>
      <c r="Q42" t="inlineStr">
        <is>
          <t>UNO A UNO</t>
        </is>
      </c>
      <c r="R42" t="inlineStr">
        <is>
          <t>EJECUTADO</t>
        </is>
      </c>
      <c r="S42" t="inlineStr">
        <is>
          <t>VISITA TECNICA</t>
        </is>
      </c>
      <c r="T42" t="inlineStr">
        <is>
          <t>FKZZZ658</t>
        </is>
      </c>
      <c r="U42" t="inlineStr">
        <is>
          <t>TIPO I</t>
        </is>
      </c>
      <c r="V42" t="inlineStr">
        <is>
          <t>TERRESTRE</t>
        </is>
      </c>
      <c r="W42" t="inlineStr">
        <is>
          <t>HERRERA MONAR GEOVANNY</t>
        </is>
      </c>
      <c r="X42" t="inlineStr">
        <is>
          <t>Si</t>
        </is>
      </c>
      <c r="Y42" t="inlineStr">
        <is>
          <t>Si</t>
        </is>
      </c>
      <c r="Z42" s="45" t="n">
        <v>0</v>
      </c>
      <c r="AA42" t="inlineStr">
        <is>
          <t>0</t>
        </is>
      </c>
      <c r="AB42" s="45" t="n">
        <v>194983</v>
      </c>
      <c r="AC42" s="45" t="n">
        <v>0</v>
      </c>
    </row>
    <row r="43">
      <c r="A43" t="inlineStr">
        <is>
          <t>MANIZALES</t>
        </is>
      </c>
      <c r="B43" t="inlineStr">
        <is>
          <t>SUROCCIDENTE Y EJE CAFETERO</t>
        </is>
      </c>
      <c r="C43" t="inlineStr">
        <is>
          <t>0004-0002</t>
        </is>
      </c>
      <c r="D43" t="inlineStr">
        <is>
          <t>17174</t>
        </is>
      </c>
      <c r="E43" t="inlineStr">
        <is>
          <t>TA-25-1034003</t>
        </is>
      </c>
      <c r="F43" t="inlineStr">
        <is>
          <t>3007081198</t>
        </is>
      </c>
      <c r="G43" t="inlineStr">
        <is>
          <t>APERTURA</t>
        </is>
      </c>
      <c r="H43" t="inlineStr">
        <is>
          <t>CB CRECIMIENTO - NUEVO</t>
        </is>
      </c>
      <c r="I43" t="inlineStr">
        <is>
          <t>CALDAS</t>
        </is>
      </c>
      <c r="J43" t="inlineStr">
        <is>
          <t>CHINCHINA</t>
        </is>
      </c>
      <c r="K43" t="inlineStr">
        <is>
          <t>BARRIO CENTRO CHINCHINA 14</t>
        </is>
      </c>
      <c r="L43" t="inlineStr">
        <is>
          <t>BANCOLOMBIA</t>
        </is>
      </c>
      <c r="M43" t="inlineStr">
        <is>
          <t>FO-25-1433115</t>
        </is>
      </c>
      <c r="N43" s="46" t="n">
        <v>45896.62638888889</v>
      </c>
      <c r="O43" s="46" t="n">
        <v>45897.6125</v>
      </c>
      <c r="P43" t="inlineStr">
        <is>
          <t>UNO A UNO</t>
        </is>
      </c>
      <c r="Q43" t="inlineStr">
        <is>
          <t>UNO A UNO</t>
        </is>
      </c>
      <c r="R43" t="inlineStr">
        <is>
          <t>EJECUTADO</t>
        </is>
      </c>
      <c r="S43" t="inlineStr">
        <is>
          <t>VISITA TECNICA</t>
        </is>
      </c>
      <c r="T43" t="inlineStr">
        <is>
          <t>FKZZZ659</t>
        </is>
      </c>
      <c r="U43" t="inlineStr">
        <is>
          <t>TIPO II</t>
        </is>
      </c>
      <c r="V43" t="inlineStr">
        <is>
          <t>TERRESTRE</t>
        </is>
      </c>
      <c r="W43" t="inlineStr">
        <is>
          <t>FRANCO CAÑAVERAL YAMID RAUL</t>
        </is>
      </c>
      <c r="X43" t="inlineStr">
        <is>
          <t>Si</t>
        </is>
      </c>
      <c r="Y43" t="inlineStr">
        <is>
          <t>Si</t>
        </is>
      </c>
      <c r="Z43" s="45" t="n">
        <v>0</v>
      </c>
      <c r="AA43" t="inlineStr">
        <is>
          <t>0</t>
        </is>
      </c>
      <c r="AB43" s="45" t="n">
        <v>248376</v>
      </c>
      <c r="AC43" s="45" t="n">
        <v>0</v>
      </c>
    </row>
    <row r="44">
      <c r="A44" t="inlineStr">
        <is>
          <t>CALI</t>
        </is>
      </c>
      <c r="B44" t="inlineStr">
        <is>
          <t>SUROCCIDENTE Y EJE CAFETERO</t>
        </is>
      </c>
      <c r="C44" t="inlineStr">
        <is>
          <t>0004-0003</t>
        </is>
      </c>
      <c r="D44" t="inlineStr">
        <is>
          <t>76001</t>
        </is>
      </c>
      <c r="E44" t="inlineStr">
        <is>
          <t>TA-25-1034005</t>
        </is>
      </c>
      <c r="F44" t="inlineStr">
        <is>
          <t>3007081197</t>
        </is>
      </c>
      <c r="G44" t="inlineStr">
        <is>
          <t>APERTURA</t>
        </is>
      </c>
      <c r="H44" t="inlineStr">
        <is>
          <t>CB CRECIMIENTO - NUEVO</t>
        </is>
      </c>
      <c r="I44" t="inlineStr">
        <is>
          <t>VALLE DEL CAUCA</t>
        </is>
      </c>
      <c r="J44" t="inlineStr">
        <is>
          <t>CALI</t>
        </is>
      </c>
      <c r="K44" t="inlineStr">
        <is>
          <t>BARRIO LOS NARANJOS 1 CALI</t>
        </is>
      </c>
      <c r="L44" t="inlineStr">
        <is>
          <t>BANCOLOMBIA</t>
        </is>
      </c>
      <c r="M44" t="inlineStr">
        <is>
          <t>FO-25-1433122</t>
        </is>
      </c>
      <c r="N44" s="46" t="n">
        <v>45896.65347222222</v>
      </c>
      <c r="O44" s="46" t="n">
        <v>45897.57847222222</v>
      </c>
      <c r="P44" t="inlineStr">
        <is>
          <t>UNO A UNO</t>
        </is>
      </c>
      <c r="Q44" t="inlineStr">
        <is>
          <t>UNO A UNO</t>
        </is>
      </c>
      <c r="R44" t="inlineStr">
        <is>
          <t>EJECUTADO</t>
        </is>
      </c>
      <c r="S44" t="inlineStr">
        <is>
          <t>VISITA TECNICA</t>
        </is>
      </c>
      <c r="T44" t="inlineStr">
        <is>
          <t>FKZZZ794</t>
        </is>
      </c>
      <c r="U44" t="inlineStr">
        <is>
          <t>TIPO I</t>
        </is>
      </c>
      <c r="V44" t="inlineStr">
        <is>
          <t>TERRESTRE</t>
        </is>
      </c>
      <c r="W44" t="inlineStr">
        <is>
          <t>BOLAÑOS TABORDA JORGE ENRIQUE</t>
        </is>
      </c>
      <c r="X44" t="inlineStr">
        <is>
          <t>Si</t>
        </is>
      </c>
      <c r="Y44" t="inlineStr">
        <is>
          <t>Si</t>
        </is>
      </c>
      <c r="Z44" s="45" t="n">
        <v>0</v>
      </c>
      <c r="AA44" t="inlineStr">
        <is>
          <t>0</t>
        </is>
      </c>
      <c r="AB44" s="45" t="n">
        <v>194983</v>
      </c>
      <c r="AC44" s="45" t="n">
        <v>0</v>
      </c>
    </row>
    <row r="45">
      <c r="A45" t="inlineStr">
        <is>
          <t>BOGOTA</t>
        </is>
      </c>
      <c r="B45" t="inlineStr">
        <is>
          <t>CUNDINAMARCA</t>
        </is>
      </c>
      <c r="C45" t="inlineStr">
        <is>
          <t>0004-0004</t>
        </is>
      </c>
      <c r="D45" t="inlineStr">
        <is>
          <t>25035</t>
        </is>
      </c>
      <c r="E45" t="inlineStr">
        <is>
          <t>TA-25-1034007</t>
        </is>
      </c>
      <c r="F45" t="inlineStr">
        <is>
          <t>3007081183</t>
        </is>
      </c>
      <c r="G45" t="inlineStr">
        <is>
          <t>APERTURA</t>
        </is>
      </c>
      <c r="H45" t="inlineStr">
        <is>
          <t>CB CRECIMIENTO - NUEVO</t>
        </is>
      </c>
      <c r="I45" t="inlineStr">
        <is>
          <t>CUNDINAMARCA</t>
        </is>
      </c>
      <c r="J45" t="inlineStr">
        <is>
          <t>ANAPOIMA</t>
        </is>
      </c>
      <c r="K45" t="inlineStr">
        <is>
          <t>BARRIO ANAPOIMA ANAPOIMA 2</t>
        </is>
      </c>
      <c r="L45" t="inlineStr">
        <is>
          <t>BANCOLOMBIA</t>
        </is>
      </c>
      <c r="M45" t="inlineStr">
        <is>
          <t>FO-25-1433126</t>
        </is>
      </c>
      <c r="N45" s="46" t="n">
        <v>45896.72430555556</v>
      </c>
      <c r="O45" s="46" t="n">
        <v>45898.61666666667</v>
      </c>
      <c r="P45" t="inlineStr">
        <is>
          <t>UNO A UNO</t>
        </is>
      </c>
      <c r="Q45" t="inlineStr">
        <is>
          <t>UNO A UNO</t>
        </is>
      </c>
      <c r="R45" t="inlineStr">
        <is>
          <t>EJECUTADO</t>
        </is>
      </c>
      <c r="S45" t="inlineStr">
        <is>
          <t>VISITA TECNICA</t>
        </is>
      </c>
      <c r="T45" t="inlineStr">
        <is>
          <t>FKZZZ661</t>
        </is>
      </c>
      <c r="U45" t="inlineStr">
        <is>
          <t>TIPO II</t>
        </is>
      </c>
      <c r="V45" t="inlineStr">
        <is>
          <t>TERRESTRE</t>
        </is>
      </c>
      <c r="W45" t="inlineStr">
        <is>
          <t>GOMEZ VEGA DAVID SNEYDER</t>
        </is>
      </c>
      <c r="X45" t="inlineStr">
        <is>
          <t>Si</t>
        </is>
      </c>
      <c r="Y45" t="inlineStr">
        <is>
          <t>Si</t>
        </is>
      </c>
      <c r="Z45" s="45" t="n">
        <v>0</v>
      </c>
      <c r="AA45" t="inlineStr">
        <is>
          <t>0</t>
        </is>
      </c>
      <c r="AB45" s="45" t="n">
        <v>248376</v>
      </c>
      <c r="AC45" s="45" t="n">
        <v>0</v>
      </c>
    </row>
    <row r="46">
      <c r="A46" t="inlineStr">
        <is>
          <t>VALLEDUPAR</t>
        </is>
      </c>
      <c r="B46" t="inlineStr">
        <is>
          <t>COSTA</t>
        </is>
      </c>
      <c r="C46" t="inlineStr">
        <is>
          <t>0004-0001</t>
        </is>
      </c>
      <c r="D46" t="inlineStr">
        <is>
          <t>20045</t>
        </is>
      </c>
      <c r="E46" t="inlineStr">
        <is>
          <t>TA-25-1034013</t>
        </is>
      </c>
      <c r="F46" t="inlineStr">
        <is>
          <t>3007081186</t>
        </is>
      </c>
      <c r="G46" t="inlineStr">
        <is>
          <t>APERTURA</t>
        </is>
      </c>
      <c r="H46" t="inlineStr">
        <is>
          <t>CB CRECIMIENTO - NUEVO</t>
        </is>
      </c>
      <c r="I46" t="inlineStr">
        <is>
          <t>CESAR</t>
        </is>
      </c>
      <c r="J46" t="inlineStr">
        <is>
          <t>BECERRIL</t>
        </is>
      </c>
      <c r="K46" t="inlineStr">
        <is>
          <t>BARRIO CENTRO BECERRIL 8</t>
        </is>
      </c>
      <c r="L46" t="inlineStr">
        <is>
          <t>BANCOLOMBIA</t>
        </is>
      </c>
      <c r="M46" t="inlineStr">
        <is>
          <t>FO-25-1433137</t>
        </is>
      </c>
      <c r="N46" s="46" t="n">
        <v>45896.55208333334</v>
      </c>
      <c r="O46" s="46" t="n">
        <v>45897.58263888889</v>
      </c>
      <c r="P46" t="inlineStr">
        <is>
          <t>UNO A UNO</t>
        </is>
      </c>
      <c r="Q46" t="inlineStr">
        <is>
          <t>UNO A UNO</t>
        </is>
      </c>
      <c r="R46" t="inlineStr">
        <is>
          <t>EJECUTADO</t>
        </is>
      </c>
      <c r="S46" t="inlineStr">
        <is>
          <t>VISITA TECNICA</t>
        </is>
      </c>
      <c r="T46" t="inlineStr">
        <is>
          <t>FKZZZ663</t>
        </is>
      </c>
      <c r="U46" t="inlineStr">
        <is>
          <t>TIPO II</t>
        </is>
      </c>
      <c r="V46" t="inlineStr">
        <is>
          <t>TERRESTRE</t>
        </is>
      </c>
      <c r="W46" t="inlineStr">
        <is>
          <t>MONTES DIAZ JOHN FRED</t>
        </is>
      </c>
      <c r="X46" t="inlineStr">
        <is>
          <t>Si</t>
        </is>
      </c>
      <c r="Y46" t="inlineStr">
        <is>
          <t>Si</t>
        </is>
      </c>
      <c r="Z46" s="45" t="n">
        <v>0</v>
      </c>
      <c r="AA46" t="inlineStr">
        <is>
          <t>0</t>
        </is>
      </c>
      <c r="AB46" s="45" t="n">
        <v>248376</v>
      </c>
      <c r="AC46" s="45" t="n">
        <v>0</v>
      </c>
    </row>
    <row r="47">
      <c r="A47" t="inlineStr">
        <is>
          <t>VILLAVICENCIO</t>
        </is>
      </c>
      <c r="B47" t="inlineStr">
        <is>
          <t>REMOTAS</t>
        </is>
      </c>
      <c r="C47" t="inlineStr">
        <is>
          <t>0004-0007</t>
        </is>
      </c>
      <c r="D47" t="inlineStr">
        <is>
          <t>50680</t>
        </is>
      </c>
      <c r="E47" t="inlineStr">
        <is>
          <t>TA-25-1034015</t>
        </is>
      </c>
      <c r="F47" t="inlineStr">
        <is>
          <t>3007081246</t>
        </is>
      </c>
      <c r="G47" t="inlineStr">
        <is>
          <t>APERTURA</t>
        </is>
      </c>
      <c r="H47" t="inlineStr">
        <is>
          <t>CB CRECIMIENTO - NUEVO</t>
        </is>
      </c>
      <c r="I47" t="inlineStr">
        <is>
          <t>META</t>
        </is>
      </c>
      <c r="J47" t="inlineStr">
        <is>
          <t>SAN CARLOS DE GUAROA</t>
        </is>
      </c>
      <c r="K47" t="inlineStr">
        <is>
          <t>BARRIO CENTRO SAN CARLOS DE GUAROA 8</t>
        </is>
      </c>
      <c r="L47" t="inlineStr">
        <is>
          <t>BANCOLOMBIA</t>
        </is>
      </c>
      <c r="M47" t="inlineStr">
        <is>
          <t>FO-25-1433143</t>
        </is>
      </c>
      <c r="N47" s="46" t="n">
        <v>45896.68680555555</v>
      </c>
      <c r="O47" s="46" t="n">
        <v>45898.59652777778</v>
      </c>
      <c r="P47" t="inlineStr">
        <is>
          <t>UNO A UNO</t>
        </is>
      </c>
      <c r="Q47" t="inlineStr">
        <is>
          <t>UNO A UNO</t>
        </is>
      </c>
      <c r="R47" t="inlineStr">
        <is>
          <t>EJECUTADO</t>
        </is>
      </c>
      <c r="S47" t="inlineStr">
        <is>
          <t>VISITA TECNICA</t>
        </is>
      </c>
      <c r="T47" t="inlineStr">
        <is>
          <t>FKZZZ664</t>
        </is>
      </c>
      <c r="U47" t="inlineStr">
        <is>
          <t>TIPO II</t>
        </is>
      </c>
      <c r="V47" t="inlineStr">
        <is>
          <t>TERRESTRE</t>
        </is>
      </c>
      <c r="W47" t="inlineStr">
        <is>
          <t>CASTRILLON URREA LONDIER LEANDRO</t>
        </is>
      </c>
      <c r="X47" t="inlineStr">
        <is>
          <t>Si</t>
        </is>
      </c>
      <c r="Y47" t="inlineStr">
        <is>
          <t>Si</t>
        </is>
      </c>
      <c r="Z47" s="45" t="n">
        <v>0</v>
      </c>
      <c r="AA47" t="inlineStr">
        <is>
          <t>0</t>
        </is>
      </c>
      <c r="AB47" s="45" t="n">
        <v>248376</v>
      </c>
      <c r="AC47" s="45" t="n">
        <v>0</v>
      </c>
    </row>
    <row r="48">
      <c r="A48" t="inlineStr">
        <is>
          <t>CALI</t>
        </is>
      </c>
      <c r="B48" t="inlineStr">
        <is>
          <t>SUROCCIDENTE Y EJE CAFETERO</t>
        </is>
      </c>
      <c r="C48" t="inlineStr">
        <is>
          <t>0004-0003</t>
        </is>
      </c>
      <c r="D48" t="inlineStr">
        <is>
          <t>76001</t>
        </is>
      </c>
      <c r="E48" t="inlineStr">
        <is>
          <t>TA-25-1034019</t>
        </is>
      </c>
      <c r="F48" t="inlineStr">
        <is>
          <t>3007081194</t>
        </is>
      </c>
      <c r="G48" t="inlineStr">
        <is>
          <t>APERTURA</t>
        </is>
      </c>
      <c r="H48" t="inlineStr">
        <is>
          <t>CB CRECIMIENTO - NUEVO</t>
        </is>
      </c>
      <c r="I48" t="inlineStr">
        <is>
          <t>VALLE DEL CAUCA</t>
        </is>
      </c>
      <c r="J48" t="inlineStr">
        <is>
          <t>CALI</t>
        </is>
      </c>
      <c r="K48" t="inlineStr">
        <is>
          <t>BARRIO LA RIVERA CALI 6</t>
        </is>
      </c>
      <c r="L48" t="inlineStr">
        <is>
          <t>BANCOLOMBIA</t>
        </is>
      </c>
      <c r="M48" t="inlineStr">
        <is>
          <t>FO-25-1433158</t>
        </is>
      </c>
      <c r="N48" s="46" t="n">
        <v>45896.65069444444</v>
      </c>
      <c r="O48" s="46" t="n">
        <v>45898.31388888889</v>
      </c>
      <c r="P48" t="inlineStr">
        <is>
          <t>UNO A UNO</t>
        </is>
      </c>
      <c r="Q48" t="inlineStr">
        <is>
          <t>UNO A UNO</t>
        </is>
      </c>
      <c r="R48" t="inlineStr">
        <is>
          <t>EJECUTADO</t>
        </is>
      </c>
      <c r="S48" t="inlineStr">
        <is>
          <t>VISITA TECNICA</t>
        </is>
      </c>
      <c r="T48" t="inlineStr">
        <is>
          <t>FKZZZ666</t>
        </is>
      </c>
      <c r="U48" t="inlineStr">
        <is>
          <t>TIPO I</t>
        </is>
      </c>
      <c r="V48" t="inlineStr">
        <is>
          <t>TERRESTRE</t>
        </is>
      </c>
      <c r="W48" t="inlineStr">
        <is>
          <t>HERRERA MONAR GEOVANNY</t>
        </is>
      </c>
      <c r="X48" t="inlineStr">
        <is>
          <t>Si</t>
        </is>
      </c>
      <c r="Y48" t="inlineStr">
        <is>
          <t>Si</t>
        </is>
      </c>
      <c r="Z48" s="45" t="n">
        <v>0</v>
      </c>
      <c r="AA48" t="inlineStr">
        <is>
          <t>0</t>
        </is>
      </c>
      <c r="AB48" s="45" t="n">
        <v>194983</v>
      </c>
      <c r="AC48" s="45" t="n">
        <v>0</v>
      </c>
    </row>
    <row r="49">
      <c r="A49" t="inlineStr">
        <is>
          <t>BOGOTA</t>
        </is>
      </c>
      <c r="B49" t="inlineStr">
        <is>
          <t>CUNDINAMARCA</t>
        </is>
      </c>
      <c r="C49" t="inlineStr">
        <is>
          <t>0004-0004</t>
        </is>
      </c>
      <c r="D49" t="inlineStr">
        <is>
          <t>11001</t>
        </is>
      </c>
      <c r="E49" t="inlineStr">
        <is>
          <t>TA-25-1034020</t>
        </is>
      </c>
      <c r="F49" t="inlineStr">
        <is>
          <t>3007081188</t>
        </is>
      </c>
      <c r="G49" t="inlineStr">
        <is>
          <t>APERTURA</t>
        </is>
      </c>
      <c r="H49" t="inlineStr">
        <is>
          <t>CB CRECIMIENTO - NUEVO</t>
        </is>
      </c>
      <c r="I49" t="inlineStr">
        <is>
          <t>CUNDINAMARCA</t>
        </is>
      </c>
      <c r="J49" t="inlineStr">
        <is>
          <t>BOGOTA</t>
        </is>
      </c>
      <c r="K49" t="inlineStr">
        <is>
          <t>BARRIO BARRANCAS BOGOTA 13</t>
        </is>
      </c>
      <c r="L49" t="inlineStr">
        <is>
          <t>BANCOLOMBIA</t>
        </is>
      </c>
      <c r="M49" t="inlineStr">
        <is>
          <t>FO-25-1433163</t>
        </is>
      </c>
      <c r="N49" s="46" t="n">
        <v>45896.72430555556</v>
      </c>
      <c r="O49" s="46" t="n">
        <v>45897.5875</v>
      </c>
      <c r="P49" t="inlineStr">
        <is>
          <t>UNO A UNO</t>
        </is>
      </c>
      <c r="Q49" t="inlineStr">
        <is>
          <t>UNO A UNO</t>
        </is>
      </c>
      <c r="R49" t="inlineStr">
        <is>
          <t>EJECUTADO</t>
        </is>
      </c>
      <c r="S49" t="inlineStr">
        <is>
          <t>VISITA TECNICA</t>
        </is>
      </c>
      <c r="T49" t="inlineStr">
        <is>
          <t>FKZZZ667</t>
        </is>
      </c>
      <c r="U49" t="inlineStr">
        <is>
          <t>TIPO I</t>
        </is>
      </c>
      <c r="V49" t="inlineStr">
        <is>
          <t>TERRESTRE</t>
        </is>
      </c>
      <c r="W49" t="inlineStr">
        <is>
          <t>ORTIZ MARTINEZ STIVEN</t>
        </is>
      </c>
      <c r="X49" t="inlineStr">
        <is>
          <t>Si</t>
        </is>
      </c>
      <c r="Y49" t="inlineStr">
        <is>
          <t>Si</t>
        </is>
      </c>
      <c r="Z49" s="45" t="n">
        <v>0</v>
      </c>
      <c r="AA49" t="inlineStr">
        <is>
          <t>0</t>
        </is>
      </c>
      <c r="AB49" s="45" t="n">
        <v>194983</v>
      </c>
      <c r="AC49" s="45" t="n">
        <v>0</v>
      </c>
    </row>
    <row r="50">
      <c r="A50" t="inlineStr">
        <is>
          <t>PEREIRA</t>
        </is>
      </c>
      <c r="B50" t="inlineStr">
        <is>
          <t>SUROCCIDENTE Y EJE CAFETERO</t>
        </is>
      </c>
      <c r="C50" t="inlineStr">
        <is>
          <t>0004-0002</t>
        </is>
      </c>
      <c r="D50" t="inlineStr">
        <is>
          <t>66001</t>
        </is>
      </c>
      <c r="E50" t="inlineStr">
        <is>
          <t>TA-25-1034021</t>
        </is>
      </c>
      <c r="F50" t="inlineStr">
        <is>
          <t>3007081243</t>
        </is>
      </c>
      <c r="G50" t="inlineStr">
        <is>
          <t>APERTURA</t>
        </is>
      </c>
      <c r="H50" t="inlineStr">
        <is>
          <t>CB CRECIMIENTO - NUEVO</t>
        </is>
      </c>
      <c r="I50" t="inlineStr">
        <is>
          <t>RISARALDA</t>
        </is>
      </c>
      <c r="J50" t="inlineStr">
        <is>
          <t>PEREIRA</t>
        </is>
      </c>
      <c r="K50" t="inlineStr">
        <is>
          <t>BARRIO PUEBLITO PAISA CUBA PEREIRA</t>
        </is>
      </c>
      <c r="L50" t="inlineStr">
        <is>
          <t>BANCOLOMBIA</t>
        </is>
      </c>
      <c r="M50" t="inlineStr">
        <is>
          <t>FO-25-1433171</t>
        </is>
      </c>
      <c r="N50" s="46" t="n">
        <v>45896.63333333333</v>
      </c>
      <c r="O50" s="46" t="n">
        <v>45897.59027777778</v>
      </c>
      <c r="P50" t="inlineStr">
        <is>
          <t>UNO A UNO</t>
        </is>
      </c>
      <c r="Q50" t="inlineStr">
        <is>
          <t>UNO A UNO</t>
        </is>
      </c>
      <c r="R50" t="inlineStr">
        <is>
          <t>EJECUTADO</t>
        </is>
      </c>
      <c r="S50" t="inlineStr">
        <is>
          <t>VISITA TECNICA</t>
        </is>
      </c>
      <c r="T50" t="inlineStr">
        <is>
          <t>FKZZZ668</t>
        </is>
      </c>
      <c r="U50" t="inlineStr">
        <is>
          <t>TIPO I</t>
        </is>
      </c>
      <c r="V50" t="inlineStr">
        <is>
          <t>TERRESTRE</t>
        </is>
      </c>
      <c r="W50" t="inlineStr">
        <is>
          <t>ARROYAVE CANO MANUEL GUILLERMO</t>
        </is>
      </c>
      <c r="X50" t="inlineStr">
        <is>
          <t>Si</t>
        </is>
      </c>
      <c r="Y50" t="inlineStr">
        <is>
          <t>Si</t>
        </is>
      </c>
      <c r="Z50" s="45" t="n">
        <v>0</v>
      </c>
      <c r="AA50" t="inlineStr">
        <is>
          <t>0</t>
        </is>
      </c>
      <c r="AB50" s="45" t="n">
        <v>194983</v>
      </c>
      <c r="AC50" s="45" t="n">
        <v>0</v>
      </c>
    </row>
    <row r="51">
      <c r="A51" t="inlineStr">
        <is>
          <t>VILLAVICENCIO</t>
        </is>
      </c>
      <c r="B51" t="inlineStr">
        <is>
          <t>REMOTAS</t>
        </is>
      </c>
      <c r="C51" t="inlineStr">
        <is>
          <t>0004-0007</t>
        </is>
      </c>
      <c r="D51" t="inlineStr">
        <is>
          <t>50006</t>
        </is>
      </c>
      <c r="E51" t="inlineStr">
        <is>
          <t>TA-25-1034023</t>
        </is>
      </c>
      <c r="F51" t="inlineStr">
        <is>
          <t>3007081180</t>
        </is>
      </c>
      <c r="G51" t="inlineStr">
        <is>
          <t>APERTURA</t>
        </is>
      </c>
      <c r="H51" t="inlineStr">
        <is>
          <t>CB CRECIMIENTO - NUEVO</t>
        </is>
      </c>
      <c r="I51" t="inlineStr">
        <is>
          <t>META</t>
        </is>
      </c>
      <c r="J51" t="inlineStr">
        <is>
          <t>ACACIAS</t>
        </is>
      </c>
      <c r="K51" t="inlineStr">
        <is>
          <t>BARRIO BRISAS DEL PLAYON ACACIAS</t>
        </is>
      </c>
      <c r="L51" t="inlineStr">
        <is>
          <t>BANCOLOMBIA</t>
        </is>
      </c>
      <c r="M51" t="inlineStr">
        <is>
          <t>FO-25-1433185</t>
        </is>
      </c>
      <c r="N51" s="46" t="n">
        <v>45896.6875</v>
      </c>
      <c r="O51" s="46" t="n">
        <v>45897.59583333333</v>
      </c>
      <c r="P51" t="inlineStr">
        <is>
          <t>UNO A UNO</t>
        </is>
      </c>
      <c r="Q51" t="inlineStr">
        <is>
          <t>UNO A UNO</t>
        </is>
      </c>
      <c r="R51" t="inlineStr">
        <is>
          <t>EJECUTADO</t>
        </is>
      </c>
      <c r="S51" t="inlineStr">
        <is>
          <t>VISITA TECNICA</t>
        </is>
      </c>
      <c r="T51" t="inlineStr">
        <is>
          <t>FKZZZ670</t>
        </is>
      </c>
      <c r="U51" t="inlineStr">
        <is>
          <t>TIPO II</t>
        </is>
      </c>
      <c r="V51" t="inlineStr">
        <is>
          <t>TERRESTRE</t>
        </is>
      </c>
      <c r="W51" t="inlineStr">
        <is>
          <t>ROZO JIMENEZ EDGAR ARMANDO</t>
        </is>
      </c>
      <c r="X51" t="inlineStr">
        <is>
          <t>Si</t>
        </is>
      </c>
      <c r="Y51" t="inlineStr">
        <is>
          <t>Si</t>
        </is>
      </c>
      <c r="Z51" s="45" t="n">
        <v>0</v>
      </c>
      <c r="AA51" t="inlineStr">
        <is>
          <t>0</t>
        </is>
      </c>
      <c r="AB51" s="45" t="n">
        <v>248376</v>
      </c>
      <c r="AC51" s="45" t="n">
        <v>0</v>
      </c>
    </row>
    <row r="52">
      <c r="A52" t="inlineStr">
        <is>
          <t>NEIVA</t>
        </is>
      </c>
      <c r="B52" t="inlineStr">
        <is>
          <t>REMOTAS</t>
        </is>
      </c>
      <c r="C52" t="inlineStr">
        <is>
          <t>0004-0007</t>
        </is>
      </c>
      <c r="D52" t="inlineStr">
        <is>
          <t>41016</t>
        </is>
      </c>
      <c r="E52" t="inlineStr">
        <is>
          <t>TA-25-1034024</t>
        </is>
      </c>
      <c r="F52" t="inlineStr">
        <is>
          <t>3007081181</t>
        </is>
      </c>
      <c r="G52" t="inlineStr">
        <is>
          <t>APERTURA</t>
        </is>
      </c>
      <c r="H52" t="inlineStr">
        <is>
          <t>CB CRECIMIENTO - NUEVO</t>
        </is>
      </c>
      <c r="I52" t="inlineStr">
        <is>
          <t>HUILA</t>
        </is>
      </c>
      <c r="J52" t="inlineStr">
        <is>
          <t>AIPE</t>
        </is>
      </c>
      <c r="K52" t="inlineStr">
        <is>
          <t>BARRIO LAS MARIAS AIPE</t>
        </is>
      </c>
      <c r="L52" t="inlineStr">
        <is>
          <t>BANCOLOMBIA</t>
        </is>
      </c>
      <c r="M52" t="inlineStr">
        <is>
          <t>FO-25-1433192</t>
        </is>
      </c>
      <c r="N52" s="46" t="n">
        <v>45896.6875</v>
      </c>
      <c r="O52" s="46" t="n">
        <v>45898.31666666667</v>
      </c>
      <c r="P52" t="inlineStr">
        <is>
          <t>UNO A UNO</t>
        </is>
      </c>
      <c r="Q52" t="inlineStr">
        <is>
          <t>UNO A UNO</t>
        </is>
      </c>
      <c r="R52" t="inlineStr">
        <is>
          <t>EJECUTADO</t>
        </is>
      </c>
      <c r="S52" t="inlineStr">
        <is>
          <t>VISITA TECNICA</t>
        </is>
      </c>
      <c r="T52" t="inlineStr">
        <is>
          <t>FKZZZ671</t>
        </is>
      </c>
      <c r="U52" t="inlineStr">
        <is>
          <t>TIPO II</t>
        </is>
      </c>
      <c r="V52" t="inlineStr">
        <is>
          <t>TERRESTRE</t>
        </is>
      </c>
      <c r="W52" t="inlineStr">
        <is>
          <t>DIAZ VARGAS JONATHAN MIGUEL</t>
        </is>
      </c>
      <c r="X52" t="inlineStr">
        <is>
          <t>Si</t>
        </is>
      </c>
      <c r="Y52" t="inlineStr">
        <is>
          <t>Si</t>
        </is>
      </c>
      <c r="Z52" s="45" t="n">
        <v>0</v>
      </c>
      <c r="AA52" t="inlineStr">
        <is>
          <t>0</t>
        </is>
      </c>
      <c r="AB52" s="45" t="n">
        <v>248376</v>
      </c>
      <c r="AC52" s="45" t="n">
        <v>0</v>
      </c>
    </row>
    <row r="53">
      <c r="A53" t="inlineStr">
        <is>
          <t>BOGOTA</t>
        </is>
      </c>
      <c r="B53" t="inlineStr">
        <is>
          <t>CUNDINAMARCA</t>
        </is>
      </c>
      <c r="C53" t="inlineStr">
        <is>
          <t>0004-0004</t>
        </is>
      </c>
      <c r="D53" t="inlineStr">
        <is>
          <t>11001</t>
        </is>
      </c>
      <c r="E53" t="inlineStr">
        <is>
          <t>TA-25-1034030</t>
        </is>
      </c>
      <c r="F53" t="inlineStr">
        <is>
          <t>3007081189</t>
        </is>
      </c>
      <c r="G53" t="inlineStr">
        <is>
          <t>APERTURA</t>
        </is>
      </c>
      <c r="H53" t="inlineStr">
        <is>
          <t>CB CRECIMIENTO - NUEVO</t>
        </is>
      </c>
      <c r="I53" t="inlineStr">
        <is>
          <t>CUNDINAMARCA</t>
        </is>
      </c>
      <c r="J53" t="inlineStr">
        <is>
          <t>BOGOTA</t>
        </is>
      </c>
      <c r="K53" t="inlineStr">
        <is>
          <t>BARRIO ALFONSO LOPEZ 6 BOGOTA</t>
        </is>
      </c>
      <c r="L53" t="inlineStr">
        <is>
          <t>BANCOLOMBIA</t>
        </is>
      </c>
      <c r="M53" t="inlineStr">
        <is>
          <t>FO-25-1433226</t>
        </is>
      </c>
      <c r="N53" s="46" t="n">
        <v>45896.72430555556</v>
      </c>
      <c r="O53" s="46" t="n">
        <v>45898.59930555556</v>
      </c>
      <c r="P53" t="inlineStr">
        <is>
          <t>UNO A UNO</t>
        </is>
      </c>
      <c r="Q53" t="inlineStr">
        <is>
          <t>UNO A UNO</t>
        </is>
      </c>
      <c r="R53" t="inlineStr">
        <is>
          <t>EJECUTADO</t>
        </is>
      </c>
      <c r="S53" t="inlineStr">
        <is>
          <t>VISITA TECNICA</t>
        </is>
      </c>
      <c r="T53" t="inlineStr">
        <is>
          <t>FKZZZ677</t>
        </is>
      </c>
      <c r="U53" t="inlineStr">
        <is>
          <t>TIPO I</t>
        </is>
      </c>
      <c r="V53" t="inlineStr">
        <is>
          <t>TERRESTRE</t>
        </is>
      </c>
      <c r="W53" t="inlineStr">
        <is>
          <t>ROMERO ROJAS BREIDY JHOHAN</t>
        </is>
      </c>
      <c r="X53" t="inlineStr">
        <is>
          <t>Si</t>
        </is>
      </c>
      <c r="Y53" t="inlineStr">
        <is>
          <t>Si</t>
        </is>
      </c>
      <c r="Z53" s="45" t="n">
        <v>0</v>
      </c>
      <c r="AA53" t="inlineStr">
        <is>
          <t>0</t>
        </is>
      </c>
      <c r="AB53" s="45" t="n">
        <v>194983</v>
      </c>
      <c r="AC53" s="45" t="n">
        <v>0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5001</t>
        </is>
      </c>
      <c r="E54" t="inlineStr">
        <is>
          <t>TA-25-1034454</t>
        </is>
      </c>
      <c r="F54" t="inlineStr">
        <is>
          <t>3007081238</t>
        </is>
      </c>
      <c r="G54" t="inlineStr">
        <is>
          <t>APERTURA</t>
        </is>
      </c>
      <c r="H54" t="inlineStr">
        <is>
          <t>CB CRECIMIENTO ALIANZA - NUEVO</t>
        </is>
      </c>
      <c r="I54" t="inlineStr">
        <is>
          <t>ANTIOQUIA</t>
        </is>
      </c>
      <c r="J54" t="inlineStr">
        <is>
          <t>MEDELLIN</t>
        </is>
      </c>
      <c r="K54" t="inlineStr">
        <is>
          <t>DISTRICOL FRUVER PAGUE MENOS</t>
        </is>
      </c>
      <c r="L54" t="inlineStr">
        <is>
          <t>BANCOLOMBIA</t>
        </is>
      </c>
      <c r="M54" t="inlineStr">
        <is>
          <t>FO-25-1433870</t>
        </is>
      </c>
      <c r="N54" s="46" t="n">
        <v>45896.58055555556</v>
      </c>
      <c r="O54" s="46" t="n">
        <v>45898.60208333333</v>
      </c>
      <c r="P54" t="inlineStr">
        <is>
          <t>AGREGADOR</t>
        </is>
      </c>
      <c r="Q54" t="inlineStr">
        <is>
          <t>DISTRICOL</t>
        </is>
      </c>
      <c r="R54" t="inlineStr">
        <is>
          <t>EJECUTADO</t>
        </is>
      </c>
      <c r="S54" t="inlineStr">
        <is>
          <t>VISITA TECNICA</t>
        </is>
      </c>
      <c r="T54" t="inlineStr">
        <is>
          <t>FKZZZ681</t>
        </is>
      </c>
      <c r="U54" t="inlineStr">
        <is>
          <t>TIPO I</t>
        </is>
      </c>
      <c r="V54" t="inlineStr">
        <is>
          <t>TERRESTRE</t>
        </is>
      </c>
      <c r="W54" t="inlineStr">
        <is>
          <t>PAREJA ECHAVARRIA JHON DAVID</t>
        </is>
      </c>
      <c r="X54" t="inlineStr">
        <is>
          <t>Si</t>
        </is>
      </c>
      <c r="Y54" t="inlineStr">
        <is>
          <t>Si</t>
        </is>
      </c>
      <c r="Z54" s="45" t="n">
        <v>0</v>
      </c>
      <c r="AA54" t="inlineStr">
        <is>
          <t>0</t>
        </is>
      </c>
      <c r="AB54" s="45" t="n">
        <v>194983</v>
      </c>
      <c r="AC54" s="45" t="n">
        <v>0</v>
      </c>
    </row>
    <row r="55">
      <c r="A55" t="inlineStr">
        <is>
          <t>MEDELLIN</t>
        </is>
      </c>
      <c r="B55" t="inlineStr">
        <is>
          <t>NOROCCIDENTE</t>
        </is>
      </c>
      <c r="C55" t="inlineStr">
        <is>
          <t>0004-0005</t>
        </is>
      </c>
      <c r="D55" t="inlineStr">
        <is>
          <t>5088</t>
        </is>
      </c>
      <c r="E55" t="inlineStr">
        <is>
          <t>TA-25-1034455</t>
        </is>
      </c>
      <c r="F55" t="inlineStr">
        <is>
          <t>3007081234</t>
        </is>
      </c>
      <c r="G55" t="inlineStr">
        <is>
          <t>APERTURA</t>
        </is>
      </c>
      <c r="H55" t="inlineStr">
        <is>
          <t>CB CRECIMIENTO ALIANZA - NUEVO</t>
        </is>
      </c>
      <c r="I55" t="inlineStr">
        <is>
          <t>ANTIOQUIA</t>
        </is>
      </c>
      <c r="J55" t="inlineStr">
        <is>
          <t>BELLO</t>
        </is>
      </c>
      <c r="K55" t="inlineStr">
        <is>
          <t>DISTRICOL SUPERMERCADO PORVENI</t>
        </is>
      </c>
      <c r="L55" t="inlineStr">
        <is>
          <t>BANCOLOMBIA</t>
        </is>
      </c>
      <c r="M55" t="inlineStr">
        <is>
          <t>FO-25-1433873</t>
        </is>
      </c>
      <c r="N55" s="46" t="n">
        <v>45896.58055555556</v>
      </c>
      <c r="O55" s="46" t="n">
        <v>45898.52777777778</v>
      </c>
      <c r="P55" t="inlineStr">
        <is>
          <t>AGREGADOR</t>
        </is>
      </c>
      <c r="Q55" t="inlineStr">
        <is>
          <t>DISTRICOL</t>
        </is>
      </c>
      <c r="R55" t="inlineStr">
        <is>
          <t>EJECUTADO</t>
        </is>
      </c>
      <c r="S55" t="inlineStr">
        <is>
          <t>VISITA TECNICA</t>
        </is>
      </c>
      <c r="T55" t="inlineStr">
        <is>
          <t>FKZZZ682</t>
        </is>
      </c>
      <c r="U55" t="inlineStr">
        <is>
          <t>TIPO I</t>
        </is>
      </c>
      <c r="V55" t="inlineStr">
        <is>
          <t>TERRESTRE</t>
        </is>
      </c>
      <c r="W55" t="inlineStr">
        <is>
          <t>QUINTERO SANCHEZ JUAN SEBASTIAN</t>
        </is>
      </c>
      <c r="X55" t="inlineStr">
        <is>
          <t>Si</t>
        </is>
      </c>
      <c r="Y55" t="inlineStr">
        <is>
          <t>Si</t>
        </is>
      </c>
      <c r="Z55" s="45" t="n">
        <v>0</v>
      </c>
      <c r="AA55" t="inlineStr">
        <is>
          <t>0</t>
        </is>
      </c>
      <c r="AB55" s="45" t="n">
        <v>194983</v>
      </c>
      <c r="AC55" s="45" t="n">
        <v>0</v>
      </c>
    </row>
    <row r="56">
      <c r="A56" t="inlineStr">
        <is>
          <t>MEDELLIN</t>
        </is>
      </c>
      <c r="B56" t="inlineStr">
        <is>
          <t>NOROCCIDENTE</t>
        </is>
      </c>
      <c r="C56" t="inlineStr">
        <is>
          <t>0004-0005</t>
        </is>
      </c>
      <c r="D56" t="inlineStr">
        <is>
          <t>5361</t>
        </is>
      </c>
      <c r="E56" t="inlineStr">
        <is>
          <t>TA-25-1034457</t>
        </is>
      </c>
      <c r="F56" t="inlineStr">
        <is>
          <t>3007081215</t>
        </is>
      </c>
      <c r="G56" t="inlineStr">
        <is>
          <t>APERTURA</t>
        </is>
      </c>
      <c r="H56" t="inlineStr">
        <is>
          <t>CB CRECIMIENTO ALIANZA - NUEVO</t>
        </is>
      </c>
      <c r="I56" t="inlineStr">
        <is>
          <t>ANTIOQUIA</t>
        </is>
      </c>
      <c r="J56" t="inlineStr">
        <is>
          <t>ITUANGO</t>
        </is>
      </c>
      <c r="K56" t="inlineStr">
        <is>
          <t>DISTRICOL PEQUEÑOS ENCANTOS</t>
        </is>
      </c>
      <c r="L56" t="inlineStr">
        <is>
          <t>BANCOLOMBIA</t>
        </is>
      </c>
      <c r="M56" t="inlineStr">
        <is>
          <t>FO-25-1433881</t>
        </is>
      </c>
      <c r="N56" s="46" t="n">
        <v>45896.83611111111</v>
      </c>
      <c r="O56" s="46" t="n">
        <v>45898.29166666666</v>
      </c>
      <c r="P56" t="inlineStr">
        <is>
          <t>AGREGADOR</t>
        </is>
      </c>
      <c r="Q56" t="inlineStr">
        <is>
          <t>DISTRICOL</t>
        </is>
      </c>
      <c r="R56" t="inlineStr">
        <is>
          <t>EJECUTADO</t>
        </is>
      </c>
      <c r="S56" t="inlineStr">
        <is>
          <t>VISITA TECNICA</t>
        </is>
      </c>
      <c r="T56" t="inlineStr">
        <is>
          <t>FKZZZ684</t>
        </is>
      </c>
      <c r="U56" t="inlineStr">
        <is>
          <t>TIPO IV</t>
        </is>
      </c>
      <c r="V56" t="inlineStr">
        <is>
          <t>TERRESTRE</t>
        </is>
      </c>
      <c r="W56" t="inlineStr">
        <is>
          <t>MARTINEZ TOVAR OSCAR DAVID</t>
        </is>
      </c>
      <c r="X56" t="inlineStr">
        <is>
          <t>Si</t>
        </is>
      </c>
      <c r="Y56" t="inlineStr">
        <is>
          <t>Si</t>
        </is>
      </c>
      <c r="Z56" s="45" t="n">
        <v>0</v>
      </c>
      <c r="AA56" t="inlineStr">
        <is>
          <t>0</t>
        </is>
      </c>
      <c r="AB56" s="45" t="n">
        <v>248376</v>
      </c>
      <c r="AC56" s="45" t="n">
        <v>0</v>
      </c>
    </row>
    <row r="57">
      <c r="A57" t="inlineStr">
        <is>
          <t>MEDELLIN</t>
        </is>
      </c>
      <c r="B57" t="inlineStr">
        <is>
          <t>NOROCCIDENTE</t>
        </is>
      </c>
      <c r="C57" t="inlineStr">
        <is>
          <t>0004-0005</t>
        </is>
      </c>
      <c r="D57" t="inlineStr">
        <is>
          <t>5858</t>
        </is>
      </c>
      <c r="E57" t="inlineStr">
        <is>
          <t>TA-25-1034458</t>
        </is>
      </c>
      <c r="F57" t="inlineStr">
        <is>
          <t>3007081231</t>
        </is>
      </c>
      <c r="G57" t="inlineStr">
        <is>
          <t>APERTURA</t>
        </is>
      </c>
      <c r="H57" t="inlineStr">
        <is>
          <t>CB CRECIMIENTO ALIANZA - NUEVO</t>
        </is>
      </c>
      <c r="I57" t="inlineStr">
        <is>
          <t>ANTIOQUIA</t>
        </is>
      </c>
      <c r="J57" t="inlineStr">
        <is>
          <t>VEGACHI</t>
        </is>
      </c>
      <c r="K57" t="inlineStr">
        <is>
          <t>DISTRICOL CELUMOVIL VEGACHI</t>
        </is>
      </c>
      <c r="L57" t="inlineStr">
        <is>
          <t>BANCOLOMBIA</t>
        </is>
      </c>
      <c r="M57" t="inlineStr">
        <is>
          <t>FO-25-1433884</t>
        </is>
      </c>
      <c r="N57" s="46" t="n">
        <v>45896.83680555555</v>
      </c>
      <c r="O57" s="46" t="n">
        <v>45897.65069444444</v>
      </c>
      <c r="P57" t="inlineStr">
        <is>
          <t>AGREGADOR</t>
        </is>
      </c>
      <c r="Q57" t="inlineStr">
        <is>
          <t>DISTRICOL</t>
        </is>
      </c>
      <c r="R57" t="inlineStr">
        <is>
          <t>EJECUTADO</t>
        </is>
      </c>
      <c r="S57" t="inlineStr">
        <is>
          <t>VISITA TECNICA</t>
        </is>
      </c>
      <c r="T57" t="inlineStr">
        <is>
          <t>FKZZZ685</t>
        </is>
      </c>
      <c r="U57" t="inlineStr">
        <is>
          <t>TIPO III</t>
        </is>
      </c>
      <c r="V57" t="inlineStr">
        <is>
          <t>TERRESTRE</t>
        </is>
      </c>
      <c r="W57" t="inlineStr">
        <is>
          <t>DIAZ ZABALA FRANCIS DUBAN</t>
        </is>
      </c>
      <c r="X57" t="inlineStr">
        <is>
          <t>Si</t>
        </is>
      </c>
      <c r="Y57" t="inlineStr">
        <is>
          <t>Si</t>
        </is>
      </c>
      <c r="Z57" s="45" t="n">
        <v>0</v>
      </c>
      <c r="AA57" t="inlineStr">
        <is>
          <t>0</t>
        </is>
      </c>
      <c r="AB57" s="45" t="n">
        <v>248376</v>
      </c>
      <c r="AC57" s="45" t="n">
        <v>0</v>
      </c>
    </row>
    <row r="58">
      <c r="A58" t="inlineStr">
        <is>
          <t>TUNJA</t>
        </is>
      </c>
      <c r="B58" t="inlineStr">
        <is>
          <t>SANTANDERES</t>
        </is>
      </c>
      <c r="C58" t="inlineStr">
        <is>
          <t>0004-0008</t>
        </is>
      </c>
      <c r="D58" t="inlineStr">
        <is>
          <t>15238</t>
        </is>
      </c>
      <c r="E58" t="inlineStr">
        <is>
          <t>TA-25-1034459</t>
        </is>
      </c>
      <c r="F58" t="inlineStr">
        <is>
          <t>3007081223</t>
        </is>
      </c>
      <c r="G58" t="inlineStr">
        <is>
          <t>APERTURA</t>
        </is>
      </c>
      <c r="H58" t="inlineStr">
        <is>
          <t>CB CRECIMIENTO ALIANZA - NUEVO</t>
        </is>
      </c>
      <c r="I58" t="inlineStr">
        <is>
          <t>BOYACA</t>
        </is>
      </c>
      <c r="J58" t="inlineStr">
        <is>
          <t>DUITAMA</t>
        </is>
      </c>
      <c r="K58" t="inlineStr">
        <is>
          <t>DISTRICOL MAGIC PAPELERIA CREA</t>
        </is>
      </c>
      <c r="L58" t="inlineStr">
        <is>
          <t>BANCOLOMBIA</t>
        </is>
      </c>
      <c r="M58" t="inlineStr">
        <is>
          <t>FO-25-1433887</t>
        </is>
      </c>
      <c r="N58" s="46" t="n">
        <v>45896.71597222222</v>
      </c>
      <c r="O58" s="46" t="n">
        <v>45897.63958333333</v>
      </c>
      <c r="P58" t="inlineStr">
        <is>
          <t>AGREGADOR</t>
        </is>
      </c>
      <c r="Q58" t="inlineStr">
        <is>
          <t>DISTRICOL</t>
        </is>
      </c>
      <c r="R58" t="inlineStr">
        <is>
          <t>EJECUTADO</t>
        </is>
      </c>
      <c r="S58" t="inlineStr">
        <is>
          <t>VISITA TECNICA</t>
        </is>
      </c>
      <c r="T58" t="inlineStr">
        <is>
          <t>FKZZZ686</t>
        </is>
      </c>
      <c r="U58" t="inlineStr">
        <is>
          <t>TIPO II</t>
        </is>
      </c>
      <c r="V58" t="inlineStr">
        <is>
          <t>TERRESTRE</t>
        </is>
      </c>
      <c r="W58" t="inlineStr">
        <is>
          <t>RODRIGUEZ MURCIA YERSON IVAN</t>
        </is>
      </c>
      <c r="X58" t="inlineStr">
        <is>
          <t>Si</t>
        </is>
      </c>
      <c r="Y58" t="inlineStr">
        <is>
          <t>Si</t>
        </is>
      </c>
      <c r="Z58" s="45" t="n">
        <v>0</v>
      </c>
      <c r="AA58" t="inlineStr">
        <is>
          <t>0</t>
        </is>
      </c>
      <c r="AB58" s="45" t="n">
        <v>248376</v>
      </c>
      <c r="AC58" s="45" t="n">
        <v>0</v>
      </c>
    </row>
    <row r="59">
      <c r="A59" t="inlineStr">
        <is>
          <t>NEIVA</t>
        </is>
      </c>
      <c r="B59" t="inlineStr">
        <is>
          <t>REMOTAS</t>
        </is>
      </c>
      <c r="C59" t="inlineStr">
        <is>
          <t>0004-0007</t>
        </is>
      </c>
      <c r="D59" t="inlineStr">
        <is>
          <t>18256</t>
        </is>
      </c>
      <c r="E59" t="inlineStr">
        <is>
          <t>TA-25-1034460</t>
        </is>
      </c>
      <c r="F59" t="inlineStr">
        <is>
          <t>3007081224</t>
        </is>
      </c>
      <c r="G59" t="inlineStr">
        <is>
          <t>APERTURA</t>
        </is>
      </c>
      <c r="H59" t="inlineStr">
        <is>
          <t>CB CRECIMIENTO ALIANZA - NUEVO</t>
        </is>
      </c>
      <c r="I59" t="inlineStr">
        <is>
          <t>CAQUETA</t>
        </is>
      </c>
      <c r="J59" t="inlineStr">
        <is>
          <t>EL PAUJIL</t>
        </is>
      </c>
      <c r="K59" t="inlineStr">
        <is>
          <t>DISTRICOL TIENDA CHAUX</t>
        </is>
      </c>
      <c r="L59" t="inlineStr">
        <is>
          <t>BANCOLOMBIA</t>
        </is>
      </c>
      <c r="M59" t="inlineStr">
        <is>
          <t>FO-25-1433892</t>
        </is>
      </c>
      <c r="N59" s="46" t="n">
        <v>45896.6875</v>
      </c>
      <c r="O59" s="46" t="n">
        <v>45898.3375</v>
      </c>
      <c r="P59" t="inlineStr">
        <is>
          <t>AGREGADOR</t>
        </is>
      </c>
      <c r="Q59" t="inlineStr">
        <is>
          <t>DISTRICOL</t>
        </is>
      </c>
      <c r="R59" t="inlineStr">
        <is>
          <t>EJECUTADO</t>
        </is>
      </c>
      <c r="S59" t="inlineStr">
        <is>
          <t>VISITA TECNICA</t>
        </is>
      </c>
      <c r="T59" t="inlineStr">
        <is>
          <t>FKZZZ687</t>
        </is>
      </c>
      <c r="U59" t="inlineStr">
        <is>
          <t>TIPO IV</t>
        </is>
      </c>
      <c r="V59" t="inlineStr">
        <is>
          <t>TERRESTRE</t>
        </is>
      </c>
      <c r="W59" t="inlineStr">
        <is>
          <t>DEVIA REINOSO JUAN CARLOS</t>
        </is>
      </c>
      <c r="X59" t="inlineStr">
        <is>
          <t>Si</t>
        </is>
      </c>
      <c r="Y59" t="inlineStr">
        <is>
          <t>Si</t>
        </is>
      </c>
      <c r="Z59" s="45" t="n">
        <v>0</v>
      </c>
      <c r="AA59" t="inlineStr">
        <is>
          <t>0</t>
        </is>
      </c>
      <c r="AB59" s="45" t="n">
        <v>248376</v>
      </c>
      <c r="AC59" s="45" t="n">
        <v>0</v>
      </c>
    </row>
    <row r="60">
      <c r="A60" t="inlineStr">
        <is>
          <t>PASTO</t>
        </is>
      </c>
      <c r="B60" t="inlineStr">
        <is>
          <t>SUROCCIDENTE Y EJE CAFETERO</t>
        </is>
      </c>
      <c r="C60" t="inlineStr">
        <is>
          <t>0004-0003</t>
        </is>
      </c>
      <c r="D60" t="inlineStr">
        <is>
          <t>52356</t>
        </is>
      </c>
      <c r="E60" t="inlineStr">
        <is>
          <t>TA-25-1034462</t>
        </is>
      </c>
      <c r="F60" t="inlineStr">
        <is>
          <t>3007081226</t>
        </is>
      </c>
      <c r="G60" t="inlineStr">
        <is>
          <t>APERTURA</t>
        </is>
      </c>
      <c r="H60" t="inlineStr">
        <is>
          <t>CB CRECIMIENTO ALIANZA - NUEVO</t>
        </is>
      </c>
      <c r="I60" t="inlineStr">
        <is>
          <t>NARIÑO</t>
        </is>
      </c>
      <c r="J60" t="inlineStr">
        <is>
          <t>IPIALES</t>
        </is>
      </c>
      <c r="K60" t="inlineStr">
        <is>
          <t>DISTRICOL EL LANCERO B MILITAR</t>
        </is>
      </c>
      <c r="L60" t="inlineStr">
        <is>
          <t>BANCOLOMBIA</t>
        </is>
      </c>
      <c r="M60" t="inlineStr">
        <is>
          <t>FO-25-1433899</t>
        </is>
      </c>
      <c r="N60" s="46" t="n">
        <v>45896.6375</v>
      </c>
      <c r="O60" s="46" t="n">
        <v>45897.56527777778</v>
      </c>
      <c r="P60" t="inlineStr">
        <is>
          <t>AGREGADOR</t>
        </is>
      </c>
      <c r="Q60" t="inlineStr">
        <is>
          <t>DISTRICOL</t>
        </is>
      </c>
      <c r="R60" t="inlineStr">
        <is>
          <t>EJECUTADO</t>
        </is>
      </c>
      <c r="S60" t="inlineStr">
        <is>
          <t>VISITA TECNICA</t>
        </is>
      </c>
      <c r="T60" t="inlineStr">
        <is>
          <t>FKZZZ689</t>
        </is>
      </c>
      <c r="U60" t="inlineStr">
        <is>
          <t>TIPO II</t>
        </is>
      </c>
      <c r="V60" t="inlineStr">
        <is>
          <t>TERRESTRE</t>
        </is>
      </c>
      <c r="W60" t="inlineStr">
        <is>
          <t>CASTILLO HERRERA ALEX RICARDO</t>
        </is>
      </c>
      <c r="X60" t="inlineStr">
        <is>
          <t>Si</t>
        </is>
      </c>
      <c r="Y60" t="inlineStr">
        <is>
          <t>Si</t>
        </is>
      </c>
      <c r="Z60" s="45" t="n">
        <v>0</v>
      </c>
      <c r="AA60" t="inlineStr">
        <is>
          <t>0</t>
        </is>
      </c>
      <c r="AB60" s="45" t="n">
        <v>248376</v>
      </c>
      <c r="AC60" s="45" t="n">
        <v>0</v>
      </c>
    </row>
    <row r="61">
      <c r="A61" t="inlineStr">
        <is>
          <t>PASTO</t>
        </is>
      </c>
      <c r="B61" t="inlineStr">
        <is>
          <t>SUROCCIDENTE Y EJE CAFETERO</t>
        </is>
      </c>
      <c r="C61" t="inlineStr">
        <is>
          <t>0004-0003</t>
        </is>
      </c>
      <c r="D61" t="inlineStr">
        <is>
          <t>52838</t>
        </is>
      </c>
      <c r="E61" t="inlineStr">
        <is>
          <t>TA-25-1034464</t>
        </is>
      </c>
      <c r="F61" t="inlineStr">
        <is>
          <t>3007081233</t>
        </is>
      </c>
      <c r="G61" t="inlineStr">
        <is>
          <t>APERTURA</t>
        </is>
      </c>
      <c r="H61" t="inlineStr">
        <is>
          <t>CB CRECIMIENTO ALIANZA - NUEVO</t>
        </is>
      </c>
      <c r="I61" t="inlineStr">
        <is>
          <t>NARIÑO</t>
        </is>
      </c>
      <c r="J61" t="inlineStr">
        <is>
          <t>TUQUERRES</t>
        </is>
      </c>
      <c r="K61" t="inlineStr">
        <is>
          <t>DISTRICOL DROG SANA SANA</t>
        </is>
      </c>
      <c r="L61" t="inlineStr">
        <is>
          <t>BANCOLOMBIA</t>
        </is>
      </c>
      <c r="M61" t="inlineStr">
        <is>
          <t>FO-25-1433910</t>
        </is>
      </c>
      <c r="N61" s="46" t="n">
        <v>45896.36458333334</v>
      </c>
      <c r="O61" s="46" t="n">
        <v>45897.68194444444</v>
      </c>
      <c r="P61" t="inlineStr">
        <is>
          <t>AGREGADOR</t>
        </is>
      </c>
      <c r="Q61" t="inlineStr">
        <is>
          <t>DISTRICOL</t>
        </is>
      </c>
      <c r="R61" t="inlineStr">
        <is>
          <t>EJECUTADO</t>
        </is>
      </c>
      <c r="S61" t="inlineStr">
        <is>
          <t>VISITA TECNICA</t>
        </is>
      </c>
      <c r="T61" t="inlineStr">
        <is>
          <t>FKZZZ691</t>
        </is>
      </c>
      <c r="U61" t="inlineStr">
        <is>
          <t>TIPO II</t>
        </is>
      </c>
      <c r="V61" t="inlineStr">
        <is>
          <t>TERRESTRE</t>
        </is>
      </c>
      <c r="W61" t="inlineStr">
        <is>
          <t>GUERRERO RAMIREZ OSCAR DARIO</t>
        </is>
      </c>
      <c r="X61" t="inlineStr">
        <is>
          <t>Si</t>
        </is>
      </c>
      <c r="Y61" t="inlineStr">
        <is>
          <t>Si</t>
        </is>
      </c>
      <c r="Z61" s="45" t="n">
        <v>0</v>
      </c>
      <c r="AA61" t="inlineStr">
        <is>
          <t>0</t>
        </is>
      </c>
      <c r="AB61" s="45" t="n">
        <v>248376</v>
      </c>
      <c r="AC61" s="45" t="n">
        <v>0</v>
      </c>
    </row>
    <row r="62">
      <c r="A62" t="inlineStr">
        <is>
          <t>PEREIRA</t>
        </is>
      </c>
      <c r="B62" t="inlineStr">
        <is>
          <t>SUROCCIDENTE Y EJE CAFETERO</t>
        </is>
      </c>
      <c r="C62" t="inlineStr">
        <is>
          <t>0004-0002</t>
        </is>
      </c>
      <c r="D62" t="inlineStr">
        <is>
          <t>76400</t>
        </is>
      </c>
      <c r="E62" t="inlineStr">
        <is>
          <t>TA-25-1034469</t>
        </is>
      </c>
      <c r="F62" t="inlineStr">
        <is>
          <t>3007081228</t>
        </is>
      </c>
      <c r="G62" t="inlineStr">
        <is>
          <t>APERTURA</t>
        </is>
      </c>
      <c r="H62" t="inlineStr">
        <is>
          <t>CB CRECIMIENTO ALIANZA - NUEVO</t>
        </is>
      </c>
      <c r="I62" t="inlineStr">
        <is>
          <t>VALLE DEL CAUCA</t>
        </is>
      </c>
      <c r="J62" t="inlineStr">
        <is>
          <t>LA UNION</t>
        </is>
      </c>
      <c r="K62" t="inlineStr">
        <is>
          <t>DISTRICOL COSITAS Y VAINAS</t>
        </is>
      </c>
      <c r="L62" t="inlineStr">
        <is>
          <t>BANCOLOMBIA</t>
        </is>
      </c>
      <c r="M62" t="inlineStr">
        <is>
          <t>FO-25-1433917</t>
        </is>
      </c>
      <c r="N62" s="46" t="n">
        <v>45896.63958333333</v>
      </c>
      <c r="O62" s="46" t="n">
        <v>45898.32430555556</v>
      </c>
      <c r="P62" t="inlineStr">
        <is>
          <t>AGREGADOR</t>
        </is>
      </c>
      <c r="Q62" t="inlineStr">
        <is>
          <t>DISTRICOL</t>
        </is>
      </c>
      <c r="R62" t="inlineStr">
        <is>
          <t>EJECUTADO</t>
        </is>
      </c>
      <c r="S62" t="inlineStr">
        <is>
          <t>VISITA TECNICA</t>
        </is>
      </c>
      <c r="T62" t="inlineStr">
        <is>
          <t>FKZZZ692</t>
        </is>
      </c>
      <c r="U62" t="inlineStr">
        <is>
          <t>TIPO II</t>
        </is>
      </c>
      <c r="V62" t="inlineStr">
        <is>
          <t>TERRESTRE</t>
        </is>
      </c>
      <c r="W62" t="inlineStr">
        <is>
          <t>PAREDES CASTILLO DIEGO</t>
        </is>
      </c>
      <c r="X62" t="inlineStr">
        <is>
          <t>Si</t>
        </is>
      </c>
      <c r="Y62" t="inlineStr">
        <is>
          <t>Si</t>
        </is>
      </c>
      <c r="Z62" s="45" t="n">
        <v>0</v>
      </c>
      <c r="AA62" t="inlineStr">
        <is>
          <t>0</t>
        </is>
      </c>
      <c r="AB62" s="45" t="n">
        <v>248376</v>
      </c>
      <c r="AC62" s="45" t="n">
        <v>0</v>
      </c>
    </row>
    <row r="63">
      <c r="A63" t="inlineStr">
        <is>
          <t>YOPAL</t>
        </is>
      </c>
      <c r="B63" t="inlineStr">
        <is>
          <t>REMOTAS</t>
        </is>
      </c>
      <c r="C63" t="inlineStr">
        <is>
          <t>0004-0007</t>
        </is>
      </c>
      <c r="D63" t="inlineStr">
        <is>
          <t>85001</t>
        </is>
      </c>
      <c r="E63" t="inlineStr">
        <is>
          <t>TA-25-1034474</t>
        </is>
      </c>
      <c r="F63" t="inlineStr">
        <is>
          <t>3007081239</t>
        </is>
      </c>
      <c r="G63" t="inlineStr">
        <is>
          <t>APERTURA</t>
        </is>
      </c>
      <c r="H63" t="inlineStr">
        <is>
          <t>CB CRECIMIENTO ALIANZA - NUEVO</t>
        </is>
      </c>
      <c r="I63" t="inlineStr">
        <is>
          <t>CASANARE</t>
        </is>
      </c>
      <c r="J63" t="inlineStr">
        <is>
          <t>YOPAL</t>
        </is>
      </c>
      <c r="K63" t="inlineStr">
        <is>
          <t>DISTRICOL PAPELERIA LA MONA 2</t>
        </is>
      </c>
      <c r="L63" t="inlineStr">
        <is>
          <t>BANCOLOMBIA</t>
        </is>
      </c>
      <c r="M63" t="inlineStr">
        <is>
          <t>FO-25-1433923</t>
        </is>
      </c>
      <c r="N63" s="46" t="n">
        <v>45896.6875</v>
      </c>
      <c r="O63" s="46" t="n">
        <v>45897.675</v>
      </c>
      <c r="P63" t="inlineStr">
        <is>
          <t>AGREGADOR</t>
        </is>
      </c>
      <c r="Q63" t="inlineStr">
        <is>
          <t>DISTRICOL</t>
        </is>
      </c>
      <c r="R63" t="inlineStr">
        <is>
          <t>EJECUTADO</t>
        </is>
      </c>
      <c r="S63" t="inlineStr">
        <is>
          <t>VISITA TECNICA</t>
        </is>
      </c>
      <c r="T63" t="inlineStr">
        <is>
          <t>FKZZZ693</t>
        </is>
      </c>
      <c r="U63" t="inlineStr">
        <is>
          <t>TIPO I</t>
        </is>
      </c>
      <c r="V63" t="inlineStr">
        <is>
          <t>TERRESTRE</t>
        </is>
      </c>
      <c r="W63" t="inlineStr">
        <is>
          <t>BERNAL ELAICA EDGAR ALEXIS</t>
        </is>
      </c>
      <c r="X63" t="inlineStr">
        <is>
          <t>Si</t>
        </is>
      </c>
      <c r="Y63" t="inlineStr">
        <is>
          <t>Si</t>
        </is>
      </c>
      <c r="Z63" s="45" t="n">
        <v>0</v>
      </c>
      <c r="AA63" t="inlineStr">
        <is>
          <t>0</t>
        </is>
      </c>
      <c r="AB63" s="45" t="n">
        <v>194983</v>
      </c>
      <c r="AC63" s="45" t="n">
        <v>0</v>
      </c>
    </row>
    <row r="64">
      <c r="A64" t="inlineStr">
        <is>
          <t>YOPAL</t>
        </is>
      </c>
      <c r="B64" t="inlineStr">
        <is>
          <t>REMOTAS</t>
        </is>
      </c>
      <c r="C64" t="inlineStr">
        <is>
          <t>0004-0007</t>
        </is>
      </c>
      <c r="D64" t="inlineStr">
        <is>
          <t>85010</t>
        </is>
      </c>
      <c r="E64" t="inlineStr">
        <is>
          <t>TA-25-1034475</t>
        </is>
      </c>
      <c r="F64" t="inlineStr">
        <is>
          <t>3007081214</t>
        </is>
      </c>
      <c r="G64" t="inlineStr">
        <is>
          <t>APERTURA</t>
        </is>
      </c>
      <c r="H64" t="inlineStr">
        <is>
          <t>CB CRECIMIENTO ALIANZA - NUEVO</t>
        </is>
      </c>
      <c r="I64" t="inlineStr">
        <is>
          <t>CASANARE</t>
        </is>
      </c>
      <c r="J64" t="inlineStr">
        <is>
          <t>AGUAZUL</t>
        </is>
      </c>
      <c r="K64" t="inlineStr">
        <is>
          <t>DISTRICOL SUPERDROGAS LA 17</t>
        </is>
      </c>
      <c r="L64" t="inlineStr">
        <is>
          <t>BANCOLOMBIA</t>
        </is>
      </c>
      <c r="M64" t="inlineStr">
        <is>
          <t>FO-25-1433927</t>
        </is>
      </c>
      <c r="N64" s="46" t="n">
        <v>45896.6875</v>
      </c>
      <c r="O64" s="46" t="n">
        <v>45897.5625</v>
      </c>
      <c r="P64" t="inlineStr">
        <is>
          <t>AGREGADOR</t>
        </is>
      </c>
      <c r="Q64" t="inlineStr">
        <is>
          <t>DISTRICOL</t>
        </is>
      </c>
      <c r="R64" t="inlineStr">
        <is>
          <t>EJECUTADO</t>
        </is>
      </c>
      <c r="S64" t="inlineStr">
        <is>
          <t>VISITA TECNICA</t>
        </is>
      </c>
      <c r="T64" t="inlineStr">
        <is>
          <t>FKZZZ694</t>
        </is>
      </c>
      <c r="U64" t="inlineStr">
        <is>
          <t>TIPO II</t>
        </is>
      </c>
      <c r="V64" t="inlineStr">
        <is>
          <t>TERRESTRE</t>
        </is>
      </c>
      <c r="W64" t="inlineStr">
        <is>
          <t>BERNAL ELAICA EDGAR ALEXIS</t>
        </is>
      </c>
      <c r="X64" t="inlineStr">
        <is>
          <t>Si</t>
        </is>
      </c>
      <c r="Y64" t="inlineStr">
        <is>
          <t>Si</t>
        </is>
      </c>
      <c r="Z64" s="45" t="n">
        <v>0</v>
      </c>
      <c r="AA64" t="inlineStr">
        <is>
          <t>0</t>
        </is>
      </c>
      <c r="AB64" s="45" t="n">
        <v>248376</v>
      </c>
      <c r="AC64" s="45" t="n">
        <v>0</v>
      </c>
    </row>
    <row r="65">
      <c r="A65" t="inlineStr">
        <is>
          <t>APARTADO</t>
        </is>
      </c>
      <c r="B65" t="inlineStr">
        <is>
          <t>NOROCCIDENTE</t>
        </is>
      </c>
      <c r="C65" t="inlineStr">
        <is>
          <t>0004-0005</t>
        </is>
      </c>
      <c r="D65" t="inlineStr">
        <is>
          <t>5045</t>
        </is>
      </c>
      <c r="E65" t="inlineStr">
        <is>
          <t>TA-25-1034479</t>
        </is>
      </c>
      <c r="F65" t="inlineStr">
        <is>
          <t>3007081220</t>
        </is>
      </c>
      <c r="G65" t="inlineStr">
        <is>
          <t>APERTURA</t>
        </is>
      </c>
      <c r="H65" t="inlineStr">
        <is>
          <t>CB CRECIMIENTO ALIANZA - NUEVO</t>
        </is>
      </c>
      <c r="I65" t="inlineStr">
        <is>
          <t>ANTIOQUIA</t>
        </is>
      </c>
      <c r="J65" t="inlineStr">
        <is>
          <t>APARTADO</t>
        </is>
      </c>
      <c r="K65" t="inlineStr">
        <is>
          <t>DISTRICOL MISCELANEA YAJANDRE</t>
        </is>
      </c>
      <c r="L65" t="inlineStr">
        <is>
          <t>BANCOLOMBIA</t>
        </is>
      </c>
      <c r="M65" t="inlineStr">
        <is>
          <t>FO-25-1433944</t>
        </is>
      </c>
      <c r="N65" s="46" t="n">
        <v>45896.83680555555</v>
      </c>
      <c r="O65" s="46" t="n">
        <v>45898.32847222222</v>
      </c>
      <c r="P65" t="inlineStr">
        <is>
          <t>AGREGADOR</t>
        </is>
      </c>
      <c r="Q65" t="inlineStr">
        <is>
          <t>DISTRICOL</t>
        </is>
      </c>
      <c r="R65" t="inlineStr">
        <is>
          <t>EJECUTADO</t>
        </is>
      </c>
      <c r="S65" t="inlineStr">
        <is>
          <t>VISITA TECNICA</t>
        </is>
      </c>
      <c r="T65" t="inlineStr">
        <is>
          <t>FKZZZ697</t>
        </is>
      </c>
      <c r="U65" t="inlineStr">
        <is>
          <t>TIPO I</t>
        </is>
      </c>
      <c r="V65" t="inlineStr">
        <is>
          <t>TERRESTRE</t>
        </is>
      </c>
      <c r="W65" t="inlineStr">
        <is>
          <t>SALDARRIAGA MIRANDA SANTIAGO</t>
        </is>
      </c>
      <c r="X65" t="inlineStr">
        <is>
          <t>Si</t>
        </is>
      </c>
      <c r="Y65" t="inlineStr">
        <is>
          <t>Si</t>
        </is>
      </c>
      <c r="Z65" s="45" t="n">
        <v>0</v>
      </c>
      <c r="AA65" t="inlineStr">
        <is>
          <t>0</t>
        </is>
      </c>
      <c r="AB65" s="45" t="n">
        <v>194983</v>
      </c>
      <c r="AC65" s="45" t="n">
        <v>0</v>
      </c>
    </row>
    <row r="66">
      <c r="A66" t="inlineStr">
        <is>
          <t>CUCUTA</t>
        </is>
      </c>
      <c r="B66" t="inlineStr">
        <is>
          <t>SANTANDERES</t>
        </is>
      </c>
      <c r="C66" t="inlineStr">
        <is>
          <t>0004-0008</t>
        </is>
      </c>
      <c r="D66" t="inlineStr">
        <is>
          <t>54553</t>
        </is>
      </c>
      <c r="E66" t="inlineStr">
        <is>
          <t>TA-25-554285</t>
        </is>
      </c>
      <c r="F66" t="inlineStr">
        <is>
          <t>3007078911</t>
        </is>
      </c>
      <c r="G66" t="inlineStr">
        <is>
          <t>APERTURA</t>
        </is>
      </c>
      <c r="H66" t="inlineStr">
        <is>
          <t>CB CRECIMIENTO - NUEVO</t>
        </is>
      </c>
      <c r="I66" t="inlineStr">
        <is>
          <t>NORTE DE SANTANDER</t>
        </is>
      </c>
      <c r="J66" t="inlineStr">
        <is>
          <t>PUERTO SANTANDER</t>
        </is>
      </c>
      <c r="K66" t="inlineStr">
        <is>
          <t>BARRIO CENTRO PUERTO SANTANDER 5</t>
        </is>
      </c>
      <c r="L66" t="inlineStr">
        <is>
          <t>BANCOLOMBIA</t>
        </is>
      </c>
      <c r="M66" t="inlineStr">
        <is>
          <t>FO-25-842188</t>
        </is>
      </c>
      <c r="N66" s="46" t="n">
        <v>45410.71458333333</v>
      </c>
      <c r="O66" s="46" t="n">
        <v>45891.44791666666</v>
      </c>
      <c r="P66" t="inlineStr">
        <is>
          <t>UNO A UNO</t>
        </is>
      </c>
      <c r="Q66" t="inlineStr">
        <is>
          <t>UNO A UNO</t>
        </is>
      </c>
      <c r="R66" t="inlineStr">
        <is>
          <t>EJECUTADO</t>
        </is>
      </c>
      <c r="S66" t="inlineStr">
        <is>
          <t>VISITA TECNICA</t>
        </is>
      </c>
      <c r="T66" t="inlineStr">
        <is>
          <t>F1SZZ784</t>
        </is>
      </c>
      <c r="U66" t="inlineStr">
        <is>
          <t>TIPO II</t>
        </is>
      </c>
      <c r="V66" t="inlineStr">
        <is>
          <t>TERRESTRE</t>
        </is>
      </c>
      <c r="W66" t="inlineStr">
        <is>
          <t>MORA VEGA JEAMPIER</t>
        </is>
      </c>
      <c r="X66" t="inlineStr">
        <is>
          <t>Si</t>
        </is>
      </c>
      <c r="Y66" t="inlineStr">
        <is>
          <t>Si</t>
        </is>
      </c>
      <c r="Z66" s="45" t="n">
        <v>0</v>
      </c>
      <c r="AA66" t="inlineStr">
        <is>
          <t>0</t>
        </is>
      </c>
      <c r="AB66" s="45" t="n">
        <v>248376</v>
      </c>
      <c r="AC66" s="45" t="n">
        <v>0</v>
      </c>
    </row>
    <row r="67">
      <c r="A67" t="inlineStr">
        <is>
          <t>TUNJA</t>
        </is>
      </c>
      <c r="B67" t="inlineStr">
        <is>
          <t>SANTANDERES</t>
        </is>
      </c>
      <c r="C67" t="inlineStr">
        <is>
          <t>0004-0008</t>
        </is>
      </c>
      <c r="D67" t="inlineStr">
        <is>
          <t>15212</t>
        </is>
      </c>
      <c r="E67" t="inlineStr">
        <is>
          <t>TA-25-721946</t>
        </is>
      </c>
      <c r="F67" t="inlineStr">
        <is>
          <t>3007079734</t>
        </is>
      </c>
      <c r="G67" t="inlineStr">
        <is>
          <t>APERTURA</t>
        </is>
      </c>
      <c r="H67" t="inlineStr">
        <is>
          <t>CB CRECIMIENTO - NUEVO</t>
        </is>
      </c>
      <c r="I67" t="inlineStr">
        <is>
          <t>BOYACA</t>
        </is>
      </c>
      <c r="J67" t="inlineStr">
        <is>
          <t>COPER</t>
        </is>
      </c>
      <c r="K67" t="inlineStr">
        <is>
          <t>BARRIO CENTRO COPER 1</t>
        </is>
      </c>
      <c r="L67" t="inlineStr">
        <is>
          <t>BANCOLOMBIA</t>
        </is>
      </c>
      <c r="M67" t="inlineStr">
        <is>
          <t>FO-25-1063045</t>
        </is>
      </c>
      <c r="N67" s="46" t="n">
        <v>45452.61666666667</v>
      </c>
      <c r="O67" s="46" t="n">
        <v>45891.44861111111</v>
      </c>
      <c r="P67" t="inlineStr">
        <is>
          <t>UNO A UNO</t>
        </is>
      </c>
      <c r="Q67" t="inlineStr">
        <is>
          <t>UNO A UNO</t>
        </is>
      </c>
      <c r="R67" t="inlineStr">
        <is>
          <t>EJECUTADO</t>
        </is>
      </c>
      <c r="S67" t="inlineStr">
        <is>
          <t>VISITA TECNICA</t>
        </is>
      </c>
      <c r="T67" t="inlineStr">
        <is>
          <t>F1XZZ054</t>
        </is>
      </c>
      <c r="U67" t="inlineStr">
        <is>
          <t>TIPO III</t>
        </is>
      </c>
      <c r="V67" t="inlineStr">
        <is>
          <t>TERRESTRE</t>
        </is>
      </c>
      <c r="W67" t="inlineStr">
        <is>
          <t>SOLER HOYOS CRISTIAN LEONARDO</t>
        </is>
      </c>
      <c r="X67" t="inlineStr">
        <is>
          <t>Si</t>
        </is>
      </c>
      <c r="Y67" t="inlineStr">
        <is>
          <t>Si</t>
        </is>
      </c>
      <c r="Z67" s="45" t="n">
        <v>0</v>
      </c>
      <c r="AA67" t="inlineStr">
        <is>
          <t>0</t>
        </is>
      </c>
      <c r="AB67" s="45" t="n">
        <v>248376</v>
      </c>
      <c r="AC67" s="45" t="n">
        <v>0</v>
      </c>
    </row>
    <row r="68">
      <c r="A68" t="inlineStr">
        <is>
          <t>CUCUTA</t>
        </is>
      </c>
      <c r="B68" t="inlineStr">
        <is>
          <t>SANTANDERES</t>
        </is>
      </c>
      <c r="C68" t="inlineStr">
        <is>
          <t>0004-0008</t>
        </is>
      </c>
      <c r="D68" t="inlineStr">
        <is>
          <t>54001</t>
        </is>
      </c>
      <c r="E68" t="inlineStr">
        <is>
          <t>TA-25-820394</t>
        </is>
      </c>
      <c r="F68" t="inlineStr">
        <is>
          <t>3007080135</t>
        </is>
      </c>
      <c r="G68" t="inlineStr">
        <is>
          <t>APERTURA</t>
        </is>
      </c>
      <c r="H68" t="inlineStr">
        <is>
          <t>CB CRECIMIENTO - NUEVO</t>
        </is>
      </c>
      <c r="I68" t="inlineStr">
        <is>
          <t>NORTE DE SANTANDER</t>
        </is>
      </c>
      <c r="J68" t="inlineStr">
        <is>
          <t>CUCUTA</t>
        </is>
      </c>
      <c r="K68" t="inlineStr">
        <is>
          <t>BARRIO VDA AGUA CLARA CUCUTA</t>
        </is>
      </c>
      <c r="L68" t="inlineStr">
        <is>
          <t>BANCOLOMBIA</t>
        </is>
      </c>
      <c r="M68" t="inlineStr">
        <is>
          <t>FO-25-1161711</t>
        </is>
      </c>
      <c r="N68" s="46" t="n">
        <v>45474.61527777778</v>
      </c>
      <c r="O68" s="46" t="n">
        <v>45891.44861111111</v>
      </c>
      <c r="P68" t="inlineStr">
        <is>
          <t>UNO A UNO</t>
        </is>
      </c>
      <c r="Q68" t="inlineStr">
        <is>
          <t>UNO A UNO</t>
        </is>
      </c>
      <c r="R68" t="inlineStr">
        <is>
          <t>EJECUTADO</t>
        </is>
      </c>
      <c r="S68" t="inlineStr">
        <is>
          <t>VISITA TECNICA</t>
        </is>
      </c>
      <c r="T68" t="inlineStr">
        <is>
          <t>F1ZZZ686</t>
        </is>
      </c>
      <c r="U68" t="inlineStr">
        <is>
          <t>TIPO I</t>
        </is>
      </c>
      <c r="V68" t="inlineStr">
        <is>
          <t>TERRESTRE</t>
        </is>
      </c>
      <c r="W68" t="inlineStr">
        <is>
          <t>TORRES MANTILLA JOSE DANIEL</t>
        </is>
      </c>
      <c r="X68" t="inlineStr">
        <is>
          <t>Si</t>
        </is>
      </c>
      <c r="Y68" t="inlineStr">
        <is>
          <t>Si</t>
        </is>
      </c>
      <c r="Z68" s="45" t="n">
        <v>0</v>
      </c>
      <c r="AA68" t="inlineStr">
        <is>
          <t>0</t>
        </is>
      </c>
      <c r="AB68" s="45" t="n">
        <v>194983</v>
      </c>
      <c r="AC68" s="45" t="n">
        <v>0</v>
      </c>
    </row>
    <row r="69">
      <c r="A69" t="inlineStr">
        <is>
          <t>TUNJA</t>
        </is>
      </c>
      <c r="B69" t="inlineStr">
        <is>
          <t>SANTANDERES</t>
        </is>
      </c>
      <c r="C69" t="inlineStr">
        <is>
          <t>0004-0008</t>
        </is>
      </c>
      <c r="D69" t="inlineStr">
        <is>
          <t>15218</t>
        </is>
      </c>
      <c r="E69" t="inlineStr">
        <is>
          <t>TA-25-885165</t>
        </is>
      </c>
      <c r="F69" t="inlineStr">
        <is>
          <t>3007080630</t>
        </is>
      </c>
      <c r="G69" t="inlineStr">
        <is>
          <t>APERTURA</t>
        </is>
      </c>
      <c r="H69" t="inlineStr">
        <is>
          <t>CB CRECIMIENTO - NUEVO</t>
        </is>
      </c>
      <c r="I69" t="inlineStr">
        <is>
          <t>BOYACA</t>
        </is>
      </c>
      <c r="J69" t="inlineStr">
        <is>
          <t>COVARACHIA</t>
        </is>
      </c>
      <c r="K69" t="inlineStr">
        <is>
          <t>BARRIO CENTRO COVARACHIA 1</t>
        </is>
      </c>
      <c r="L69" t="inlineStr">
        <is>
          <t>BANCOLOMBIA</t>
        </is>
      </c>
      <c r="M69" t="inlineStr">
        <is>
          <t>FO-25-1272742</t>
        </is>
      </c>
      <c r="N69" s="46" t="n">
        <v>45861.62361111111</v>
      </c>
      <c r="O69" s="46" t="n">
        <v>45890.65694444445</v>
      </c>
      <c r="P69" t="inlineStr">
        <is>
          <t>UNO A UNO</t>
        </is>
      </c>
      <c r="Q69" t="inlineStr">
        <is>
          <t>UNO A UNO</t>
        </is>
      </c>
      <c r="R69" t="inlineStr">
        <is>
          <t>EJECUTADO</t>
        </is>
      </c>
      <c r="S69" t="inlineStr">
        <is>
          <t>VISITA TECNICA</t>
        </is>
      </c>
      <c r="T69" t="inlineStr">
        <is>
          <t>V6ZZZ785</t>
        </is>
      </c>
      <c r="U69" t="inlineStr">
        <is>
          <t>TIPO IV</t>
        </is>
      </c>
      <c r="V69" t="inlineStr">
        <is>
          <t>TERRESTRE</t>
        </is>
      </c>
      <c r="W69" t="inlineStr">
        <is>
          <t>HERRERA GARZON JEYSON STEVENT</t>
        </is>
      </c>
      <c r="X69" t="inlineStr">
        <is>
          <t>Si</t>
        </is>
      </c>
      <c r="Y69" t="inlineStr">
        <is>
          <t>Si</t>
        </is>
      </c>
      <c r="Z69" s="45" t="n">
        <v>0</v>
      </c>
      <c r="AA69" t="inlineStr">
        <is>
          <t>0</t>
        </is>
      </c>
      <c r="AB69" s="45" t="n">
        <v>248376</v>
      </c>
      <c r="AC69" s="45" t="n">
        <v>0</v>
      </c>
    </row>
    <row r="70">
      <c r="A70" t="inlineStr">
        <is>
          <t>VILLAVICENCIO</t>
        </is>
      </c>
      <c r="B70" t="inlineStr">
        <is>
          <t>REMOTAS</t>
        </is>
      </c>
      <c r="C70" t="inlineStr">
        <is>
          <t>0004-0007</t>
        </is>
      </c>
      <c r="D70" t="inlineStr">
        <is>
          <t>85440</t>
        </is>
      </c>
      <c r="E70" t="inlineStr">
        <is>
          <t>TA-25-897274</t>
        </is>
      </c>
      <c r="F70" t="inlineStr">
        <is>
          <t>3007080704</t>
        </is>
      </c>
      <c r="G70" t="inlineStr">
        <is>
          <t>APERTURA</t>
        </is>
      </c>
      <c r="H70" t="inlineStr">
        <is>
          <t>CB CRECIMIENTO - NUEVO</t>
        </is>
      </c>
      <c r="I70" t="inlineStr">
        <is>
          <t>CASANARE</t>
        </is>
      </c>
      <c r="J70" t="inlineStr">
        <is>
          <t>VILLANUEVA</t>
        </is>
      </c>
      <c r="K70" t="inlineStr">
        <is>
          <t>BARRIO FUNDADORES VILLANUEVA 6</t>
        </is>
      </c>
      <c r="L70" t="inlineStr">
        <is>
          <t>BANCOLOMBIA</t>
        </is>
      </c>
      <c r="M70" t="inlineStr">
        <is>
          <t>FO-25-1293622</t>
        </is>
      </c>
      <c r="N70" s="46" t="n">
        <v>45866.77361111111</v>
      </c>
      <c r="O70" s="46" t="n">
        <v>45873.38680555556</v>
      </c>
      <c r="P70" t="inlineStr">
        <is>
          <t>UNO A UNO</t>
        </is>
      </c>
      <c r="Q70" t="inlineStr">
        <is>
          <t>UNO A UNO</t>
        </is>
      </c>
      <c r="R70" t="inlineStr">
        <is>
          <t>EJECUTADO</t>
        </is>
      </c>
      <c r="S70" t="inlineStr">
        <is>
          <t>VISITA TECNICA</t>
        </is>
      </c>
      <c r="T70" t="inlineStr">
        <is>
          <t>V8ZZZ344</t>
        </is>
      </c>
      <c r="U70" t="inlineStr">
        <is>
          <t>TIPO III</t>
        </is>
      </c>
      <c r="V70" t="inlineStr">
        <is>
          <t>TERRESTRE</t>
        </is>
      </c>
      <c r="W70" t="inlineStr">
        <is>
          <t>PEDREROS CONTRERAS MICHAEL STEVENS</t>
        </is>
      </c>
      <c r="X70" t="inlineStr">
        <is>
          <t>Si</t>
        </is>
      </c>
      <c r="Y70" t="inlineStr">
        <is>
          <t>Si</t>
        </is>
      </c>
      <c r="Z70" s="45" t="n">
        <v>0</v>
      </c>
      <c r="AA70" t="inlineStr">
        <is>
          <t>0</t>
        </is>
      </c>
      <c r="AB70" s="45" t="n">
        <v>248376</v>
      </c>
      <c r="AC70" s="45" t="n">
        <v>0</v>
      </c>
    </row>
    <row r="71">
      <c r="A71" t="inlineStr">
        <is>
          <t>NEIVA</t>
        </is>
      </c>
      <c r="B71" t="inlineStr">
        <is>
          <t>REMOTAS</t>
        </is>
      </c>
      <c r="C71" t="inlineStr">
        <is>
          <t>0004-0007</t>
        </is>
      </c>
      <c r="D71" t="inlineStr">
        <is>
          <t>18001</t>
        </is>
      </c>
      <c r="E71" t="inlineStr">
        <is>
          <t>TA-25-897275</t>
        </is>
      </c>
      <c r="F71" t="inlineStr">
        <is>
          <t>3007080665</t>
        </is>
      </c>
      <c r="G71" t="inlineStr">
        <is>
          <t>APERTURA</t>
        </is>
      </c>
      <c r="H71" t="inlineStr">
        <is>
          <t>CB CRECIMIENTO - NUEVO</t>
        </is>
      </c>
      <c r="I71" t="inlineStr">
        <is>
          <t>CAQUETA</t>
        </is>
      </c>
      <c r="J71" t="inlineStr">
        <is>
          <t>FLORENCIA</t>
        </is>
      </c>
      <c r="K71" t="inlineStr">
        <is>
          <t>BARRIO BUENOS AIRES FLORENCIA 1</t>
        </is>
      </c>
      <c r="L71" t="inlineStr">
        <is>
          <t>BANCOLOMBIA</t>
        </is>
      </c>
      <c r="M71" t="inlineStr">
        <is>
          <t>FO-25-1293630</t>
        </is>
      </c>
      <c r="N71" s="46" t="n">
        <v>45866.77361111111</v>
      </c>
      <c r="O71" s="46" t="n">
        <v>45873.30416666667</v>
      </c>
      <c r="P71" t="inlineStr">
        <is>
          <t>UNO A UNO</t>
        </is>
      </c>
      <c r="Q71" t="inlineStr">
        <is>
          <t>UNO A UNO</t>
        </is>
      </c>
      <c r="R71" t="inlineStr">
        <is>
          <t>EJECUTADO</t>
        </is>
      </c>
      <c r="S71" t="inlineStr">
        <is>
          <t>VISITA TECNICA</t>
        </is>
      </c>
      <c r="T71" t="inlineStr">
        <is>
          <t>V8ZZZ345</t>
        </is>
      </c>
      <c r="U71" t="inlineStr">
        <is>
          <t>TIPO IV</t>
        </is>
      </c>
      <c r="V71" t="inlineStr">
        <is>
          <t>TERRESTRE</t>
        </is>
      </c>
      <c r="W71" t="inlineStr">
        <is>
          <t>DEVIA REINOSO JUAN CARLOS</t>
        </is>
      </c>
      <c r="X71" t="inlineStr">
        <is>
          <t>Si</t>
        </is>
      </c>
      <c r="Y71" t="inlineStr">
        <is>
          <t>Si</t>
        </is>
      </c>
      <c r="Z71" s="45" t="n">
        <v>0</v>
      </c>
      <c r="AA71" t="inlineStr">
        <is>
          <t>0</t>
        </is>
      </c>
      <c r="AB71" s="45" t="n">
        <v>248376</v>
      </c>
      <c r="AC71" s="45" t="n">
        <v>0</v>
      </c>
    </row>
    <row r="72">
      <c r="A72" t="inlineStr">
        <is>
          <t>NEIVA</t>
        </is>
      </c>
      <c r="B72" t="inlineStr">
        <is>
          <t>REMOTAS</t>
        </is>
      </c>
      <c r="C72" t="inlineStr">
        <is>
          <t>0004-0007</t>
        </is>
      </c>
      <c r="D72" t="inlineStr">
        <is>
          <t>18001</t>
        </is>
      </c>
      <c r="E72" t="inlineStr">
        <is>
          <t>TA-25-897283</t>
        </is>
      </c>
      <c r="F72" t="inlineStr">
        <is>
          <t>3007080664</t>
        </is>
      </c>
      <c r="G72" t="inlineStr">
        <is>
          <t>APERTURA</t>
        </is>
      </c>
      <c r="H72" t="inlineStr">
        <is>
          <t>CB CRECIMIENTO - NUEVO</t>
        </is>
      </c>
      <c r="I72" t="inlineStr">
        <is>
          <t>CAQUETA</t>
        </is>
      </c>
      <c r="J72" t="inlineStr">
        <is>
          <t>FLORENCIA</t>
        </is>
      </c>
      <c r="K72" t="inlineStr">
        <is>
          <t>BARRIO SIETE DE AGOSTO FLORENCIA 7</t>
        </is>
      </c>
      <c r="L72" t="inlineStr">
        <is>
          <t>BANCOLOMBIA</t>
        </is>
      </c>
      <c r="M72" t="inlineStr">
        <is>
          <t>FO-25-1293646</t>
        </is>
      </c>
      <c r="N72" s="46" t="n">
        <v>45866.77361111111</v>
      </c>
      <c r="O72" s="46" t="n">
        <v>45870.52847222222</v>
      </c>
      <c r="P72" t="inlineStr">
        <is>
          <t>UNO A UNO</t>
        </is>
      </c>
      <c r="Q72" t="inlineStr">
        <is>
          <t>UNO A UNO</t>
        </is>
      </c>
      <c r="R72" t="inlineStr">
        <is>
          <t>EJECUTADO</t>
        </is>
      </c>
      <c r="S72" t="inlineStr">
        <is>
          <t>VISITA TECNICA</t>
        </is>
      </c>
      <c r="T72" t="inlineStr">
        <is>
          <t>V8ZZZ349</t>
        </is>
      </c>
      <c r="U72" t="inlineStr">
        <is>
          <t>TIPO IV</t>
        </is>
      </c>
      <c r="V72" t="inlineStr">
        <is>
          <t>TERRESTRE</t>
        </is>
      </c>
      <c r="W72" t="inlineStr">
        <is>
          <t>DEVIA REINOSO JUAN CARLOS</t>
        </is>
      </c>
      <c r="X72" t="inlineStr">
        <is>
          <t>Si</t>
        </is>
      </c>
      <c r="Y72" t="inlineStr">
        <is>
          <t>Si</t>
        </is>
      </c>
      <c r="Z72" s="45" t="n">
        <v>0</v>
      </c>
      <c r="AA72" t="inlineStr">
        <is>
          <t>0</t>
        </is>
      </c>
      <c r="AB72" s="45" t="n">
        <v>248376</v>
      </c>
      <c r="AC72" s="45" t="n">
        <v>0</v>
      </c>
    </row>
    <row r="73">
      <c r="A73" t="inlineStr">
        <is>
          <t>NEIVA</t>
        </is>
      </c>
      <c r="B73" t="inlineStr">
        <is>
          <t>REMOTAS</t>
        </is>
      </c>
      <c r="C73" t="inlineStr">
        <is>
          <t>0004-0007</t>
        </is>
      </c>
      <c r="D73" t="inlineStr">
        <is>
          <t>18205</t>
        </is>
      </c>
      <c r="E73" t="inlineStr">
        <is>
          <t>TA-25-897298</t>
        </is>
      </c>
      <c r="F73" t="inlineStr">
        <is>
          <t>3007080662</t>
        </is>
      </c>
      <c r="G73" t="inlineStr">
        <is>
          <t>APERTURA</t>
        </is>
      </c>
      <c r="H73" t="inlineStr">
        <is>
          <t>CB CRECIMIENTO - NUEVO</t>
        </is>
      </c>
      <c r="I73" t="inlineStr">
        <is>
          <t>CAQUETA</t>
        </is>
      </c>
      <c r="J73" t="inlineStr">
        <is>
          <t>CURILLO</t>
        </is>
      </c>
      <c r="K73" t="inlineStr">
        <is>
          <t>BARRIO EL JARDIN CURILLO</t>
        </is>
      </c>
      <c r="L73" t="inlineStr">
        <is>
          <t>BANCOLOMBIA</t>
        </is>
      </c>
      <c r="M73" t="inlineStr">
        <is>
          <t>FO-25-1293672</t>
        </is>
      </c>
      <c r="N73" s="46" t="n">
        <v>45866.77430555555</v>
      </c>
      <c r="O73" s="46" t="n">
        <v>45870.29861111111</v>
      </c>
      <c r="P73" t="inlineStr">
        <is>
          <t>UNO A UNO</t>
        </is>
      </c>
      <c r="Q73" t="inlineStr">
        <is>
          <t>UNO A UNO</t>
        </is>
      </c>
      <c r="R73" t="inlineStr">
        <is>
          <t>EJECUTADO</t>
        </is>
      </c>
      <c r="S73" t="inlineStr">
        <is>
          <t>VISITA TECNICA</t>
        </is>
      </c>
      <c r="T73" t="inlineStr">
        <is>
          <t>V8ZZZ355</t>
        </is>
      </c>
      <c r="U73" t="inlineStr">
        <is>
          <t>TIPO IV</t>
        </is>
      </c>
      <c r="V73" t="inlineStr">
        <is>
          <t>TERRESTRE</t>
        </is>
      </c>
      <c r="W73" t="inlineStr">
        <is>
          <t>BERMUDEZ SANCHEZ JOSE NEYBER</t>
        </is>
      </c>
      <c r="X73" t="inlineStr">
        <is>
          <t>Si</t>
        </is>
      </c>
      <c r="Y73" t="inlineStr">
        <is>
          <t>Si</t>
        </is>
      </c>
      <c r="Z73" s="45" t="n">
        <v>0</v>
      </c>
      <c r="AA73" t="inlineStr">
        <is>
          <t>0</t>
        </is>
      </c>
      <c r="AB73" s="45" t="n">
        <v>248376</v>
      </c>
      <c r="AC73" s="45" t="n">
        <v>0</v>
      </c>
    </row>
    <row r="74">
      <c r="A74" t="inlineStr">
        <is>
          <t>NEIVA</t>
        </is>
      </c>
      <c r="B74" t="inlineStr">
        <is>
          <t>REMOTAS</t>
        </is>
      </c>
      <c r="C74" t="inlineStr">
        <is>
          <t>0004-0007</t>
        </is>
      </c>
      <c r="D74" t="inlineStr">
        <is>
          <t>41020</t>
        </is>
      </c>
      <c r="E74" t="inlineStr">
        <is>
          <t>TA-25-897299</t>
        </is>
      </c>
      <c r="F74" t="inlineStr">
        <is>
          <t>3007080648</t>
        </is>
      </c>
      <c r="G74" t="inlineStr">
        <is>
          <t>APERTURA</t>
        </is>
      </c>
      <c r="H74" t="inlineStr">
        <is>
          <t>CB CRECIMIENTO - NUEVO</t>
        </is>
      </c>
      <c r="I74" t="inlineStr">
        <is>
          <t>HUILA</t>
        </is>
      </c>
      <c r="J74" t="inlineStr">
        <is>
          <t>ALGECIRAS</t>
        </is>
      </c>
      <c r="K74" t="inlineStr">
        <is>
          <t>BARRIO CENTRO ALGECIRAS 17</t>
        </is>
      </c>
      <c r="L74" t="inlineStr">
        <is>
          <t>BANCOLOMBIA</t>
        </is>
      </c>
      <c r="M74" t="inlineStr">
        <is>
          <t>FO-25-1293674</t>
        </is>
      </c>
      <c r="N74" s="46" t="n">
        <v>45866.77430555555</v>
      </c>
      <c r="O74" s="46" t="n">
        <v>45873.3875</v>
      </c>
      <c r="P74" t="inlineStr">
        <is>
          <t>UNO A UNO</t>
        </is>
      </c>
      <c r="Q74" t="inlineStr">
        <is>
          <t>UNO A UNO</t>
        </is>
      </c>
      <c r="R74" t="inlineStr">
        <is>
          <t>EJECUTADO</t>
        </is>
      </c>
      <c r="S74" t="inlineStr">
        <is>
          <t>VISITA TECNICA</t>
        </is>
      </c>
      <c r="T74" t="inlineStr">
        <is>
          <t>V8ZZZ356</t>
        </is>
      </c>
      <c r="U74" t="inlineStr">
        <is>
          <t>TIPO II</t>
        </is>
      </c>
      <c r="V74" t="inlineStr">
        <is>
          <t>TERRESTRE</t>
        </is>
      </c>
      <c r="W74" t="inlineStr">
        <is>
          <t>DIAZ VARGAS JONATHAN MIGUEL</t>
        </is>
      </c>
      <c r="X74" t="inlineStr">
        <is>
          <t>Si</t>
        </is>
      </c>
      <c r="Y74" t="inlineStr">
        <is>
          <t>Si</t>
        </is>
      </c>
      <c r="Z74" s="45" t="n">
        <v>0</v>
      </c>
      <c r="AA74" t="inlineStr">
        <is>
          <t>0</t>
        </is>
      </c>
      <c r="AB74" s="45" t="n">
        <v>248376</v>
      </c>
      <c r="AC74" s="45" t="n">
        <v>0</v>
      </c>
    </row>
    <row r="75">
      <c r="A75" t="inlineStr">
        <is>
          <t>NEIVA</t>
        </is>
      </c>
      <c r="B75" t="inlineStr">
        <is>
          <t>REMOTAS</t>
        </is>
      </c>
      <c r="C75" t="inlineStr">
        <is>
          <t>0004-0007</t>
        </is>
      </c>
      <c r="D75" t="inlineStr">
        <is>
          <t>18610</t>
        </is>
      </c>
      <c r="E75" t="inlineStr">
        <is>
          <t>TA-25-897339</t>
        </is>
      </c>
      <c r="F75" t="inlineStr">
        <is>
          <t>3007080690</t>
        </is>
      </c>
      <c r="G75" t="inlineStr">
        <is>
          <t>APERTURA</t>
        </is>
      </c>
      <c r="H75" t="inlineStr">
        <is>
          <t>CB CRECIMIENTO - NUEVO</t>
        </is>
      </c>
      <c r="I75" t="inlineStr">
        <is>
          <t>CAQUETA</t>
        </is>
      </c>
      <c r="J75" t="inlineStr">
        <is>
          <t>SAN JOSE DEL FRAGUA</t>
        </is>
      </c>
      <c r="K75" t="inlineStr">
        <is>
          <t>BARRIO CENTRO SAN JOSE DEL FRAGUA 12</t>
        </is>
      </c>
      <c r="L75" t="inlineStr">
        <is>
          <t>BANCOLOMBIA</t>
        </is>
      </c>
      <c r="M75" t="inlineStr">
        <is>
          <t>FO-25-1293769</t>
        </is>
      </c>
      <c r="N75" s="46" t="n">
        <v>45866.77430555555</v>
      </c>
      <c r="O75" s="46" t="n">
        <v>45870.30763888889</v>
      </c>
      <c r="P75" t="inlineStr">
        <is>
          <t>UNO A UNO</t>
        </is>
      </c>
      <c r="Q75" t="inlineStr">
        <is>
          <t>UNO A UNO</t>
        </is>
      </c>
      <c r="R75" t="inlineStr">
        <is>
          <t>EJECUTADO</t>
        </is>
      </c>
      <c r="S75" t="inlineStr">
        <is>
          <t>VISITA TECNICA</t>
        </is>
      </c>
      <c r="T75" t="inlineStr">
        <is>
          <t>V8ZZZ378</t>
        </is>
      </c>
      <c r="U75" t="inlineStr">
        <is>
          <t>TIPO IV</t>
        </is>
      </c>
      <c r="V75" t="inlineStr">
        <is>
          <t>TERRESTRE</t>
        </is>
      </c>
      <c r="W75" t="inlineStr">
        <is>
          <t>BERMUDEZ SANCHEZ JOSE NEYBER</t>
        </is>
      </c>
      <c r="X75" t="inlineStr">
        <is>
          <t>Si</t>
        </is>
      </c>
      <c r="Y75" t="inlineStr">
        <is>
          <t>Si</t>
        </is>
      </c>
      <c r="Z75" s="45" t="n">
        <v>0</v>
      </c>
      <c r="AA75" t="inlineStr">
        <is>
          <t>0</t>
        </is>
      </c>
      <c r="AB75" s="45" t="n">
        <v>248376</v>
      </c>
      <c r="AC75" s="45" t="n">
        <v>0</v>
      </c>
    </row>
    <row r="76">
      <c r="A76" t="inlineStr">
        <is>
          <t>PASTO</t>
        </is>
      </c>
      <c r="B76" t="inlineStr">
        <is>
          <t>SUROCCIDENTE Y EJE CAFETERO</t>
        </is>
      </c>
      <c r="C76" t="inlineStr">
        <is>
          <t>0004-0003</t>
        </is>
      </c>
      <c r="D76" t="inlineStr">
        <is>
          <t>52427</t>
        </is>
      </c>
      <c r="E76" t="inlineStr">
        <is>
          <t>TA-25-897342</t>
        </is>
      </c>
      <c r="F76" t="inlineStr">
        <is>
          <t>3007080676</t>
        </is>
      </c>
      <c r="G76" t="inlineStr">
        <is>
          <t>APERTURA</t>
        </is>
      </c>
      <c r="H76" t="inlineStr">
        <is>
          <t>CB CRECIMIENTO - NUEVO</t>
        </is>
      </c>
      <c r="I76" t="inlineStr">
        <is>
          <t>NARIÑO</t>
        </is>
      </c>
      <c r="J76" t="inlineStr">
        <is>
          <t>MAGUI</t>
        </is>
      </c>
      <c r="K76" t="inlineStr">
        <is>
          <t>BARRIO CRR BRISAS DE HAMBURGO MAGUI</t>
        </is>
      </c>
      <c r="L76" t="inlineStr">
        <is>
          <t>BANCOLOMBIA</t>
        </is>
      </c>
      <c r="M76" t="inlineStr">
        <is>
          <t>FO-25-1293775</t>
        </is>
      </c>
      <c r="N76" s="46" t="n">
        <v>45866.61736111111</v>
      </c>
      <c r="O76" s="46" t="n">
        <v>45883.55069444444</v>
      </c>
      <c r="P76" t="inlineStr">
        <is>
          <t>UNO A UNO</t>
        </is>
      </c>
      <c r="Q76" t="inlineStr">
        <is>
          <t>UNO A UNO</t>
        </is>
      </c>
      <c r="R76" t="inlineStr">
        <is>
          <t>EJECUTADO</t>
        </is>
      </c>
      <c r="S76" t="inlineStr">
        <is>
          <t>VISITA TECNICA</t>
        </is>
      </c>
      <c r="T76" t="inlineStr">
        <is>
          <t>V8ZZZ380</t>
        </is>
      </c>
      <c r="U76" t="inlineStr">
        <is>
          <t>TIPO IV ESPECIAL</t>
        </is>
      </c>
      <c r="V76" t="inlineStr">
        <is>
          <t>FLUVIAL</t>
        </is>
      </c>
      <c r="W76" t="inlineStr">
        <is>
          <t>PAZ MARTINEZ RICHARD HUMBERTO</t>
        </is>
      </c>
      <c r="X76" t="inlineStr">
        <is>
          <t>Si</t>
        </is>
      </c>
      <c r="Y76" t="inlineStr">
        <is>
          <t>Si</t>
        </is>
      </c>
      <c r="Z76" s="45" t="n">
        <v>0</v>
      </c>
      <c r="AA76" t="inlineStr">
        <is>
          <t>0</t>
        </is>
      </c>
      <c r="AB76" s="45" t="n">
        <v>248376</v>
      </c>
      <c r="AC76" s="45" t="n">
        <v>0</v>
      </c>
    </row>
    <row r="77">
      <c r="A77" t="inlineStr">
        <is>
          <t>PASTO</t>
        </is>
      </c>
      <c r="B77" t="inlineStr">
        <is>
          <t>SUROCCIDENTE Y EJE CAFETERO</t>
        </is>
      </c>
      <c r="C77" t="inlineStr">
        <is>
          <t>0004-0003</t>
        </is>
      </c>
      <c r="D77" t="inlineStr">
        <is>
          <t>52427</t>
        </is>
      </c>
      <c r="E77" t="inlineStr">
        <is>
          <t>TA-25-897364</t>
        </is>
      </c>
      <c r="F77" t="inlineStr">
        <is>
          <t>3007080675</t>
        </is>
      </c>
      <c r="G77" t="inlineStr">
        <is>
          <t>APERTURA</t>
        </is>
      </c>
      <c r="H77" t="inlineStr">
        <is>
          <t>CB CRECIMIENTO - NUEVO</t>
        </is>
      </c>
      <c r="I77" t="inlineStr">
        <is>
          <t>NARIÑO</t>
        </is>
      </c>
      <c r="J77" t="inlineStr">
        <is>
          <t>MAGUI</t>
        </is>
      </c>
      <c r="K77" t="inlineStr">
        <is>
          <t>BARRIO LA PISTA MAGUI</t>
        </is>
      </c>
      <c r="L77" t="inlineStr">
        <is>
          <t>BANCOLOMBIA</t>
        </is>
      </c>
      <c r="M77" t="inlineStr">
        <is>
          <t>FO-25-1293834</t>
        </is>
      </c>
      <c r="N77" s="46" t="n">
        <v>45866.61875</v>
      </c>
      <c r="O77" s="46" t="n">
        <v>45883.55</v>
      </c>
      <c r="P77" t="inlineStr">
        <is>
          <t>UNO A UNO</t>
        </is>
      </c>
      <c r="Q77" t="inlineStr">
        <is>
          <t>UNO A UNO</t>
        </is>
      </c>
      <c r="R77" t="inlineStr">
        <is>
          <t>EJECUTADO</t>
        </is>
      </c>
      <c r="S77" t="inlineStr">
        <is>
          <t>VISITA TECNICA</t>
        </is>
      </c>
      <c r="T77" t="inlineStr">
        <is>
          <t>V8ZZZ393</t>
        </is>
      </c>
      <c r="U77" t="inlineStr">
        <is>
          <t>TIPO IV ESPECIAL</t>
        </is>
      </c>
      <c r="V77" t="inlineStr">
        <is>
          <t>FLUVIAL</t>
        </is>
      </c>
      <c r="W77" t="inlineStr">
        <is>
          <t>PAZ MARTINEZ RICHARD HUMBERTO</t>
        </is>
      </c>
      <c r="X77" t="inlineStr">
        <is>
          <t>Si</t>
        </is>
      </c>
      <c r="Y77" t="inlineStr">
        <is>
          <t>Si</t>
        </is>
      </c>
      <c r="Z77" s="45" t="n">
        <v>0</v>
      </c>
      <c r="AA77" t="inlineStr">
        <is>
          <t>0</t>
        </is>
      </c>
      <c r="AB77" s="45" t="n">
        <v>248376</v>
      </c>
      <c r="AC77" s="45" t="n">
        <v>0</v>
      </c>
    </row>
    <row r="78">
      <c r="A78" t="inlineStr">
        <is>
          <t>YOPAL</t>
        </is>
      </c>
      <c r="B78" t="inlineStr">
        <is>
          <t>REMOTAS</t>
        </is>
      </c>
      <c r="C78" t="inlineStr">
        <is>
          <t>0004-0007</t>
        </is>
      </c>
      <c r="D78" t="inlineStr">
        <is>
          <t>85001</t>
        </is>
      </c>
      <c r="E78" t="inlineStr">
        <is>
          <t>TA-25-897375</t>
        </is>
      </c>
      <c r="F78" t="inlineStr">
        <is>
          <t>3007080709</t>
        </is>
      </c>
      <c r="G78" t="inlineStr">
        <is>
          <t>APERTURA</t>
        </is>
      </c>
      <c r="H78" t="inlineStr">
        <is>
          <t>CB CRECIMIENTO - NUEVO</t>
        </is>
      </c>
      <c r="I78" t="inlineStr">
        <is>
          <t>CASANARE</t>
        </is>
      </c>
      <c r="J78" t="inlineStr">
        <is>
          <t>YOPAL</t>
        </is>
      </c>
      <c r="K78" t="inlineStr">
        <is>
          <t>BARRIO LA ESPERANZA YOPAL 6</t>
        </is>
      </c>
      <c r="L78" t="inlineStr">
        <is>
          <t>BANCOLOMBIA</t>
        </is>
      </c>
      <c r="M78" t="inlineStr">
        <is>
          <t>FO-25-1293877</t>
        </is>
      </c>
      <c r="N78" s="46" t="n">
        <v>45866.775</v>
      </c>
      <c r="O78" s="46" t="n">
        <v>45870.49652777778</v>
      </c>
      <c r="P78" t="inlineStr">
        <is>
          <t>UNO A UNO</t>
        </is>
      </c>
      <c r="Q78" t="inlineStr">
        <is>
          <t>UNO A UNO</t>
        </is>
      </c>
      <c r="R78" t="inlineStr">
        <is>
          <t>EJECUTADO</t>
        </is>
      </c>
      <c r="S78" t="inlineStr">
        <is>
          <t>VISITA TECNICA</t>
        </is>
      </c>
      <c r="T78" t="inlineStr">
        <is>
          <t>V8ZZZ402</t>
        </is>
      </c>
      <c r="U78" t="inlineStr">
        <is>
          <t>TIPO I</t>
        </is>
      </c>
      <c r="V78" t="inlineStr">
        <is>
          <t>TERRESTRE</t>
        </is>
      </c>
      <c r="W78" t="inlineStr">
        <is>
          <t>BERNAL ELAICA EDGAR ALEXIS</t>
        </is>
      </c>
      <c r="X78" t="inlineStr">
        <is>
          <t>Si</t>
        </is>
      </c>
      <c r="Y78" t="inlineStr">
        <is>
          <t>Si</t>
        </is>
      </c>
      <c r="Z78" s="45" t="n">
        <v>0</v>
      </c>
      <c r="AA78" t="inlineStr">
        <is>
          <t>0</t>
        </is>
      </c>
      <c r="AB78" s="45" t="n">
        <v>194983</v>
      </c>
      <c r="AC78" s="45" t="n">
        <v>0</v>
      </c>
    </row>
    <row r="79">
      <c r="A79" t="inlineStr">
        <is>
          <t>YOPAL</t>
        </is>
      </c>
      <c r="B79" t="inlineStr">
        <is>
          <t>REMOTAS</t>
        </is>
      </c>
      <c r="C79" t="inlineStr">
        <is>
          <t>0004-0007</t>
        </is>
      </c>
      <c r="D79" t="inlineStr">
        <is>
          <t>85001</t>
        </is>
      </c>
      <c r="E79" t="inlineStr">
        <is>
          <t>TA-25-904061</t>
        </is>
      </c>
      <c r="F79" t="inlineStr">
        <is>
          <t>3007080764</t>
        </is>
      </c>
      <c r="G79" t="inlineStr">
        <is>
          <t>APERTURA</t>
        </is>
      </c>
      <c r="H79" t="inlineStr">
        <is>
          <t>CB CRECIMIENTO - NUEVO</t>
        </is>
      </c>
      <c r="I79" t="inlineStr">
        <is>
          <t>CASANARE</t>
        </is>
      </c>
      <c r="J79" t="inlineStr">
        <is>
          <t>YOPAL</t>
        </is>
      </c>
      <c r="K79" t="inlineStr">
        <is>
          <t>BARRIO EL GALVAN YOPAL</t>
        </is>
      </c>
      <c r="L79" t="inlineStr">
        <is>
          <t>BANCOLOMBIA</t>
        </is>
      </c>
      <c r="M79" t="inlineStr">
        <is>
          <t>FO-25-1304963</t>
        </is>
      </c>
      <c r="N79" s="46" t="n">
        <v>45868.28611111111</v>
      </c>
      <c r="O79" s="46" t="n">
        <v>45870.29166666666</v>
      </c>
      <c r="P79" t="inlineStr">
        <is>
          <t>UNO A UNO</t>
        </is>
      </c>
      <c r="Q79" t="inlineStr">
        <is>
          <t>UNO A UNO</t>
        </is>
      </c>
      <c r="R79" t="inlineStr">
        <is>
          <t>EJECUTADO</t>
        </is>
      </c>
      <c r="S79" t="inlineStr">
        <is>
          <t>VISITA TECNICA</t>
        </is>
      </c>
      <c r="T79" t="inlineStr">
        <is>
          <t>VAZZZ359</t>
        </is>
      </c>
      <c r="U79" t="inlineStr">
        <is>
          <t>TIPO I</t>
        </is>
      </c>
      <c r="V79" t="inlineStr">
        <is>
          <t>TERRESTRE</t>
        </is>
      </c>
      <c r="W79" t="inlineStr">
        <is>
          <t>BERNAL ELAICA EDGAR ALEXIS</t>
        </is>
      </c>
      <c r="X79" t="inlineStr">
        <is>
          <t>Si</t>
        </is>
      </c>
      <c r="Y79" t="inlineStr">
        <is>
          <t>Si</t>
        </is>
      </c>
      <c r="Z79" s="45" t="n">
        <v>0</v>
      </c>
      <c r="AA79" t="inlineStr">
        <is>
          <t>0</t>
        </is>
      </c>
      <c r="AB79" s="45" t="n">
        <v>194983</v>
      </c>
      <c r="AC79" s="45" t="n">
        <v>0</v>
      </c>
    </row>
    <row r="80">
      <c r="A80" t="inlineStr">
        <is>
          <t>YOPAL</t>
        </is>
      </c>
      <c r="B80" t="inlineStr">
        <is>
          <t>REMOTAS</t>
        </is>
      </c>
      <c r="C80" t="inlineStr">
        <is>
          <t>0004-0007</t>
        </is>
      </c>
      <c r="D80" t="inlineStr">
        <is>
          <t>85162</t>
        </is>
      </c>
      <c r="E80" t="inlineStr">
        <is>
          <t>TA-25-904063</t>
        </is>
      </c>
      <c r="F80" t="inlineStr">
        <is>
          <t>3007080742</t>
        </is>
      </c>
      <c r="G80" t="inlineStr">
        <is>
          <t>APERTURA</t>
        </is>
      </c>
      <c r="H80" t="inlineStr">
        <is>
          <t>CB CRECIMIENTO - NUEVO</t>
        </is>
      </c>
      <c r="I80" t="inlineStr">
        <is>
          <t>CASANARE</t>
        </is>
      </c>
      <c r="J80" t="inlineStr">
        <is>
          <t>MONTERREY</t>
        </is>
      </c>
      <c r="K80" t="inlineStr">
        <is>
          <t>BARRIO ALCARAVANES MONTERREY 1</t>
        </is>
      </c>
      <c r="L80" t="inlineStr">
        <is>
          <t>BANCOLOMBIA</t>
        </is>
      </c>
      <c r="M80" t="inlineStr">
        <is>
          <t>FO-25-1304972</t>
        </is>
      </c>
      <c r="N80" s="46" t="n">
        <v>45868.28611111111</v>
      </c>
      <c r="O80" s="46" t="n">
        <v>45874.65625</v>
      </c>
      <c r="P80" t="inlineStr">
        <is>
          <t>UNO A UNO</t>
        </is>
      </c>
      <c r="Q80" t="inlineStr">
        <is>
          <t>UNO A UNO</t>
        </is>
      </c>
      <c r="R80" t="inlineStr">
        <is>
          <t>EJECUTADO</t>
        </is>
      </c>
      <c r="S80" t="inlineStr">
        <is>
          <t>VISITA TECNICA</t>
        </is>
      </c>
      <c r="T80" t="inlineStr">
        <is>
          <t>VAZZZ361</t>
        </is>
      </c>
      <c r="U80" t="inlineStr">
        <is>
          <t>TIPO II</t>
        </is>
      </c>
      <c r="V80" t="inlineStr">
        <is>
          <t>TERRESTRE</t>
        </is>
      </c>
      <c r="W80" t="inlineStr">
        <is>
          <t>BERNAL ELAICA EDGAR ALEXIS</t>
        </is>
      </c>
      <c r="X80" t="inlineStr">
        <is>
          <t>Si</t>
        </is>
      </c>
      <c r="Y80" t="inlineStr">
        <is>
          <t>Si</t>
        </is>
      </c>
      <c r="Z80" s="45" t="n">
        <v>0</v>
      </c>
      <c r="AA80" t="inlineStr">
        <is>
          <t>0</t>
        </is>
      </c>
      <c r="AB80" s="45" t="n">
        <v>248376</v>
      </c>
      <c r="AC80" s="45" t="n">
        <v>0</v>
      </c>
    </row>
    <row r="81">
      <c r="A81" t="inlineStr">
        <is>
          <t>TUNJA</t>
        </is>
      </c>
      <c r="B81" t="inlineStr">
        <is>
          <t>SANTANDERES</t>
        </is>
      </c>
      <c r="C81" t="inlineStr">
        <is>
          <t>0004-0008</t>
        </is>
      </c>
      <c r="D81" t="inlineStr">
        <is>
          <t>15464</t>
        </is>
      </c>
      <c r="E81" t="inlineStr">
        <is>
          <t>TA-25-904065</t>
        </is>
      </c>
      <c r="F81" t="inlineStr">
        <is>
          <t>3007080720</t>
        </is>
      </c>
      <c r="G81" t="inlineStr">
        <is>
          <t>APERTURA</t>
        </is>
      </c>
      <c r="H81" t="inlineStr">
        <is>
          <t>CB CRECIMIENTO - NUEVO</t>
        </is>
      </c>
      <c r="I81" t="inlineStr">
        <is>
          <t>BOYACA</t>
        </is>
      </c>
      <c r="J81" t="inlineStr">
        <is>
          <t>MONGUA</t>
        </is>
      </c>
      <c r="K81" t="inlineStr">
        <is>
          <t>BARRIO CENTRO MONGUA 1</t>
        </is>
      </c>
      <c r="L81" t="inlineStr">
        <is>
          <t>BANCOLOMBIA</t>
        </is>
      </c>
      <c r="M81" t="inlineStr">
        <is>
          <t>FO-25-1304982</t>
        </is>
      </c>
      <c r="N81" s="46" t="n">
        <v>45868.59861111111</v>
      </c>
      <c r="O81" s="46" t="n">
        <v>45873.30694444444</v>
      </c>
      <c r="P81" t="inlineStr">
        <is>
          <t>UNO A UNO</t>
        </is>
      </c>
      <c r="Q81" t="inlineStr">
        <is>
          <t>UNO A UNO</t>
        </is>
      </c>
      <c r="R81" t="inlineStr">
        <is>
          <t>EJECUTADO</t>
        </is>
      </c>
      <c r="S81" t="inlineStr">
        <is>
          <t>VISITA TECNICA</t>
        </is>
      </c>
      <c r="T81" t="inlineStr">
        <is>
          <t>VAZZZ363</t>
        </is>
      </c>
      <c r="U81" t="inlineStr">
        <is>
          <t>TIPO II</t>
        </is>
      </c>
      <c r="V81" t="inlineStr">
        <is>
          <t>TERRESTRE</t>
        </is>
      </c>
      <c r="W81" t="inlineStr">
        <is>
          <t>SOLER HOYOS CRISTIAN LEONARDO</t>
        </is>
      </c>
      <c r="X81" t="inlineStr">
        <is>
          <t>Si</t>
        </is>
      </c>
      <c r="Y81" t="inlineStr">
        <is>
          <t>Si</t>
        </is>
      </c>
      <c r="Z81" s="45" t="n">
        <v>0</v>
      </c>
      <c r="AA81" t="inlineStr">
        <is>
          <t>0</t>
        </is>
      </c>
      <c r="AB81" s="45" t="n">
        <v>248376</v>
      </c>
      <c r="AC81" s="45" t="n">
        <v>0</v>
      </c>
    </row>
    <row r="82">
      <c r="A82" t="inlineStr">
        <is>
          <t>NEIVA</t>
        </is>
      </c>
      <c r="B82" t="inlineStr">
        <is>
          <t>REMOTAS</t>
        </is>
      </c>
      <c r="C82" t="inlineStr">
        <is>
          <t>0004-0007</t>
        </is>
      </c>
      <c r="D82" t="inlineStr">
        <is>
          <t>41306</t>
        </is>
      </c>
      <c r="E82" t="inlineStr">
        <is>
          <t>TA-25-904066</t>
        </is>
      </c>
      <c r="F82" t="inlineStr">
        <is>
          <t>3007080736</t>
        </is>
      </c>
      <c r="G82" t="inlineStr">
        <is>
          <t>APERTURA</t>
        </is>
      </c>
      <c r="H82" t="inlineStr">
        <is>
          <t>CB CRECIMIENTO - NUEVO</t>
        </is>
      </c>
      <c r="I82" t="inlineStr">
        <is>
          <t>HUILA</t>
        </is>
      </c>
      <c r="J82" t="inlineStr">
        <is>
          <t>GIGANTE</t>
        </is>
      </c>
      <c r="K82" t="inlineStr">
        <is>
          <t>BARRIO CENTRO GIGANTE  6</t>
        </is>
      </c>
      <c r="L82" t="inlineStr">
        <is>
          <t>BANCOLOMBIA</t>
        </is>
      </c>
      <c r="M82" t="inlineStr">
        <is>
          <t>FO-25-1304987</t>
        </is>
      </c>
      <c r="N82" s="46" t="n">
        <v>45868.28611111111</v>
      </c>
      <c r="O82" s="46" t="n">
        <v>45873.30972222222</v>
      </c>
      <c r="P82" t="inlineStr">
        <is>
          <t>UNO A UNO</t>
        </is>
      </c>
      <c r="Q82" t="inlineStr">
        <is>
          <t>UNO A UNO</t>
        </is>
      </c>
      <c r="R82" t="inlineStr">
        <is>
          <t>EJECUTADO</t>
        </is>
      </c>
      <c r="S82" t="inlineStr">
        <is>
          <t>VISITA TECNICA</t>
        </is>
      </c>
      <c r="T82" t="inlineStr">
        <is>
          <t>VAZZZ364</t>
        </is>
      </c>
      <c r="U82" t="inlineStr">
        <is>
          <t>TIPO II</t>
        </is>
      </c>
      <c r="V82" t="inlineStr">
        <is>
          <t>TERRESTRE</t>
        </is>
      </c>
      <c r="W82" t="inlineStr">
        <is>
          <t>DIAZ VARGAS JONATHAN MIGUEL</t>
        </is>
      </c>
      <c r="X82" t="inlineStr">
        <is>
          <t>Si</t>
        </is>
      </c>
      <c r="Y82" t="inlineStr">
        <is>
          <t>Si</t>
        </is>
      </c>
      <c r="Z82" s="45" t="n">
        <v>0</v>
      </c>
      <c r="AA82" t="inlineStr">
        <is>
          <t>0</t>
        </is>
      </c>
      <c r="AB82" s="45" t="n">
        <v>248376</v>
      </c>
      <c r="AC82" s="45" t="n">
        <v>0</v>
      </c>
    </row>
    <row r="83">
      <c r="A83" t="inlineStr">
        <is>
          <t>CUCUTA</t>
        </is>
      </c>
      <c r="B83" t="inlineStr">
        <is>
          <t>SANTANDERES</t>
        </is>
      </c>
      <c r="C83" t="inlineStr">
        <is>
          <t>0004-0008</t>
        </is>
      </c>
      <c r="D83" t="inlineStr">
        <is>
          <t>54001</t>
        </is>
      </c>
      <c r="E83" t="inlineStr">
        <is>
          <t>TA-25-904067</t>
        </is>
      </c>
      <c r="F83" t="inlineStr">
        <is>
          <t>3007080729</t>
        </is>
      </c>
      <c r="G83" t="inlineStr">
        <is>
          <t>APERTURA</t>
        </is>
      </c>
      <c r="H83" t="inlineStr">
        <is>
          <t>CB CRECIMIENTO - NUEVO</t>
        </is>
      </c>
      <c r="I83" t="inlineStr">
        <is>
          <t>NORTE DE SANTANDER</t>
        </is>
      </c>
      <c r="J83" t="inlineStr">
        <is>
          <t>CUCUTA</t>
        </is>
      </c>
      <c r="K83" t="inlineStr">
        <is>
          <t>BARRIO EL CENTRO CUCUTA 86</t>
        </is>
      </c>
      <c r="L83" t="inlineStr">
        <is>
          <t>BANCOLOMBIA</t>
        </is>
      </c>
      <c r="M83" t="inlineStr">
        <is>
          <t>FO-25-1304991</t>
        </is>
      </c>
      <c r="N83" s="46" t="n">
        <v>45868.59861111111</v>
      </c>
      <c r="O83" s="46" t="n">
        <v>45870.30347222222</v>
      </c>
      <c r="P83" t="inlineStr">
        <is>
          <t>UNO A UNO</t>
        </is>
      </c>
      <c r="Q83" t="inlineStr">
        <is>
          <t>UNO A UNO</t>
        </is>
      </c>
      <c r="R83" t="inlineStr">
        <is>
          <t>EJECUTADO</t>
        </is>
      </c>
      <c r="S83" t="inlineStr">
        <is>
          <t>VISITA TECNICA</t>
        </is>
      </c>
      <c r="T83" t="inlineStr">
        <is>
          <t>VAZZZ365</t>
        </is>
      </c>
      <c r="U83" t="inlineStr">
        <is>
          <t>TIPO I</t>
        </is>
      </c>
      <c r="V83" t="inlineStr">
        <is>
          <t>TERRESTRE</t>
        </is>
      </c>
      <c r="W83" t="inlineStr">
        <is>
          <t>NARANJO AFANADOR RUBEN JESUS</t>
        </is>
      </c>
      <c r="X83" t="inlineStr">
        <is>
          <t>Si</t>
        </is>
      </c>
      <c r="Y83" t="inlineStr">
        <is>
          <t>Si</t>
        </is>
      </c>
      <c r="Z83" s="45" t="n">
        <v>0</v>
      </c>
      <c r="AA83" t="inlineStr">
        <is>
          <t>0</t>
        </is>
      </c>
      <c r="AB83" s="45" t="n">
        <v>194983</v>
      </c>
      <c r="AC83" s="45" t="n">
        <v>0</v>
      </c>
    </row>
    <row r="84">
      <c r="A84" t="inlineStr">
        <is>
          <t>CUCUTA</t>
        </is>
      </c>
      <c r="B84" t="inlineStr">
        <is>
          <t>SANTANDERES</t>
        </is>
      </c>
      <c r="C84" t="inlineStr">
        <is>
          <t>0004-0008</t>
        </is>
      </c>
      <c r="D84" t="inlineStr">
        <is>
          <t>54001</t>
        </is>
      </c>
      <c r="E84" t="inlineStr">
        <is>
          <t>TA-25-904069</t>
        </is>
      </c>
      <c r="F84" t="inlineStr">
        <is>
          <t>3007080728</t>
        </is>
      </c>
      <c r="G84" t="inlineStr">
        <is>
          <t>APERTURA</t>
        </is>
      </c>
      <c r="H84" t="inlineStr">
        <is>
          <t>CB CRECIMIENTO - NUEVO</t>
        </is>
      </c>
      <c r="I84" t="inlineStr">
        <is>
          <t>NORTE DE SANTANDER</t>
        </is>
      </c>
      <c r="J84" t="inlineStr">
        <is>
          <t>CUCUTA</t>
        </is>
      </c>
      <c r="K84" t="inlineStr">
        <is>
          <t>BARRIO TRIGAL DEL NORTE CUCUTA 9</t>
        </is>
      </c>
      <c r="L84" t="inlineStr">
        <is>
          <t>BANCOLOMBIA</t>
        </is>
      </c>
      <c r="M84" t="inlineStr">
        <is>
          <t>FO-25-1305001</t>
        </is>
      </c>
      <c r="N84" s="46" t="n">
        <v>45868.59861111111</v>
      </c>
      <c r="O84" s="46" t="n">
        <v>45870.30625</v>
      </c>
      <c r="P84" t="inlineStr">
        <is>
          <t>UNO A UNO</t>
        </is>
      </c>
      <c r="Q84" t="inlineStr">
        <is>
          <t>UNO A UNO</t>
        </is>
      </c>
      <c r="R84" t="inlineStr">
        <is>
          <t>EJECUTADO</t>
        </is>
      </c>
      <c r="S84" t="inlineStr">
        <is>
          <t>VISITA TECNICA</t>
        </is>
      </c>
      <c r="T84" t="inlineStr">
        <is>
          <t>VAZZZ367</t>
        </is>
      </c>
      <c r="U84" t="inlineStr">
        <is>
          <t>TIPO I</t>
        </is>
      </c>
      <c r="V84" t="inlineStr">
        <is>
          <t>TERRESTRE</t>
        </is>
      </c>
      <c r="W84" t="inlineStr">
        <is>
          <t>DURAN ACOSTA FRANK YONNY</t>
        </is>
      </c>
      <c r="X84" t="inlineStr">
        <is>
          <t>Si</t>
        </is>
      </c>
      <c r="Y84" t="inlineStr">
        <is>
          <t>Si</t>
        </is>
      </c>
      <c r="Z84" s="45" t="n">
        <v>0</v>
      </c>
      <c r="AA84" t="inlineStr">
        <is>
          <t>0</t>
        </is>
      </c>
      <c r="AB84" s="45" t="n">
        <v>194983</v>
      </c>
      <c r="AC84" s="45" t="n">
        <v>0</v>
      </c>
    </row>
    <row r="85">
      <c r="A85" t="inlineStr">
        <is>
          <t>CALI</t>
        </is>
      </c>
      <c r="B85" t="inlineStr">
        <is>
          <t>SUROCCIDENTE Y EJE CAFETERO</t>
        </is>
      </c>
      <c r="C85" t="inlineStr">
        <is>
          <t>0004-0003</t>
        </is>
      </c>
      <c r="D85" t="inlineStr">
        <is>
          <t>19212</t>
        </is>
      </c>
      <c r="E85" t="inlineStr">
        <is>
          <t>TA-25-904070</t>
        </is>
      </c>
      <c r="F85" t="inlineStr">
        <is>
          <t>3007080727</t>
        </is>
      </c>
      <c r="G85" t="inlineStr">
        <is>
          <t>APERTURA</t>
        </is>
      </c>
      <c r="H85" t="inlineStr">
        <is>
          <t>CB CRECIMIENTO - NUEVO</t>
        </is>
      </c>
      <c r="I85" t="inlineStr">
        <is>
          <t>CAUCA</t>
        </is>
      </c>
      <c r="J85" t="inlineStr">
        <is>
          <t>CORINTO</t>
        </is>
      </c>
      <c r="K85" t="inlineStr">
        <is>
          <t>BARRIO CENTRO CORINTO 9</t>
        </is>
      </c>
      <c r="L85" t="inlineStr">
        <is>
          <t>BANCOLOMBIA</t>
        </is>
      </c>
      <c r="M85" t="inlineStr">
        <is>
          <t>FO-25-1305008</t>
        </is>
      </c>
      <c r="N85" s="46" t="n">
        <v>45868.69722222222</v>
      </c>
      <c r="O85" s="46" t="n">
        <v>45870.64166666667</v>
      </c>
      <c r="P85" t="inlineStr">
        <is>
          <t>UNO A UNO</t>
        </is>
      </c>
      <c r="Q85" t="inlineStr">
        <is>
          <t>UNO A UNO</t>
        </is>
      </c>
      <c r="R85" t="inlineStr">
        <is>
          <t>EJECUTADO</t>
        </is>
      </c>
      <c r="S85" t="inlineStr">
        <is>
          <t>VISITA TECNICA</t>
        </is>
      </c>
      <c r="T85" t="inlineStr">
        <is>
          <t>VAZZZ368</t>
        </is>
      </c>
      <c r="U85" t="inlineStr">
        <is>
          <t>TIPO III</t>
        </is>
      </c>
      <c r="V85" t="inlineStr">
        <is>
          <t>TERRESTRE</t>
        </is>
      </c>
      <c r="W85" t="inlineStr">
        <is>
          <t>PAREDES CASTILLO DIEGO</t>
        </is>
      </c>
      <c r="X85" t="inlineStr">
        <is>
          <t>Si</t>
        </is>
      </c>
      <c r="Y85" t="inlineStr">
        <is>
          <t>Si</t>
        </is>
      </c>
      <c r="Z85" s="45" t="n">
        <v>0</v>
      </c>
      <c r="AA85" t="inlineStr">
        <is>
          <t>0</t>
        </is>
      </c>
      <c r="AB85" s="45" t="n">
        <v>248376</v>
      </c>
      <c r="AC85" s="45" t="n">
        <v>0</v>
      </c>
    </row>
    <row r="86">
      <c r="A86" t="inlineStr">
        <is>
          <t>CALI</t>
        </is>
      </c>
      <c r="B86" t="inlineStr">
        <is>
          <t>SUROCCIDENTE Y EJE CAFETERO</t>
        </is>
      </c>
      <c r="C86" t="inlineStr">
        <is>
          <t>0004-0003</t>
        </is>
      </c>
      <c r="D86" t="inlineStr">
        <is>
          <t>76001</t>
        </is>
      </c>
      <c r="E86" t="inlineStr">
        <is>
          <t>TA-25-904071</t>
        </is>
      </c>
      <c r="F86" t="inlineStr">
        <is>
          <t>3007080724</t>
        </is>
      </c>
      <c r="G86" t="inlineStr">
        <is>
          <t>APERTURA</t>
        </is>
      </c>
      <c r="H86" t="inlineStr">
        <is>
          <t>CB CRECIMIENTO - NUEVO</t>
        </is>
      </c>
      <c r="I86" t="inlineStr">
        <is>
          <t>VALLE DEL CAUCA</t>
        </is>
      </c>
      <c r="J86" t="inlineStr">
        <is>
          <t>CALI</t>
        </is>
      </c>
      <c r="K86" t="inlineStr">
        <is>
          <t>BARRIO CIUDADELA DEL RIO CALI 2</t>
        </is>
      </c>
      <c r="L86" t="inlineStr">
        <is>
          <t>BANCOLOMBIA</t>
        </is>
      </c>
      <c r="M86" t="inlineStr">
        <is>
          <t>FO-25-1305012</t>
        </is>
      </c>
      <c r="N86" s="46" t="n">
        <v>45868.69930555556</v>
      </c>
      <c r="O86" s="46" t="n">
        <v>45873.38888888889</v>
      </c>
      <c r="P86" t="inlineStr">
        <is>
          <t>UNO A UNO</t>
        </is>
      </c>
      <c r="Q86" t="inlineStr">
        <is>
          <t>UNO A UNO</t>
        </is>
      </c>
      <c r="R86" t="inlineStr">
        <is>
          <t>EJECUTADO</t>
        </is>
      </c>
      <c r="S86" t="inlineStr">
        <is>
          <t>VISITA TECNICA</t>
        </is>
      </c>
      <c r="T86" t="inlineStr">
        <is>
          <t>VAZZZ369</t>
        </is>
      </c>
      <c r="U86" t="inlineStr">
        <is>
          <t>TIPO I</t>
        </is>
      </c>
      <c r="V86" t="inlineStr">
        <is>
          <t>TERRESTRE</t>
        </is>
      </c>
      <c r="W86" t="inlineStr">
        <is>
          <t>BOLAÑOS TABORDA JORGE ENRIQUE</t>
        </is>
      </c>
      <c r="X86" t="inlineStr">
        <is>
          <t>Si</t>
        </is>
      </c>
      <c r="Y86" t="inlineStr">
        <is>
          <t>Si</t>
        </is>
      </c>
      <c r="Z86" s="45" t="n">
        <v>0</v>
      </c>
      <c r="AA86" t="inlineStr">
        <is>
          <t>0</t>
        </is>
      </c>
      <c r="AB86" s="45" t="n">
        <v>194983</v>
      </c>
      <c r="AC86" s="45" t="n">
        <v>0</v>
      </c>
    </row>
    <row r="87">
      <c r="A87" t="inlineStr">
        <is>
          <t>MEDELLIN</t>
        </is>
      </c>
      <c r="B87" t="inlineStr">
        <is>
          <t>NOROCCIDENTE</t>
        </is>
      </c>
      <c r="C87" t="inlineStr">
        <is>
          <t>0004-0005</t>
        </is>
      </c>
      <c r="D87" t="inlineStr">
        <is>
          <t>5001</t>
        </is>
      </c>
      <c r="E87" t="inlineStr">
        <is>
          <t>TA-25-904072</t>
        </is>
      </c>
      <c r="F87" t="inlineStr">
        <is>
          <t>3007080762</t>
        </is>
      </c>
      <c r="G87" t="inlineStr">
        <is>
          <t>APERTURA</t>
        </is>
      </c>
      <c r="H87" t="inlineStr">
        <is>
          <t>CB CRECIMIENTO - NUEVO</t>
        </is>
      </c>
      <c r="I87" t="inlineStr">
        <is>
          <t>ANTIOQUIA</t>
        </is>
      </c>
      <c r="J87" t="inlineStr">
        <is>
          <t>MEDELLIN</t>
        </is>
      </c>
      <c r="K87" t="inlineStr">
        <is>
          <t>BARRIO BELEN MALIBU MEDELLIN</t>
        </is>
      </c>
      <c r="L87" t="inlineStr">
        <is>
          <t>BANCOLOMBIA</t>
        </is>
      </c>
      <c r="M87" t="inlineStr">
        <is>
          <t>FO-25-1305019</t>
        </is>
      </c>
      <c r="N87" s="46" t="n">
        <v>45868.67222222222</v>
      </c>
      <c r="O87" s="46" t="n">
        <v>45870.64375</v>
      </c>
      <c r="P87" t="inlineStr">
        <is>
          <t>UNO A UNO</t>
        </is>
      </c>
      <c r="Q87" t="inlineStr">
        <is>
          <t>UNO A UNO</t>
        </is>
      </c>
      <c r="R87" t="inlineStr">
        <is>
          <t>EJECUTADO</t>
        </is>
      </c>
      <c r="S87" t="inlineStr">
        <is>
          <t>VISITA TECNICA</t>
        </is>
      </c>
      <c r="T87" t="inlineStr">
        <is>
          <t>VAZZZ370</t>
        </is>
      </c>
      <c r="U87" t="inlineStr">
        <is>
          <t>TIPO I</t>
        </is>
      </c>
      <c r="V87" t="inlineStr">
        <is>
          <t>TERRESTRE</t>
        </is>
      </c>
      <c r="W87" t="inlineStr">
        <is>
          <t>QUINTERO SANCHEZ JUAN SEBASTIAN</t>
        </is>
      </c>
      <c r="X87" t="inlineStr">
        <is>
          <t>Si</t>
        </is>
      </c>
      <c r="Y87" t="inlineStr">
        <is>
          <t>Si</t>
        </is>
      </c>
      <c r="Z87" s="45" t="n">
        <v>0</v>
      </c>
      <c r="AA87" t="inlineStr">
        <is>
          <t>0</t>
        </is>
      </c>
      <c r="AB87" s="45" t="n">
        <v>194983</v>
      </c>
      <c r="AC87" s="45" t="n">
        <v>0</v>
      </c>
    </row>
    <row r="88">
      <c r="A88" t="inlineStr">
        <is>
          <t>PASTO</t>
        </is>
      </c>
      <c r="B88" t="inlineStr">
        <is>
          <t>SUROCCIDENTE Y EJE CAFETERO</t>
        </is>
      </c>
      <c r="C88" t="inlineStr">
        <is>
          <t>0004-0003</t>
        </is>
      </c>
      <c r="D88" t="inlineStr">
        <is>
          <t>52621</t>
        </is>
      </c>
      <c r="E88" t="inlineStr">
        <is>
          <t>TA-25-904073</t>
        </is>
      </c>
      <c r="F88" t="inlineStr">
        <is>
          <t>3007080750</t>
        </is>
      </c>
      <c r="G88" t="inlineStr">
        <is>
          <t>APERTURA</t>
        </is>
      </c>
      <c r="H88" t="inlineStr">
        <is>
          <t>CB CRECIMIENTO - NUEVO</t>
        </is>
      </c>
      <c r="I88" t="inlineStr">
        <is>
          <t>NARIÑO</t>
        </is>
      </c>
      <c r="J88" t="inlineStr">
        <is>
          <t>ROBERTO PAYAN</t>
        </is>
      </c>
      <c r="K88" t="inlineStr">
        <is>
          <t>BARRIO LA PRIMAVERA ROBERTO PAYAN</t>
        </is>
      </c>
      <c r="L88" t="inlineStr">
        <is>
          <t>BANCOLOMBIA</t>
        </is>
      </c>
      <c r="M88" t="inlineStr">
        <is>
          <t>FO-25-1305024</t>
        </is>
      </c>
      <c r="N88" s="46" t="n">
        <v>45868.61944444444</v>
      </c>
      <c r="O88" s="46" t="n">
        <v>45881.58194444444</v>
      </c>
      <c r="P88" t="inlineStr">
        <is>
          <t>UNO A UNO</t>
        </is>
      </c>
      <c r="Q88" t="inlineStr">
        <is>
          <t>UNO A UNO</t>
        </is>
      </c>
      <c r="R88" t="inlineStr">
        <is>
          <t>EJECUTADO</t>
        </is>
      </c>
      <c r="S88" t="inlineStr">
        <is>
          <t>VISITA TECNICA</t>
        </is>
      </c>
      <c r="T88" t="inlineStr">
        <is>
          <t>VAZZZ371</t>
        </is>
      </c>
      <c r="U88" t="inlineStr">
        <is>
          <t>TIPO IV ESPECIAL</t>
        </is>
      </c>
      <c r="V88" t="inlineStr">
        <is>
          <t>FLUVIAL</t>
        </is>
      </c>
      <c r="W88" t="inlineStr">
        <is>
          <t>PAZ MARTINEZ RICHARD HUMBERTO</t>
        </is>
      </c>
      <c r="X88" t="inlineStr">
        <is>
          <t>Si</t>
        </is>
      </c>
      <c r="Y88" t="inlineStr">
        <is>
          <t>Si</t>
        </is>
      </c>
      <c r="Z88" s="45" t="n">
        <v>0</v>
      </c>
      <c r="AA88" t="inlineStr">
        <is>
          <t>0</t>
        </is>
      </c>
      <c r="AB88" s="45" t="n">
        <v>248376</v>
      </c>
      <c r="AC88" s="45" t="n">
        <v>0</v>
      </c>
    </row>
    <row r="89">
      <c r="A89" t="inlineStr">
        <is>
          <t>PASTO</t>
        </is>
      </c>
      <c r="B89" t="inlineStr">
        <is>
          <t>SUROCCIDENTE Y EJE CAFETERO</t>
        </is>
      </c>
      <c r="C89" t="inlineStr">
        <is>
          <t>0004-0003</t>
        </is>
      </c>
      <c r="D89" t="inlineStr">
        <is>
          <t>52585</t>
        </is>
      </c>
      <c r="E89" t="inlineStr">
        <is>
          <t>TA-25-904074</t>
        </is>
      </c>
      <c r="F89" t="inlineStr">
        <is>
          <t>3007080749</t>
        </is>
      </c>
      <c r="G89" t="inlineStr">
        <is>
          <t>APERTURA</t>
        </is>
      </c>
      <c r="H89" t="inlineStr">
        <is>
          <t>CB CRECIMIENTO - NUEVO</t>
        </is>
      </c>
      <c r="I89" t="inlineStr">
        <is>
          <t>NARIÑO</t>
        </is>
      </c>
      <c r="J89" t="inlineStr">
        <is>
          <t>PUPIALES</t>
        </is>
      </c>
      <c r="K89" t="inlineStr">
        <is>
          <t>BARRIO EL CENTRO PUPIALES 1</t>
        </is>
      </c>
      <c r="L89" t="inlineStr">
        <is>
          <t>BANCOLOMBIA</t>
        </is>
      </c>
      <c r="M89" t="inlineStr">
        <is>
          <t>FO-25-1305027</t>
        </is>
      </c>
      <c r="N89" s="46" t="n">
        <v>45868.70555555556</v>
      </c>
      <c r="O89" s="46" t="n">
        <v>45873.39027777778</v>
      </c>
      <c r="P89" t="inlineStr">
        <is>
          <t>UNO A UNO</t>
        </is>
      </c>
      <c r="Q89" t="inlineStr">
        <is>
          <t>UNO A UNO</t>
        </is>
      </c>
      <c r="R89" t="inlineStr">
        <is>
          <t>EJECUTADO</t>
        </is>
      </c>
      <c r="S89" t="inlineStr">
        <is>
          <t>VISITA TECNICA</t>
        </is>
      </c>
      <c r="T89" t="inlineStr">
        <is>
          <t>VAZZZ372</t>
        </is>
      </c>
      <c r="U89" t="inlineStr">
        <is>
          <t>TIPO II</t>
        </is>
      </c>
      <c r="V89" t="inlineStr">
        <is>
          <t>TERRESTRE</t>
        </is>
      </c>
      <c r="W89" t="inlineStr">
        <is>
          <t>REMICIO AMADO JOHN HEBER</t>
        </is>
      </c>
      <c r="X89" t="inlineStr">
        <is>
          <t>Si</t>
        </is>
      </c>
      <c r="Y89" t="inlineStr">
        <is>
          <t>Si</t>
        </is>
      </c>
      <c r="Z89" s="45" t="n">
        <v>0</v>
      </c>
      <c r="AA89" t="inlineStr">
        <is>
          <t>0</t>
        </is>
      </c>
      <c r="AB89" s="45" t="n">
        <v>248376</v>
      </c>
      <c r="AC89" s="45" t="n">
        <v>0</v>
      </c>
    </row>
    <row r="90">
      <c r="A90" t="inlineStr">
        <is>
          <t>PASTO</t>
        </is>
      </c>
      <c r="B90" t="inlineStr">
        <is>
          <t>SUROCCIDENTE Y EJE CAFETERO</t>
        </is>
      </c>
      <c r="C90" t="inlineStr">
        <is>
          <t>0004-0003</t>
        </is>
      </c>
      <c r="D90" t="inlineStr">
        <is>
          <t>52427</t>
        </is>
      </c>
      <c r="E90" t="inlineStr">
        <is>
          <t>TA-25-904075</t>
        </is>
      </c>
      <c r="F90" t="inlineStr">
        <is>
          <t>3007080739</t>
        </is>
      </c>
      <c r="G90" t="inlineStr">
        <is>
          <t>APERTURA</t>
        </is>
      </c>
      <c r="H90" t="inlineStr">
        <is>
          <t>CB CRECIMIENTO - NUEVO</t>
        </is>
      </c>
      <c r="I90" t="inlineStr">
        <is>
          <t>NARIÑO</t>
        </is>
      </c>
      <c r="J90" t="inlineStr">
        <is>
          <t>MAGUI</t>
        </is>
      </c>
      <c r="K90" t="inlineStr">
        <is>
          <t>BARRIO LA CALLE  CUATE MAGUI</t>
        </is>
      </c>
      <c r="L90" t="inlineStr">
        <is>
          <t>BANCOLOMBIA</t>
        </is>
      </c>
      <c r="M90" t="inlineStr">
        <is>
          <t>FO-25-1305033</t>
        </is>
      </c>
      <c r="N90" s="46" t="n">
        <v>45868.61805555555</v>
      </c>
      <c r="O90" s="46" t="n">
        <v>45882.63541666666</v>
      </c>
      <c r="P90" t="inlineStr">
        <is>
          <t>UNO A UNO</t>
        </is>
      </c>
      <c r="Q90" t="inlineStr">
        <is>
          <t>UNO A UNO</t>
        </is>
      </c>
      <c r="R90" t="inlineStr">
        <is>
          <t>EJECUTADO</t>
        </is>
      </c>
      <c r="S90" t="inlineStr">
        <is>
          <t>VISITA TECNICA</t>
        </is>
      </c>
      <c r="T90" t="inlineStr">
        <is>
          <t>VAZZZ373</t>
        </is>
      </c>
      <c r="U90" t="inlineStr">
        <is>
          <t>TIPO IV ESPECIAL</t>
        </is>
      </c>
      <c r="V90" t="inlineStr">
        <is>
          <t>FLUVIAL</t>
        </is>
      </c>
      <c r="W90" t="inlineStr">
        <is>
          <t>PAZ MARTINEZ RICHARD HUMBERTO</t>
        </is>
      </c>
      <c r="X90" t="inlineStr">
        <is>
          <t>Si</t>
        </is>
      </c>
      <c r="Y90" t="inlineStr">
        <is>
          <t>Si</t>
        </is>
      </c>
      <c r="Z90" s="45" t="n">
        <v>0</v>
      </c>
      <c r="AA90" t="inlineStr">
        <is>
          <t>0</t>
        </is>
      </c>
      <c r="AB90" s="45" t="n">
        <v>248376</v>
      </c>
      <c r="AC90" s="45" t="n">
        <v>0</v>
      </c>
    </row>
    <row r="91">
      <c r="A91" t="inlineStr">
        <is>
          <t>MEDELLIN</t>
        </is>
      </c>
      <c r="B91" t="inlineStr">
        <is>
          <t>NOROCCIDENTE</t>
        </is>
      </c>
      <c r="C91" t="inlineStr">
        <is>
          <t>0004-0005</t>
        </is>
      </c>
      <c r="D91" t="inlineStr">
        <is>
          <t>5001</t>
        </is>
      </c>
      <c r="E91" t="inlineStr">
        <is>
          <t>TA-25-904086</t>
        </is>
      </c>
      <c r="F91" t="inlineStr">
        <is>
          <t>3007080763</t>
        </is>
      </c>
      <c r="G91" t="inlineStr">
        <is>
          <t>APERTURA</t>
        </is>
      </c>
      <c r="H91" t="inlineStr">
        <is>
          <t>CB CRECIMIENTO - NUEVO</t>
        </is>
      </c>
      <c r="I91" t="inlineStr">
        <is>
          <t>ANTIOQUIA</t>
        </is>
      </c>
      <c r="J91" t="inlineStr">
        <is>
          <t>MEDELLIN</t>
        </is>
      </c>
      <c r="K91" t="inlineStr">
        <is>
          <t>BARRIO BELEN MEDELLIN 17</t>
        </is>
      </c>
      <c r="L91" t="inlineStr">
        <is>
          <t>BANCOLOMBIA</t>
        </is>
      </c>
      <c r="M91" t="inlineStr">
        <is>
          <t>FO-25-1305052</t>
        </is>
      </c>
      <c r="N91" s="46" t="n">
        <v>45868.67291666667</v>
      </c>
      <c r="O91" s="46" t="n">
        <v>45870.49027777778</v>
      </c>
      <c r="P91" t="inlineStr">
        <is>
          <t>UNO A UNO</t>
        </is>
      </c>
      <c r="Q91" t="inlineStr">
        <is>
          <t>UNO A UNO</t>
        </is>
      </c>
      <c r="R91" t="inlineStr">
        <is>
          <t>EJECUTADO</t>
        </is>
      </c>
      <c r="S91" t="inlineStr">
        <is>
          <t>VISITA TECNICA</t>
        </is>
      </c>
      <c r="T91" t="inlineStr">
        <is>
          <t>VAZZZ377</t>
        </is>
      </c>
      <c r="U91" t="inlineStr">
        <is>
          <t>TIPO I</t>
        </is>
      </c>
      <c r="V91" t="inlineStr">
        <is>
          <t>TERRESTRE</t>
        </is>
      </c>
      <c r="W91" t="inlineStr">
        <is>
          <t>QUINTERO SANCHEZ JUAN SEBASTIAN</t>
        </is>
      </c>
      <c r="X91" t="inlineStr">
        <is>
          <t>Si</t>
        </is>
      </c>
      <c r="Y91" t="inlineStr">
        <is>
          <t>Si</t>
        </is>
      </c>
      <c r="Z91" s="45" t="n">
        <v>0</v>
      </c>
      <c r="AA91" t="inlineStr">
        <is>
          <t>0</t>
        </is>
      </c>
      <c r="AB91" s="45" t="n">
        <v>194983</v>
      </c>
      <c r="AC91" s="45" t="n">
        <v>0</v>
      </c>
    </row>
    <row r="92">
      <c r="A92" t="inlineStr">
        <is>
          <t>VILLAVICENCIO</t>
        </is>
      </c>
      <c r="B92" t="inlineStr">
        <is>
          <t>REMOTAS</t>
        </is>
      </c>
      <c r="C92" t="inlineStr">
        <is>
          <t>0004-0007</t>
        </is>
      </c>
      <c r="D92" t="inlineStr">
        <is>
          <t>50313</t>
        </is>
      </c>
      <c r="E92" t="inlineStr">
        <is>
          <t>TA-25-904088</t>
        </is>
      </c>
      <c r="F92" t="inlineStr">
        <is>
          <t>3007080737</t>
        </is>
      </c>
      <c r="G92" t="inlineStr">
        <is>
          <t>APERTURA</t>
        </is>
      </c>
      <c r="H92" t="inlineStr">
        <is>
          <t>CB CRECIMIENTO - NUEVO</t>
        </is>
      </c>
      <c r="I92" t="inlineStr">
        <is>
          <t>META</t>
        </is>
      </c>
      <c r="J92" t="inlineStr">
        <is>
          <t>GRANADA</t>
        </is>
      </c>
      <c r="K92" t="inlineStr">
        <is>
          <t>BARRIO CENTRO GRANADA  1</t>
        </is>
      </c>
      <c r="L92" t="inlineStr">
        <is>
          <t>BANCOLOMBIA</t>
        </is>
      </c>
      <c r="M92" t="inlineStr">
        <is>
          <t>FO-25-1305055</t>
        </is>
      </c>
      <c r="N92" s="46" t="n">
        <v>45868.28611111111</v>
      </c>
      <c r="O92" s="46" t="n">
        <v>45870.53055555555</v>
      </c>
      <c r="P92" t="inlineStr">
        <is>
          <t>UNO A UNO</t>
        </is>
      </c>
      <c r="Q92" t="inlineStr">
        <is>
          <t>UNO A UNO</t>
        </is>
      </c>
      <c r="R92" t="inlineStr">
        <is>
          <t>EJECUTADO</t>
        </is>
      </c>
      <c r="S92" t="inlineStr">
        <is>
          <t>VISITA TECNICA</t>
        </is>
      </c>
      <c r="T92" t="inlineStr">
        <is>
          <t>VAZZZ378</t>
        </is>
      </c>
      <c r="U92" t="inlineStr">
        <is>
          <t>TIPO II</t>
        </is>
      </c>
      <c r="V92" t="inlineStr">
        <is>
          <t>TERRESTRE</t>
        </is>
      </c>
      <c r="W92" t="inlineStr">
        <is>
          <t>ROZO JIMENEZ EDGAR ARMANDO</t>
        </is>
      </c>
      <c r="X92" t="inlineStr">
        <is>
          <t>Si</t>
        </is>
      </c>
      <c r="Y92" t="inlineStr">
        <is>
          <t>Si</t>
        </is>
      </c>
      <c r="Z92" s="45" t="n">
        <v>0</v>
      </c>
      <c r="AA92" t="inlineStr">
        <is>
          <t>0</t>
        </is>
      </c>
      <c r="AB92" s="45" t="n">
        <v>248376</v>
      </c>
      <c r="AC92" s="45" t="n">
        <v>0</v>
      </c>
    </row>
    <row r="93">
      <c r="A93" t="inlineStr">
        <is>
          <t>BUCARAMANGA</t>
        </is>
      </c>
      <c r="B93" t="inlineStr">
        <is>
          <t>SANTANDERES</t>
        </is>
      </c>
      <c r="C93" t="inlineStr">
        <is>
          <t>0004-0008</t>
        </is>
      </c>
      <c r="D93" t="inlineStr">
        <is>
          <t>13688</t>
        </is>
      </c>
      <c r="E93" t="inlineStr">
        <is>
          <t>TA-25-904091</t>
        </is>
      </c>
      <c r="F93" t="inlineStr">
        <is>
          <t>3007080753</t>
        </is>
      </c>
      <c r="G93" t="inlineStr">
        <is>
          <t>APERTURA</t>
        </is>
      </c>
      <c r="H93" t="inlineStr">
        <is>
          <t>CB CRECIMIENTO - NUEVO</t>
        </is>
      </c>
      <c r="I93" t="inlineStr">
        <is>
          <t>BOLIVAR</t>
        </is>
      </c>
      <c r="J93" t="inlineStr">
        <is>
          <t>SANTA ROSA DEL SUR</t>
        </is>
      </c>
      <c r="K93" t="inlineStr">
        <is>
          <t>BARRIO LA FERIA SANTA ROSA DEL SUR</t>
        </is>
      </c>
      <c r="L93" t="inlineStr">
        <is>
          <t>BANCOLOMBIA</t>
        </is>
      </c>
      <c r="M93" t="inlineStr">
        <is>
          <t>FO-25-1305064</t>
        </is>
      </c>
      <c r="N93" s="46" t="n">
        <v>45868.59861111111</v>
      </c>
      <c r="O93" s="46" t="n">
        <v>45875.29166666666</v>
      </c>
      <c r="P93" t="inlineStr">
        <is>
          <t>UNO A UNO</t>
        </is>
      </c>
      <c r="Q93" t="inlineStr">
        <is>
          <t>UNO A UNO</t>
        </is>
      </c>
      <c r="R93" t="inlineStr">
        <is>
          <t>EJECUTADO</t>
        </is>
      </c>
      <c r="S93" t="inlineStr">
        <is>
          <t>VISITA TECNICA</t>
        </is>
      </c>
      <c r="T93" t="inlineStr">
        <is>
          <t>VAZZZ381</t>
        </is>
      </c>
      <c r="U93" t="inlineStr">
        <is>
          <t>TIPO IV ESPECIAL</t>
        </is>
      </c>
      <c r="V93" t="inlineStr">
        <is>
          <t>TERRESTRE/FLUVIAL</t>
        </is>
      </c>
      <c r="W93" t="inlineStr">
        <is>
          <t>ORTEBARRERAGA MARLON STWAR</t>
        </is>
      </c>
      <c r="X93" t="inlineStr">
        <is>
          <t>Si</t>
        </is>
      </c>
      <c r="Y93" t="inlineStr">
        <is>
          <t>Si</t>
        </is>
      </c>
      <c r="Z93" s="45" t="n">
        <v>0</v>
      </c>
      <c r="AA93" t="inlineStr">
        <is>
          <t>0</t>
        </is>
      </c>
      <c r="AB93" s="45" t="n">
        <v>248376</v>
      </c>
      <c r="AC93" s="45" t="n">
        <v>0</v>
      </c>
    </row>
    <row r="94">
      <c r="A94" t="inlineStr">
        <is>
          <t>NEIVA</t>
        </is>
      </c>
      <c r="B94" t="inlineStr">
        <is>
          <t>REMOTAS</t>
        </is>
      </c>
      <c r="C94" t="inlineStr">
        <is>
          <t>0004-0007</t>
        </is>
      </c>
      <c r="D94" t="inlineStr">
        <is>
          <t>18001</t>
        </is>
      </c>
      <c r="E94" t="inlineStr">
        <is>
          <t>TA-25-904092</t>
        </is>
      </c>
      <c r="F94" t="inlineStr">
        <is>
          <t>3007080733</t>
        </is>
      </c>
      <c r="G94" t="inlineStr">
        <is>
          <t>APERTURA</t>
        </is>
      </c>
      <c r="H94" t="inlineStr">
        <is>
          <t>CB CRECIMIENTO - NUEVO</t>
        </is>
      </c>
      <c r="I94" t="inlineStr">
        <is>
          <t>CAQUETA</t>
        </is>
      </c>
      <c r="J94" t="inlineStr">
        <is>
          <t>FLORENCIA</t>
        </is>
      </c>
      <c r="K94" t="inlineStr">
        <is>
          <t>BARRIO CENTRO FLORENCIA 39</t>
        </is>
      </c>
      <c r="L94" t="inlineStr">
        <is>
          <t>BANCOLOMBIA</t>
        </is>
      </c>
      <c r="M94" t="inlineStr">
        <is>
          <t>FO-25-1305067</t>
        </is>
      </c>
      <c r="N94" s="46" t="n">
        <v>45868.28611111111</v>
      </c>
      <c r="O94" s="46" t="n">
        <v>45873.55902777778</v>
      </c>
      <c r="P94" t="inlineStr">
        <is>
          <t>UNO A UNO</t>
        </is>
      </c>
      <c r="Q94" t="inlineStr">
        <is>
          <t>UNO A UNO</t>
        </is>
      </c>
      <c r="R94" t="inlineStr">
        <is>
          <t>EJECUTADO</t>
        </is>
      </c>
      <c r="S94" t="inlineStr">
        <is>
          <t>VISITA TECNICA</t>
        </is>
      </c>
      <c r="T94" t="inlineStr">
        <is>
          <t>VAZZZ382</t>
        </is>
      </c>
      <c r="U94" t="inlineStr">
        <is>
          <t>TIPO IV</t>
        </is>
      </c>
      <c r="V94" t="inlineStr">
        <is>
          <t>TERRESTRE</t>
        </is>
      </c>
      <c r="W94" t="inlineStr">
        <is>
          <t>BERMUDEZ SANCHEZ JOSE NEYBER</t>
        </is>
      </c>
      <c r="X94" t="inlineStr">
        <is>
          <t>Si</t>
        </is>
      </c>
      <c r="Y94" t="inlineStr">
        <is>
          <t>Si</t>
        </is>
      </c>
      <c r="Z94" s="45" t="n">
        <v>0</v>
      </c>
      <c r="AA94" t="inlineStr">
        <is>
          <t>0</t>
        </is>
      </c>
      <c r="AB94" s="45" t="n">
        <v>248376</v>
      </c>
      <c r="AC94" s="45" t="n">
        <v>0</v>
      </c>
    </row>
    <row r="95">
      <c r="A95" t="inlineStr">
        <is>
          <t>TUNJA</t>
        </is>
      </c>
      <c r="B95" t="inlineStr">
        <is>
          <t>SANTANDERES</t>
        </is>
      </c>
      <c r="C95" t="inlineStr">
        <is>
          <t>0004-0008</t>
        </is>
      </c>
      <c r="D95" t="inlineStr">
        <is>
          <t>68861</t>
        </is>
      </c>
      <c r="E95" t="inlineStr">
        <is>
          <t>TA-25-904093</t>
        </is>
      </c>
      <c r="F95" t="inlineStr">
        <is>
          <t>3007080757</t>
        </is>
      </c>
      <c r="G95" t="inlineStr">
        <is>
          <t>APERTURA</t>
        </is>
      </c>
      <c r="H95" t="inlineStr">
        <is>
          <t>CB CRECIMIENTO - NUEVO</t>
        </is>
      </c>
      <c r="I95" t="inlineStr">
        <is>
          <t>SANTANDER</t>
        </is>
      </c>
      <c r="J95" t="inlineStr">
        <is>
          <t>VELEZ</t>
        </is>
      </c>
      <c r="K95" t="inlineStr">
        <is>
          <t>BARRIO VELEZ VELEZ 3</t>
        </is>
      </c>
      <c r="L95" t="inlineStr">
        <is>
          <t>BANCOLOMBIA</t>
        </is>
      </c>
      <c r="M95" t="inlineStr">
        <is>
          <t>FO-25-1305071</t>
        </is>
      </c>
      <c r="N95" s="46" t="n">
        <v>45868.59861111111</v>
      </c>
      <c r="O95" s="46" t="n">
        <v>45873.39097222222</v>
      </c>
      <c r="P95" t="inlineStr">
        <is>
          <t>UNO A UNO</t>
        </is>
      </c>
      <c r="Q95" t="inlineStr">
        <is>
          <t>UNO A UNO</t>
        </is>
      </c>
      <c r="R95" t="inlineStr">
        <is>
          <t>EJECUTADO</t>
        </is>
      </c>
      <c r="S95" t="inlineStr">
        <is>
          <t>VISITA TECNICA</t>
        </is>
      </c>
      <c r="T95" t="inlineStr">
        <is>
          <t>VAZZZ383</t>
        </is>
      </c>
      <c r="U95" t="inlineStr">
        <is>
          <t>TIPO II</t>
        </is>
      </c>
      <c r="V95" t="inlineStr">
        <is>
          <t>TERRESTRE</t>
        </is>
      </c>
      <c r="W95" t="inlineStr">
        <is>
          <t>GONZALEZ GONZALEZ MARIO ALBERTO</t>
        </is>
      </c>
      <c r="X95" t="inlineStr">
        <is>
          <t>Si</t>
        </is>
      </c>
      <c r="Y95" t="inlineStr">
        <is>
          <t>Si</t>
        </is>
      </c>
      <c r="Z95" s="45" t="n">
        <v>0</v>
      </c>
      <c r="AA95" t="inlineStr">
        <is>
          <t>0</t>
        </is>
      </c>
      <c r="AB95" s="45" t="n">
        <v>248376</v>
      </c>
      <c r="AC95" s="45" t="n">
        <v>0</v>
      </c>
    </row>
    <row r="96">
      <c r="A96" t="inlineStr">
        <is>
          <t>CUCUTA</t>
        </is>
      </c>
      <c r="B96" t="inlineStr">
        <is>
          <t>SANTANDERES</t>
        </is>
      </c>
      <c r="C96" t="inlineStr">
        <is>
          <t>0004-0008</t>
        </is>
      </c>
      <c r="D96" t="inlineStr">
        <is>
          <t>54498</t>
        </is>
      </c>
      <c r="E96" t="inlineStr">
        <is>
          <t>TA-25-904094</t>
        </is>
      </c>
      <c r="F96" t="inlineStr">
        <is>
          <t>3007080745</t>
        </is>
      </c>
      <c r="G96" t="inlineStr">
        <is>
          <t>APERTURA</t>
        </is>
      </c>
      <c r="H96" t="inlineStr">
        <is>
          <t>CB CRECIMIENTO - NUEVO</t>
        </is>
      </c>
      <c r="I96" t="inlineStr">
        <is>
          <t>NORTE DE SANTANDER</t>
        </is>
      </c>
      <c r="J96" t="inlineStr">
        <is>
          <t>OCAÑA</t>
        </is>
      </c>
      <c r="K96" t="inlineStr">
        <is>
          <t>BARRIO JUAN 23  OCAÑA</t>
        </is>
      </c>
      <c r="L96" t="inlineStr">
        <is>
          <t>BANCOLOMBIA</t>
        </is>
      </c>
      <c r="M96" t="inlineStr">
        <is>
          <t>FO-25-1305075</t>
        </is>
      </c>
      <c r="N96" s="46" t="n">
        <v>45868.59861111111</v>
      </c>
      <c r="O96" s="46" t="n">
        <v>45870.53263888889</v>
      </c>
      <c r="P96" t="inlineStr">
        <is>
          <t>UNO A UNO</t>
        </is>
      </c>
      <c r="Q96" t="inlineStr">
        <is>
          <t>UNO A UNO</t>
        </is>
      </c>
      <c r="R96" t="inlineStr">
        <is>
          <t>EJECUTADO</t>
        </is>
      </c>
      <c r="S96" t="inlineStr">
        <is>
          <t>VISITA TECNICA</t>
        </is>
      </c>
      <c r="T96" t="inlineStr">
        <is>
          <t>VAZZZ384</t>
        </is>
      </c>
      <c r="U96" t="inlineStr">
        <is>
          <t>TIPO IV</t>
        </is>
      </c>
      <c r="V96" t="inlineStr">
        <is>
          <t>TERRESTRE</t>
        </is>
      </c>
      <c r="W96" t="inlineStr">
        <is>
          <t>GELVEZ MOGOLLON JOSE ELISEO</t>
        </is>
      </c>
      <c r="X96" t="inlineStr">
        <is>
          <t>Si</t>
        </is>
      </c>
      <c r="Y96" t="inlineStr">
        <is>
          <t>Si</t>
        </is>
      </c>
      <c r="Z96" s="45" t="n">
        <v>0</v>
      </c>
      <c r="AA96" t="inlineStr">
        <is>
          <t>0</t>
        </is>
      </c>
      <c r="AB96" s="45" t="n">
        <v>248376</v>
      </c>
      <c r="AC96" s="45" t="n">
        <v>0</v>
      </c>
    </row>
    <row r="97">
      <c r="A97" t="inlineStr">
        <is>
          <t>CALI</t>
        </is>
      </c>
      <c r="B97" t="inlineStr">
        <is>
          <t>SUROCCIDENTE Y EJE CAFETERO</t>
        </is>
      </c>
      <c r="C97" t="inlineStr">
        <is>
          <t>0004-0003</t>
        </is>
      </c>
      <c r="D97" t="inlineStr">
        <is>
          <t>19137</t>
        </is>
      </c>
      <c r="E97" t="inlineStr">
        <is>
          <t>TA-25-904098</t>
        </is>
      </c>
      <c r="F97" t="inlineStr">
        <is>
          <t>3007080723</t>
        </is>
      </c>
      <c r="G97" t="inlineStr">
        <is>
          <t>APERTURA</t>
        </is>
      </c>
      <c r="H97" t="inlineStr">
        <is>
          <t>CB CRECIMIENTO - NUEVO</t>
        </is>
      </c>
      <c r="I97" t="inlineStr">
        <is>
          <t>CAUCA</t>
        </is>
      </c>
      <c r="J97" t="inlineStr">
        <is>
          <t>CALDONO</t>
        </is>
      </c>
      <c r="K97" t="inlineStr">
        <is>
          <t>BARRIO PESCADOR CALDONO</t>
        </is>
      </c>
      <c r="L97" t="inlineStr">
        <is>
          <t>BANCOLOMBIA</t>
        </is>
      </c>
      <c r="M97" t="inlineStr">
        <is>
          <t>FO-25-1305084</t>
        </is>
      </c>
      <c r="N97" s="46" t="n">
        <v>45868.68958333333</v>
      </c>
      <c r="O97" s="46" t="n">
        <v>45870.58055555556</v>
      </c>
      <c r="P97" t="inlineStr">
        <is>
          <t>UNO A UNO</t>
        </is>
      </c>
      <c r="Q97" t="inlineStr">
        <is>
          <t>UNO A UNO</t>
        </is>
      </c>
      <c r="R97" t="inlineStr">
        <is>
          <t>EJECUTADO</t>
        </is>
      </c>
      <c r="S97" t="inlineStr">
        <is>
          <t>VISITA TECNICA</t>
        </is>
      </c>
      <c r="T97" t="inlineStr">
        <is>
          <t>VAZZZ386</t>
        </is>
      </c>
      <c r="U97" t="inlineStr">
        <is>
          <t>TIPO III</t>
        </is>
      </c>
      <c r="V97" t="inlineStr">
        <is>
          <t>TERRESTRE</t>
        </is>
      </c>
      <c r="W97" t="inlineStr">
        <is>
          <t>GIMBUEL LASSO LUIS GERMAN</t>
        </is>
      </c>
      <c r="X97" t="inlineStr">
        <is>
          <t>Si</t>
        </is>
      </c>
      <c r="Y97" t="inlineStr">
        <is>
          <t>Si</t>
        </is>
      </c>
      <c r="Z97" s="45" t="n">
        <v>0</v>
      </c>
      <c r="AA97" t="inlineStr">
        <is>
          <t>0</t>
        </is>
      </c>
      <c r="AB97" s="45" t="n">
        <v>248376</v>
      </c>
      <c r="AC97" s="45" t="n">
        <v>0</v>
      </c>
    </row>
    <row r="98">
      <c r="A98" t="inlineStr">
        <is>
          <t>CARTAGENA</t>
        </is>
      </c>
      <c r="B98" t="inlineStr">
        <is>
          <t>COSTA</t>
        </is>
      </c>
      <c r="C98" t="inlineStr">
        <is>
          <t>0004-0001</t>
        </is>
      </c>
      <c r="D98" t="inlineStr">
        <is>
          <t>13442</t>
        </is>
      </c>
      <c r="E98" t="inlineStr">
        <is>
          <t>TA-25-904100</t>
        </is>
      </c>
      <c r="F98" t="inlineStr">
        <is>
          <t>3007080740</t>
        </is>
      </c>
      <c r="G98" t="inlineStr">
        <is>
          <t>APERTURA</t>
        </is>
      </c>
      <c r="H98" t="inlineStr">
        <is>
          <t>CB CRECIMIENTO - NUEVO</t>
        </is>
      </c>
      <c r="I98" t="inlineStr">
        <is>
          <t>BOLIVAR</t>
        </is>
      </c>
      <c r="J98" t="inlineStr">
        <is>
          <t>MARIA LA BAJA</t>
        </is>
      </c>
      <c r="K98" t="inlineStr">
        <is>
          <t>BARRIO VRD NUEVA ESPERANZA MARIA LA BAJA</t>
        </is>
      </c>
      <c r="L98" t="inlineStr">
        <is>
          <t>BANCOLOMBIA</t>
        </is>
      </c>
      <c r="M98" t="inlineStr">
        <is>
          <t>FO-25-1305093</t>
        </is>
      </c>
      <c r="N98" s="46" t="n">
        <v>45868.58819444444</v>
      </c>
      <c r="O98" s="46" t="n">
        <v>45875.58611111111</v>
      </c>
      <c r="P98" t="inlineStr">
        <is>
          <t>UNO A UNO</t>
        </is>
      </c>
      <c r="Q98" t="inlineStr">
        <is>
          <t>UNO A UNO</t>
        </is>
      </c>
      <c r="R98" t="inlineStr">
        <is>
          <t>EJECUTADO</t>
        </is>
      </c>
      <c r="S98" t="inlineStr">
        <is>
          <t>VISITA TECNICA</t>
        </is>
      </c>
      <c r="T98" t="inlineStr">
        <is>
          <t>VAZZZ388</t>
        </is>
      </c>
      <c r="U98" t="inlineStr">
        <is>
          <t>TIPO II</t>
        </is>
      </c>
      <c r="V98" t="inlineStr">
        <is>
          <t>TERRESTRE</t>
        </is>
      </c>
      <c r="W98" t="inlineStr">
        <is>
          <t>MARTINEZ SALGUEDO ANDRES AUGUSTO</t>
        </is>
      </c>
      <c r="X98" t="inlineStr">
        <is>
          <t>Si</t>
        </is>
      </c>
      <c r="Y98" t="inlineStr">
        <is>
          <t>Si</t>
        </is>
      </c>
      <c r="Z98" s="45" t="n">
        <v>0</v>
      </c>
      <c r="AA98" t="inlineStr">
        <is>
          <t>0</t>
        </is>
      </c>
      <c r="AB98" s="45" t="n">
        <v>248376</v>
      </c>
      <c r="AC98" s="45" t="n">
        <v>0</v>
      </c>
    </row>
    <row r="99">
      <c r="A99" t="inlineStr">
        <is>
          <t>NEIVA</t>
        </is>
      </c>
      <c r="B99" t="inlineStr">
        <is>
          <t>REMOTAS</t>
        </is>
      </c>
      <c r="C99" t="inlineStr">
        <is>
          <t>0004-0007</t>
        </is>
      </c>
      <c r="D99" t="inlineStr">
        <is>
          <t>41396</t>
        </is>
      </c>
      <c r="E99" t="inlineStr">
        <is>
          <t>TA-25-904101</t>
        </is>
      </c>
      <c r="F99" t="inlineStr">
        <is>
          <t>3007080738</t>
        </is>
      </c>
      <c r="G99" t="inlineStr">
        <is>
          <t>APERTURA</t>
        </is>
      </c>
      <c r="H99" t="inlineStr">
        <is>
          <t>CB CRECIMIENTO - NUEVO</t>
        </is>
      </c>
      <c r="I99" t="inlineStr">
        <is>
          <t>HUILA</t>
        </is>
      </c>
      <c r="J99" t="inlineStr">
        <is>
          <t>LA PLATA</t>
        </is>
      </c>
      <c r="K99" t="inlineStr">
        <is>
          <t>BARRIO LA POLA LA PLATA 5</t>
        </is>
      </c>
      <c r="L99" t="inlineStr">
        <is>
          <t>BANCOLOMBIA</t>
        </is>
      </c>
      <c r="M99" t="inlineStr">
        <is>
          <t>FO-25-1305096</t>
        </is>
      </c>
      <c r="N99" s="46" t="n">
        <v>45868.28611111111</v>
      </c>
      <c r="O99" s="46" t="n">
        <v>45873.29583333333</v>
      </c>
      <c r="P99" t="inlineStr">
        <is>
          <t>UNO A UNO</t>
        </is>
      </c>
      <c r="Q99" t="inlineStr">
        <is>
          <t>UNO A UNO</t>
        </is>
      </c>
      <c r="R99" t="inlineStr">
        <is>
          <t>EJECUTADO</t>
        </is>
      </c>
      <c r="S99" t="inlineStr">
        <is>
          <t>VISITA TECNICA</t>
        </is>
      </c>
      <c r="T99" t="inlineStr">
        <is>
          <t>VAZZZ389</t>
        </is>
      </c>
      <c r="U99" t="inlineStr">
        <is>
          <t>TIPO III</t>
        </is>
      </c>
      <c r="V99" t="inlineStr">
        <is>
          <t>TERRESTRE</t>
        </is>
      </c>
      <c r="W99" t="inlineStr">
        <is>
          <t>ANDRADE HERNANDEZ JUAN CARLOS</t>
        </is>
      </c>
      <c r="X99" t="inlineStr">
        <is>
          <t>Si</t>
        </is>
      </c>
      <c r="Y99" t="inlineStr">
        <is>
          <t>Si</t>
        </is>
      </c>
      <c r="Z99" s="45" t="n">
        <v>0</v>
      </c>
      <c r="AA99" t="inlineStr">
        <is>
          <t>0</t>
        </is>
      </c>
      <c r="AB99" s="45" t="n">
        <v>248376</v>
      </c>
      <c r="AC99" s="45" t="n">
        <v>0</v>
      </c>
    </row>
    <row r="100">
      <c r="A100" t="inlineStr">
        <is>
          <t>TUNJA</t>
        </is>
      </c>
      <c r="B100" t="inlineStr">
        <is>
          <t>SANTANDERES</t>
        </is>
      </c>
      <c r="C100" t="inlineStr">
        <is>
          <t>0004-0008</t>
        </is>
      </c>
      <c r="D100" t="inlineStr">
        <is>
          <t>15238</t>
        </is>
      </c>
      <c r="E100" t="inlineStr">
        <is>
          <t>TA-25-904103</t>
        </is>
      </c>
      <c r="F100" t="inlineStr">
        <is>
          <t>3007080731</t>
        </is>
      </c>
      <c r="G100" t="inlineStr">
        <is>
          <t>APERTURA</t>
        </is>
      </c>
      <c r="H100" t="inlineStr">
        <is>
          <t>CB CRECIMIENTO - NUEVO</t>
        </is>
      </c>
      <c r="I100" t="inlineStr">
        <is>
          <t>BOYACA</t>
        </is>
      </c>
      <c r="J100" t="inlineStr">
        <is>
          <t>DUITAMA</t>
        </is>
      </c>
      <c r="K100" t="inlineStr">
        <is>
          <t>BARRIO LA GRUTA DUITAMA 1</t>
        </is>
      </c>
      <c r="L100" t="inlineStr">
        <is>
          <t>BANCOLOMBIA</t>
        </is>
      </c>
      <c r="M100" t="inlineStr">
        <is>
          <t>FO-25-1305107</t>
        </is>
      </c>
      <c r="N100" s="46" t="n">
        <v>45868.59861111111</v>
      </c>
      <c r="O100" s="46" t="n">
        <v>45870.29444444444</v>
      </c>
      <c r="P100" t="inlineStr">
        <is>
          <t>UNO A UNO</t>
        </is>
      </c>
      <c r="Q100" t="inlineStr">
        <is>
          <t>UNO A UNO</t>
        </is>
      </c>
      <c r="R100" t="inlineStr">
        <is>
          <t>EJECUTADO</t>
        </is>
      </c>
      <c r="S100" t="inlineStr">
        <is>
          <t>VISITA TECNICA</t>
        </is>
      </c>
      <c r="T100" t="inlineStr">
        <is>
          <t>VAZZZ391</t>
        </is>
      </c>
      <c r="U100" t="inlineStr">
        <is>
          <t>TIPO II</t>
        </is>
      </c>
      <c r="V100" t="inlineStr">
        <is>
          <t>TERRESTRE</t>
        </is>
      </c>
      <c r="W100" t="inlineStr">
        <is>
          <t>RODRIGUEZ MURCIA YERSON IVAN</t>
        </is>
      </c>
      <c r="X100" t="inlineStr">
        <is>
          <t>Si</t>
        </is>
      </c>
      <c r="Y100" t="inlineStr">
        <is>
          <t>Si</t>
        </is>
      </c>
      <c r="Z100" s="45" t="n">
        <v>0</v>
      </c>
      <c r="AA100" t="inlineStr">
        <is>
          <t>0</t>
        </is>
      </c>
      <c r="AB100" s="45" t="n">
        <v>248376</v>
      </c>
      <c r="AC100" s="45" t="n">
        <v>0</v>
      </c>
    </row>
    <row r="101">
      <c r="A101" t="inlineStr">
        <is>
          <t>TUNJA</t>
        </is>
      </c>
      <c r="B101" t="inlineStr">
        <is>
          <t>SANTANDERES</t>
        </is>
      </c>
      <c r="C101" t="inlineStr">
        <is>
          <t>0004-0008</t>
        </is>
      </c>
      <c r="D101" t="inlineStr">
        <is>
          <t>15407</t>
        </is>
      </c>
      <c r="E101" t="inlineStr">
        <is>
          <t>TA-25-904104</t>
        </is>
      </c>
      <c r="F101" t="inlineStr">
        <is>
          <t>3007080758</t>
        </is>
      </c>
      <c r="G101" t="inlineStr">
        <is>
          <t>APERTURA</t>
        </is>
      </c>
      <c r="H101" t="inlineStr">
        <is>
          <t>CB CRECIMIENTO - NUEVO</t>
        </is>
      </c>
      <c r="I101" t="inlineStr">
        <is>
          <t>BOYACA</t>
        </is>
      </c>
      <c r="J101" t="inlineStr">
        <is>
          <t>VILLA DE LEYVA</t>
        </is>
      </c>
      <c r="K101" t="inlineStr">
        <is>
          <t>BARRIO CENTRO VILLA DE LEYVA 9</t>
        </is>
      </c>
      <c r="L101" t="inlineStr">
        <is>
          <t>BANCOLOMBIA</t>
        </is>
      </c>
      <c r="M101" t="inlineStr">
        <is>
          <t>FO-25-1305110</t>
        </is>
      </c>
      <c r="N101" s="46" t="n">
        <v>45868.59861111111</v>
      </c>
      <c r="O101" s="46" t="n">
        <v>45870.31111111111</v>
      </c>
      <c r="P101" t="inlineStr">
        <is>
          <t>UNO A UNO</t>
        </is>
      </c>
      <c r="Q101" t="inlineStr">
        <is>
          <t>UNO A UNO</t>
        </is>
      </c>
      <c r="R101" t="inlineStr">
        <is>
          <t>EJECUTADO</t>
        </is>
      </c>
      <c r="S101" t="inlineStr">
        <is>
          <t>VISITA TECNICA</t>
        </is>
      </c>
      <c r="T101" t="inlineStr">
        <is>
          <t>VAZZZ392</t>
        </is>
      </c>
      <c r="U101" t="inlineStr">
        <is>
          <t>TIPO II</t>
        </is>
      </c>
      <c r="V101" t="inlineStr">
        <is>
          <t>TERRESTRE</t>
        </is>
      </c>
      <c r="W101" t="inlineStr">
        <is>
          <t>ALVARADO MORENO CRISTHIAN</t>
        </is>
      </c>
      <c r="X101" t="inlineStr">
        <is>
          <t>Si</t>
        </is>
      </c>
      <c r="Y101" t="inlineStr">
        <is>
          <t>Si</t>
        </is>
      </c>
      <c r="Z101" s="45" t="n">
        <v>0</v>
      </c>
      <c r="AA101" t="inlineStr">
        <is>
          <t>0</t>
        </is>
      </c>
      <c r="AB101" s="45" t="n">
        <v>248376</v>
      </c>
      <c r="AC101" s="45" t="n">
        <v>0</v>
      </c>
    </row>
    <row r="102">
      <c r="A102" t="inlineStr">
        <is>
          <t>MEDELLIN</t>
        </is>
      </c>
      <c r="B102" t="inlineStr">
        <is>
          <t>NOROCCIDENTE</t>
        </is>
      </c>
      <c r="C102" t="inlineStr">
        <is>
          <t>0004-0005</t>
        </is>
      </c>
      <c r="D102" t="inlineStr">
        <is>
          <t>5001</t>
        </is>
      </c>
      <c r="E102" t="inlineStr">
        <is>
          <t>TA-25-904105</t>
        </is>
      </c>
      <c r="F102" t="inlineStr">
        <is>
          <t>3007080761</t>
        </is>
      </c>
      <c r="G102" t="inlineStr">
        <is>
          <t>APERTURA</t>
        </is>
      </c>
      <c r="H102" t="inlineStr">
        <is>
          <t>CB CRECIMIENTO - NUEVO</t>
        </is>
      </c>
      <c r="I102" t="inlineStr">
        <is>
          <t>ANTIOQUIA</t>
        </is>
      </c>
      <c r="J102" t="inlineStr">
        <is>
          <t>MEDELLIN</t>
        </is>
      </c>
      <c r="K102" t="inlineStr">
        <is>
          <t>BARRIO CAICEDO MEDELLIN 17</t>
        </is>
      </c>
      <c r="L102" t="inlineStr">
        <is>
          <t>BANCOLOMBIA</t>
        </is>
      </c>
      <c r="M102" t="inlineStr">
        <is>
          <t>FO-25-1305113</t>
        </is>
      </c>
      <c r="N102" s="46" t="n">
        <v>45868.67222222222</v>
      </c>
      <c r="O102" s="46" t="n">
        <v>45873.31597222222</v>
      </c>
      <c r="P102" t="inlineStr">
        <is>
          <t>UNO A UNO</t>
        </is>
      </c>
      <c r="Q102" t="inlineStr">
        <is>
          <t>UNO A UNO</t>
        </is>
      </c>
      <c r="R102" t="inlineStr">
        <is>
          <t>EJECUTADO</t>
        </is>
      </c>
      <c r="S102" t="inlineStr">
        <is>
          <t>VISITA TECNICA</t>
        </is>
      </c>
      <c r="T102" t="inlineStr">
        <is>
          <t>VAZZZ393</t>
        </is>
      </c>
      <c r="U102" t="inlineStr">
        <is>
          <t>TIPO I</t>
        </is>
      </c>
      <c r="V102" t="inlineStr">
        <is>
          <t>TERRESTRE</t>
        </is>
      </c>
      <c r="W102" t="inlineStr">
        <is>
          <t>PAREJA ECHAVARRIA JHON DAVID</t>
        </is>
      </c>
      <c r="X102" t="inlineStr">
        <is>
          <t>Si</t>
        </is>
      </c>
      <c r="Y102" t="inlineStr">
        <is>
          <t>Si</t>
        </is>
      </c>
      <c r="Z102" s="45" t="n">
        <v>0</v>
      </c>
      <c r="AA102" t="inlineStr">
        <is>
          <t>0</t>
        </is>
      </c>
      <c r="AB102" s="45" t="n">
        <v>194983</v>
      </c>
      <c r="AC102" s="45" t="n">
        <v>0</v>
      </c>
    </row>
    <row r="103">
      <c r="A103" t="inlineStr">
        <is>
          <t>TUNJA</t>
        </is>
      </c>
      <c r="B103" t="inlineStr">
        <is>
          <t>SANTANDERES</t>
        </is>
      </c>
      <c r="C103" t="inlineStr">
        <is>
          <t>0004-0008</t>
        </is>
      </c>
      <c r="D103" t="inlineStr">
        <is>
          <t>15759</t>
        </is>
      </c>
      <c r="E103" t="inlineStr">
        <is>
          <t>TA-25-904106</t>
        </is>
      </c>
      <c r="F103" t="inlineStr">
        <is>
          <t>3007080755</t>
        </is>
      </c>
      <c r="G103" t="inlineStr">
        <is>
          <t>APERTURA</t>
        </is>
      </c>
      <c r="H103" t="inlineStr">
        <is>
          <t>CB CRECIMIENTO - NUEVO</t>
        </is>
      </c>
      <c r="I103" t="inlineStr">
        <is>
          <t>BOYACA</t>
        </is>
      </c>
      <c r="J103" t="inlineStr">
        <is>
          <t>SOGAMOSO</t>
        </is>
      </c>
      <c r="K103" t="inlineStr">
        <is>
          <t>BARRIO GUSTAVO JIMENEZ SOGAMOSO 4</t>
        </is>
      </c>
      <c r="L103" t="inlineStr">
        <is>
          <t>BANCOLOMBIA</t>
        </is>
      </c>
      <c r="M103" t="inlineStr">
        <is>
          <t>FO-25-1305118</t>
        </is>
      </c>
      <c r="N103" s="46" t="n">
        <v>45868.59930555556</v>
      </c>
      <c r="O103" s="46" t="n">
        <v>45870.55277777778</v>
      </c>
      <c r="P103" t="inlineStr">
        <is>
          <t>UNO A UNO</t>
        </is>
      </c>
      <c r="Q103" t="inlineStr">
        <is>
          <t>UNO A UNO</t>
        </is>
      </c>
      <c r="R103" t="inlineStr">
        <is>
          <t>EJECUTADO</t>
        </is>
      </c>
      <c r="S103" t="inlineStr">
        <is>
          <t>VISITA TECNICA</t>
        </is>
      </c>
      <c r="T103" t="inlineStr">
        <is>
          <t>VAZZZ395</t>
        </is>
      </c>
      <c r="U103" t="inlineStr">
        <is>
          <t>TIPO II</t>
        </is>
      </c>
      <c r="V103" t="inlineStr">
        <is>
          <t>TERRESTRE</t>
        </is>
      </c>
      <c r="W103" t="inlineStr">
        <is>
          <t>SOLER HOYOS CRISTIAN LEONARDO</t>
        </is>
      </c>
      <c r="X103" t="inlineStr">
        <is>
          <t>Si</t>
        </is>
      </c>
      <c r="Y103" t="inlineStr">
        <is>
          <t>Si</t>
        </is>
      </c>
      <c r="Z103" s="45" t="n">
        <v>0</v>
      </c>
      <c r="AA103" t="inlineStr">
        <is>
          <t>0</t>
        </is>
      </c>
      <c r="AB103" s="45" t="n">
        <v>248376</v>
      </c>
      <c r="AC103" s="45" t="n">
        <v>0</v>
      </c>
    </row>
    <row r="104">
      <c r="A104" t="inlineStr">
        <is>
          <t>BUCARAMANGA</t>
        </is>
      </c>
      <c r="B104" t="inlineStr">
        <is>
          <t>SANTANDERES</t>
        </is>
      </c>
      <c r="C104" t="inlineStr">
        <is>
          <t>0004-0008</t>
        </is>
      </c>
      <c r="D104" t="inlineStr">
        <is>
          <t>68001</t>
        </is>
      </c>
      <c r="E104" t="inlineStr">
        <is>
          <t>TA-25-904109</t>
        </is>
      </c>
      <c r="F104" t="inlineStr">
        <is>
          <t>3007080722</t>
        </is>
      </c>
      <c r="G104" t="inlineStr">
        <is>
          <t>APERTURA</t>
        </is>
      </c>
      <c r="H104" t="inlineStr">
        <is>
          <t>CB CRECIMIENTO - NUEVO</t>
        </is>
      </c>
      <c r="I104" t="inlineStr">
        <is>
          <t>SANTANDER</t>
        </is>
      </c>
      <c r="J104" t="inlineStr">
        <is>
          <t>BUCARAMANGA</t>
        </is>
      </c>
      <c r="K104" t="inlineStr">
        <is>
          <t>BARRIO ALARCON BUCARAMANGA 5</t>
        </is>
      </c>
      <c r="L104" t="inlineStr">
        <is>
          <t>BANCOLOMBIA</t>
        </is>
      </c>
      <c r="M104" t="inlineStr">
        <is>
          <t>FO-25-1305127</t>
        </is>
      </c>
      <c r="N104" s="46" t="n">
        <v>45868.59930555556</v>
      </c>
      <c r="O104" s="46" t="n">
        <v>45873.39236111111</v>
      </c>
      <c r="P104" t="inlineStr">
        <is>
          <t>UNO A UNO</t>
        </is>
      </c>
      <c r="Q104" t="inlineStr">
        <is>
          <t>UNO A UNO</t>
        </is>
      </c>
      <c r="R104" t="inlineStr">
        <is>
          <t>EJECUTADO</t>
        </is>
      </c>
      <c r="S104" t="inlineStr">
        <is>
          <t>VISITA TECNICA</t>
        </is>
      </c>
      <c r="T104" t="inlineStr">
        <is>
          <t>VAZZZ397</t>
        </is>
      </c>
      <c r="U104" t="inlineStr">
        <is>
          <t>TIPO I</t>
        </is>
      </c>
      <c r="V104" t="inlineStr">
        <is>
          <t>TERRESTRE</t>
        </is>
      </c>
      <c r="W104" t="inlineStr">
        <is>
          <t>REYES RAMIREZ DIEGO ALEXANDER</t>
        </is>
      </c>
      <c r="X104" t="inlineStr">
        <is>
          <t>Si</t>
        </is>
      </c>
      <c r="Y104" t="inlineStr">
        <is>
          <t>Si</t>
        </is>
      </c>
      <c r="Z104" s="45" t="n">
        <v>0</v>
      </c>
      <c r="AA104" t="inlineStr">
        <is>
          <t>0</t>
        </is>
      </c>
      <c r="AB104" s="45" t="n">
        <v>194983</v>
      </c>
      <c r="AC104" s="45" t="n">
        <v>0</v>
      </c>
    </row>
    <row r="105">
      <c r="A105" t="inlineStr">
        <is>
          <t>VILLAVICENCIO</t>
        </is>
      </c>
      <c r="B105" t="inlineStr">
        <is>
          <t>REMOTAS</t>
        </is>
      </c>
      <c r="C105" t="inlineStr">
        <is>
          <t>0004-0007</t>
        </is>
      </c>
      <c r="D105" t="inlineStr">
        <is>
          <t>50110</t>
        </is>
      </c>
      <c r="E105" t="inlineStr">
        <is>
          <t>TA-25-904110</t>
        </is>
      </c>
      <c r="F105" t="inlineStr">
        <is>
          <t>3007080719</t>
        </is>
      </c>
      <c r="G105" t="inlineStr">
        <is>
          <t>APERTURA</t>
        </is>
      </c>
      <c r="H105" t="inlineStr">
        <is>
          <t>CB CRECIMIENTO - NUEVO</t>
        </is>
      </c>
      <c r="I105" t="inlineStr">
        <is>
          <t>META</t>
        </is>
      </c>
      <c r="J105" t="inlineStr">
        <is>
          <t>BARRANCA DE UPIA</t>
        </is>
      </c>
      <c r="K105" t="inlineStr">
        <is>
          <t>BARRIO LIBERTAD I BARRANCA DE UPIA</t>
        </is>
      </c>
      <c r="L105" t="inlineStr">
        <is>
          <t>BANCOLOMBIA</t>
        </is>
      </c>
      <c r="M105" t="inlineStr">
        <is>
          <t>FO-25-1305133</t>
        </is>
      </c>
      <c r="N105" s="46" t="n">
        <v>45868.28611111111</v>
      </c>
      <c r="O105" s="46" t="n">
        <v>45873.39375</v>
      </c>
      <c r="P105" t="inlineStr">
        <is>
          <t>UNO A UNO</t>
        </is>
      </c>
      <c r="Q105" t="inlineStr">
        <is>
          <t>UNO A UNO</t>
        </is>
      </c>
      <c r="R105" t="inlineStr">
        <is>
          <t>EJECUTADO</t>
        </is>
      </c>
      <c r="S105" t="inlineStr">
        <is>
          <t>VISITA TECNICA</t>
        </is>
      </c>
      <c r="T105" t="inlineStr">
        <is>
          <t>VAZZZ398</t>
        </is>
      </c>
      <c r="U105" t="inlineStr">
        <is>
          <t>TIPO II</t>
        </is>
      </c>
      <c r="V105" t="inlineStr">
        <is>
          <t>TERRESTRE</t>
        </is>
      </c>
      <c r="W105" t="inlineStr">
        <is>
          <t>PEDREROS CONTRERAS MICHAEL STEVENS</t>
        </is>
      </c>
      <c r="X105" t="inlineStr">
        <is>
          <t>Si</t>
        </is>
      </c>
      <c r="Y105" t="inlineStr">
        <is>
          <t>Si</t>
        </is>
      </c>
      <c r="Z105" s="45" t="n">
        <v>0</v>
      </c>
      <c r="AA105" t="inlineStr">
        <is>
          <t>0</t>
        </is>
      </c>
      <c r="AB105" s="45" t="n">
        <v>248376</v>
      </c>
      <c r="AC105" s="45" t="n">
        <v>0</v>
      </c>
    </row>
    <row r="106">
      <c r="A106" t="inlineStr">
        <is>
          <t>MEDELLIN</t>
        </is>
      </c>
      <c r="B106" t="inlineStr">
        <is>
          <t>NOROCCIDENTE</t>
        </is>
      </c>
      <c r="C106" t="inlineStr">
        <is>
          <t>0004-0005</t>
        </is>
      </c>
      <c r="D106" t="inlineStr">
        <is>
          <t>5483</t>
        </is>
      </c>
      <c r="E106" t="inlineStr">
        <is>
          <t>TA-25-904116</t>
        </is>
      </c>
      <c r="F106" t="inlineStr">
        <is>
          <t>3007080744</t>
        </is>
      </c>
      <c r="G106" t="inlineStr">
        <is>
          <t>APERTURA</t>
        </is>
      </c>
      <c r="H106" t="inlineStr">
        <is>
          <t>CB CRECIMIENTO - NUEVO</t>
        </is>
      </c>
      <c r="I106" t="inlineStr">
        <is>
          <t>ANTIOQUIA</t>
        </is>
      </c>
      <c r="J106" t="inlineStr">
        <is>
          <t>NARIÑO</t>
        </is>
      </c>
      <c r="K106" t="inlineStr">
        <is>
          <t>BARRIO CORR PUERTO VENUS NARIÑO</t>
        </is>
      </c>
      <c r="L106" t="inlineStr">
        <is>
          <t>BANCOLOMBIA</t>
        </is>
      </c>
      <c r="M106" t="inlineStr">
        <is>
          <t>FO-25-1305143</t>
        </is>
      </c>
      <c r="N106" s="46" t="n">
        <v>45868.67222222222</v>
      </c>
      <c r="O106" s="46" t="n">
        <v>45870.50277777778</v>
      </c>
      <c r="P106" t="inlineStr">
        <is>
          <t>UNO A UNO</t>
        </is>
      </c>
      <c r="Q106" t="inlineStr">
        <is>
          <t>UNO A UNO</t>
        </is>
      </c>
      <c r="R106" t="inlineStr">
        <is>
          <t>EJECUTADO</t>
        </is>
      </c>
      <c r="S106" t="inlineStr">
        <is>
          <t>VISITA TECNICA</t>
        </is>
      </c>
      <c r="T106" t="inlineStr">
        <is>
          <t>VAZZZ401</t>
        </is>
      </c>
      <c r="U106" t="inlineStr">
        <is>
          <t>TIPO IV</t>
        </is>
      </c>
      <c r="V106" t="inlineStr">
        <is>
          <t>TERRESTRE</t>
        </is>
      </c>
      <c r="W106" t="inlineStr">
        <is>
          <t>MARTINEZ TOVAR OSCAR DAVID</t>
        </is>
      </c>
      <c r="X106" t="inlineStr">
        <is>
          <t>Si</t>
        </is>
      </c>
      <c r="Y106" t="inlineStr">
        <is>
          <t>Si</t>
        </is>
      </c>
      <c r="Z106" s="45" t="n">
        <v>0</v>
      </c>
      <c r="AA106" t="inlineStr">
        <is>
          <t>0</t>
        </is>
      </c>
      <c r="AB106" s="45" t="n">
        <v>248376</v>
      </c>
      <c r="AC106" s="45" t="n">
        <v>0</v>
      </c>
    </row>
    <row r="107">
      <c r="A107" t="inlineStr">
        <is>
          <t>NEIVA</t>
        </is>
      </c>
      <c r="B107" t="inlineStr">
        <is>
          <t>REMOTAS</t>
        </is>
      </c>
      <c r="C107" t="inlineStr">
        <is>
          <t>0004-0007</t>
        </is>
      </c>
      <c r="D107" t="inlineStr">
        <is>
          <t>41001</t>
        </is>
      </c>
      <c r="E107" t="inlineStr">
        <is>
          <t>TA-25-904125</t>
        </is>
      </c>
      <c r="F107" t="inlineStr">
        <is>
          <t>3007080743</t>
        </is>
      </c>
      <c r="G107" t="inlineStr">
        <is>
          <t>APERTURA</t>
        </is>
      </c>
      <c r="H107" t="inlineStr">
        <is>
          <t>CB CRECIMIENTO - NUEVO</t>
        </is>
      </c>
      <c r="I107" t="inlineStr">
        <is>
          <t>HUILA</t>
        </is>
      </c>
      <c r="J107" t="inlineStr">
        <is>
          <t>NEIVA</t>
        </is>
      </c>
      <c r="K107" t="inlineStr">
        <is>
          <t>BARRIO CAGUAN NEIVA 5</t>
        </is>
      </c>
      <c r="L107" t="inlineStr">
        <is>
          <t>BANCOLOMBIA</t>
        </is>
      </c>
      <c r="M107" t="inlineStr">
        <is>
          <t>FO-25-1305152</t>
        </is>
      </c>
      <c r="N107" s="46" t="n">
        <v>45868.28680555556</v>
      </c>
      <c r="O107" s="46" t="n">
        <v>45870.31388888889</v>
      </c>
      <c r="P107" t="inlineStr">
        <is>
          <t>UNO A UNO</t>
        </is>
      </c>
      <c r="Q107" t="inlineStr">
        <is>
          <t>UNO A UNO</t>
        </is>
      </c>
      <c r="R107" t="inlineStr">
        <is>
          <t>EJECUTADO</t>
        </is>
      </c>
      <c r="S107" t="inlineStr">
        <is>
          <t>VISITA TECNICA</t>
        </is>
      </c>
      <c r="T107" t="inlineStr">
        <is>
          <t>VAZZZ404</t>
        </is>
      </c>
      <c r="U107" t="inlineStr">
        <is>
          <t>TIPO I</t>
        </is>
      </c>
      <c r="V107" t="inlineStr">
        <is>
          <t>TERRESTRE</t>
        </is>
      </c>
      <c r="W107" t="inlineStr">
        <is>
          <t>DIAZ VARGAS JONATHAN MIGUEL</t>
        </is>
      </c>
      <c r="X107" t="inlineStr">
        <is>
          <t>Si</t>
        </is>
      </c>
      <c r="Y107" t="inlineStr">
        <is>
          <t>Si</t>
        </is>
      </c>
      <c r="Z107" s="45" t="n">
        <v>0</v>
      </c>
      <c r="AA107" t="inlineStr">
        <is>
          <t>0</t>
        </is>
      </c>
      <c r="AB107" s="45" t="n">
        <v>194983</v>
      </c>
      <c r="AC107" s="45" t="n">
        <v>0</v>
      </c>
    </row>
    <row r="108">
      <c r="A108" t="inlineStr">
        <is>
          <t>PASTO</t>
        </is>
      </c>
      <c r="B108" t="inlineStr">
        <is>
          <t>SUROCCIDENTE Y EJE CAFETERO</t>
        </is>
      </c>
      <c r="C108" t="inlineStr">
        <is>
          <t>0004-0003</t>
        </is>
      </c>
      <c r="D108" t="inlineStr">
        <is>
          <t>52079</t>
        </is>
      </c>
      <c r="E108" t="inlineStr">
        <is>
          <t>TA-25-904128</t>
        </is>
      </c>
      <c r="F108" t="inlineStr">
        <is>
          <t>3007080575</t>
        </is>
      </c>
      <c r="G108" t="inlineStr">
        <is>
          <t>APERTURA</t>
        </is>
      </c>
      <c r="H108" t="inlineStr">
        <is>
          <t>CB CRECIMIENTO - OTRAS LISTAS</t>
        </is>
      </c>
      <c r="I108" t="inlineStr">
        <is>
          <t>NARIÑO</t>
        </is>
      </c>
      <c r="J108" t="inlineStr">
        <is>
          <t>BARBACOAS</t>
        </is>
      </c>
      <c r="K108" t="inlineStr">
        <is>
          <t>BARRIO CL DEL COMERCIO BARBACOAS 2</t>
        </is>
      </c>
      <c r="L108" t="inlineStr">
        <is>
          <t>BANCOLOMBIA</t>
        </is>
      </c>
      <c r="M108" t="inlineStr">
        <is>
          <t>FO-25-1305161</t>
        </is>
      </c>
      <c r="N108" s="46" t="n">
        <v>45868.65138888889</v>
      </c>
      <c r="O108" s="46" t="n">
        <v>45870.29583333333</v>
      </c>
      <c r="P108" t="inlineStr">
        <is>
          <t>UNO A UNO</t>
        </is>
      </c>
      <c r="Q108" t="inlineStr">
        <is>
          <t>UNO A UNO</t>
        </is>
      </c>
      <c r="R108" t="inlineStr">
        <is>
          <t>EJECUTADO</t>
        </is>
      </c>
      <c r="S108" t="inlineStr">
        <is>
          <t>VISITA TECNICA</t>
        </is>
      </c>
      <c r="T108" t="inlineStr">
        <is>
          <t>VAZZZ406</t>
        </is>
      </c>
      <c r="U108" t="inlineStr">
        <is>
          <t>TIPO IV</t>
        </is>
      </c>
      <c r="V108" t="inlineStr">
        <is>
          <t>TERRESTRE</t>
        </is>
      </c>
      <c r="W108" t="inlineStr">
        <is>
          <t>PAZ MARTINEZ RICHARD HUMBERTO</t>
        </is>
      </c>
      <c r="X108" t="inlineStr">
        <is>
          <t>Si</t>
        </is>
      </c>
      <c r="Y108" t="inlineStr">
        <is>
          <t>Si</t>
        </is>
      </c>
      <c r="Z108" s="45" t="n">
        <v>0</v>
      </c>
      <c r="AA108" t="inlineStr">
        <is>
          <t>0</t>
        </is>
      </c>
      <c r="AB108" s="45" t="n">
        <v>248376</v>
      </c>
      <c r="AC108" s="45" t="n">
        <v>0</v>
      </c>
    </row>
    <row r="109">
      <c r="A109" t="inlineStr">
        <is>
          <t>MEDELLIN</t>
        </is>
      </c>
      <c r="B109" t="inlineStr">
        <is>
          <t>NOROCCIDENTE</t>
        </is>
      </c>
      <c r="C109" t="inlineStr">
        <is>
          <t>0004-0005</t>
        </is>
      </c>
      <c r="D109" t="inlineStr">
        <is>
          <t>5001</t>
        </is>
      </c>
      <c r="E109" t="inlineStr">
        <is>
          <t>TA-25-904686</t>
        </is>
      </c>
      <c r="F109" t="inlineStr">
        <is>
          <t>3007080717</t>
        </is>
      </c>
      <c r="G109" t="inlineStr">
        <is>
          <t>APERTURA</t>
        </is>
      </c>
      <c r="H109" t="inlineStr">
        <is>
          <t>CB CRECIMIENTO ALIANZA - NUEVO</t>
        </is>
      </c>
      <c r="I109" t="inlineStr">
        <is>
          <t>ANTIOQUIA</t>
        </is>
      </c>
      <c r="J109" t="inlineStr">
        <is>
          <t>MEDELLIN</t>
        </is>
      </c>
      <c r="K109" t="inlineStr">
        <is>
          <t>DISTRICOL VARIEDADES Y DETALLE</t>
        </is>
      </c>
      <c r="L109" t="inlineStr">
        <is>
          <t>BANCOLOMBIA</t>
        </is>
      </c>
      <c r="M109" t="inlineStr">
        <is>
          <t>FO-25-1306012</t>
        </is>
      </c>
      <c r="N109" s="46" t="n">
        <v>45868.67222222222</v>
      </c>
      <c r="O109" s="46" t="n">
        <v>45870.48194444444</v>
      </c>
      <c r="P109" t="inlineStr">
        <is>
          <t>AGREGADOR</t>
        </is>
      </c>
      <c r="Q109" t="inlineStr">
        <is>
          <t>DISTRICOL</t>
        </is>
      </c>
      <c r="R109" t="inlineStr">
        <is>
          <t>EJECUTADO</t>
        </is>
      </c>
      <c r="S109" t="inlineStr">
        <is>
          <t>VISITA TECNICA</t>
        </is>
      </c>
      <c r="T109" t="inlineStr">
        <is>
          <t>VAZZZ340</t>
        </is>
      </c>
      <c r="U109" t="inlineStr">
        <is>
          <t>TIPO I</t>
        </is>
      </c>
      <c r="V109" t="inlineStr">
        <is>
          <t>TERRESTRE</t>
        </is>
      </c>
      <c r="W109" t="inlineStr">
        <is>
          <t>BARRIENTOS HERNANDEZ CRISTIAN HORACIO</t>
        </is>
      </c>
      <c r="X109" t="inlineStr">
        <is>
          <t>Si</t>
        </is>
      </c>
      <c r="Y109" t="inlineStr">
        <is>
          <t>Si</t>
        </is>
      </c>
      <c r="Z109" s="45" t="n">
        <v>0</v>
      </c>
      <c r="AA109" t="inlineStr">
        <is>
          <t>0</t>
        </is>
      </c>
      <c r="AB109" s="45" t="n">
        <v>194983</v>
      </c>
      <c r="AC109" s="45" t="n">
        <v>0</v>
      </c>
    </row>
    <row r="110">
      <c r="A110" t="inlineStr">
        <is>
          <t>MEDELLIN</t>
        </is>
      </c>
      <c r="B110" t="inlineStr">
        <is>
          <t>NOROCCIDENTE</t>
        </is>
      </c>
      <c r="C110" t="inlineStr">
        <is>
          <t>0004-0005</t>
        </is>
      </c>
      <c r="D110" t="inlineStr">
        <is>
          <t>5001</t>
        </is>
      </c>
      <c r="E110" t="inlineStr">
        <is>
          <t>TA-25-904688</t>
        </is>
      </c>
      <c r="F110" t="inlineStr">
        <is>
          <t>3007080718</t>
        </is>
      </c>
      <c r="G110" t="inlineStr">
        <is>
          <t>APERTURA</t>
        </is>
      </c>
      <c r="H110" t="inlineStr">
        <is>
          <t>CB CRECIMIENTO ALIANZA - NUEVO</t>
        </is>
      </c>
      <c r="I110" t="inlineStr">
        <is>
          <t>ANTIOQUIA</t>
        </is>
      </c>
      <c r="J110" t="inlineStr">
        <is>
          <t>MEDELLIN</t>
        </is>
      </c>
      <c r="K110" t="inlineStr">
        <is>
          <t>DISTRICOL PAPELERIA LA PIZARRA</t>
        </is>
      </c>
      <c r="L110" t="inlineStr">
        <is>
          <t>BANCOLOMBIA</t>
        </is>
      </c>
      <c r="M110" t="inlineStr">
        <is>
          <t>FO-25-1306018</t>
        </is>
      </c>
      <c r="N110" s="46" t="n">
        <v>45868.67222222222</v>
      </c>
      <c r="O110" s="46" t="n">
        <v>45870.55069444444</v>
      </c>
      <c r="P110" t="inlineStr">
        <is>
          <t>AGREGADOR</t>
        </is>
      </c>
      <c r="Q110" t="inlineStr">
        <is>
          <t>DISTRICOL</t>
        </is>
      </c>
      <c r="R110" t="inlineStr">
        <is>
          <t>EJECUTADO</t>
        </is>
      </c>
      <c r="S110" t="inlineStr">
        <is>
          <t>VISITA TECNICA</t>
        </is>
      </c>
      <c r="T110" t="inlineStr">
        <is>
          <t>VAZZZ341</t>
        </is>
      </c>
      <c r="U110" t="inlineStr">
        <is>
          <t>TIPO I</t>
        </is>
      </c>
      <c r="V110" t="inlineStr">
        <is>
          <t>TERRESTRE</t>
        </is>
      </c>
      <c r="W110" t="inlineStr">
        <is>
          <t>PAREJA ECHAVARRIA JHON DAVID</t>
        </is>
      </c>
      <c r="X110" t="inlineStr">
        <is>
          <t>Si</t>
        </is>
      </c>
      <c r="Y110" t="inlineStr">
        <is>
          <t>Si</t>
        </is>
      </c>
      <c r="Z110" s="45" t="n">
        <v>0</v>
      </c>
      <c r="AA110" t="inlineStr">
        <is>
          <t>0</t>
        </is>
      </c>
      <c r="AB110" s="45" t="n">
        <v>194983</v>
      </c>
      <c r="AC110" s="45" t="n">
        <v>0</v>
      </c>
    </row>
    <row r="111">
      <c r="A111" t="inlineStr">
        <is>
          <t>MEDELLIN</t>
        </is>
      </c>
      <c r="B111" t="inlineStr">
        <is>
          <t>NOROCCIDENTE</t>
        </is>
      </c>
      <c r="C111" t="inlineStr">
        <is>
          <t>0004-0005</t>
        </is>
      </c>
      <c r="D111" t="inlineStr">
        <is>
          <t>5088</t>
        </is>
      </c>
      <c r="E111" t="inlineStr">
        <is>
          <t>TA-25-904689</t>
        </is>
      </c>
      <c r="F111" t="inlineStr">
        <is>
          <t>3007080715</t>
        </is>
      </c>
      <c r="G111" t="inlineStr">
        <is>
          <t>APERTURA</t>
        </is>
      </c>
      <c r="H111" t="inlineStr">
        <is>
          <t>CB CRECIMIENTO ALIANZA - NUEVO</t>
        </is>
      </c>
      <c r="I111" t="inlineStr">
        <is>
          <t>ANTIOQUIA</t>
        </is>
      </c>
      <c r="J111" t="inlineStr">
        <is>
          <t>BELLO</t>
        </is>
      </c>
      <c r="K111" t="inlineStr">
        <is>
          <t>DISTRICOL ABARROTES EL PUERTO</t>
        </is>
      </c>
      <c r="L111" t="inlineStr">
        <is>
          <t>BANCOLOMBIA</t>
        </is>
      </c>
      <c r="M111" t="inlineStr">
        <is>
          <t>FO-25-1306022</t>
        </is>
      </c>
      <c r="N111" s="46" t="n">
        <v>45868.67222222222</v>
      </c>
      <c r="O111" s="46" t="n">
        <v>45870.63819444444</v>
      </c>
      <c r="P111" t="inlineStr">
        <is>
          <t>AGREGADOR</t>
        </is>
      </c>
      <c r="Q111" t="inlineStr">
        <is>
          <t>DISTRICOL</t>
        </is>
      </c>
      <c r="R111" t="inlineStr">
        <is>
          <t>EJECUTADO</t>
        </is>
      </c>
      <c r="S111" t="inlineStr">
        <is>
          <t>VISITA TECNICA</t>
        </is>
      </c>
      <c r="T111" t="inlineStr">
        <is>
          <t>VAZZZ342</t>
        </is>
      </c>
      <c r="U111" t="inlineStr">
        <is>
          <t>TIPO I</t>
        </is>
      </c>
      <c r="V111" t="inlineStr">
        <is>
          <t>TERRESTRE</t>
        </is>
      </c>
      <c r="W111" t="inlineStr">
        <is>
          <t>BARRIENTOS HERNANDEZ CRISTIAN HORACIO</t>
        </is>
      </c>
      <c r="X111" t="inlineStr">
        <is>
          <t>Si</t>
        </is>
      </c>
      <c r="Y111" t="inlineStr">
        <is>
          <t>Si</t>
        </is>
      </c>
      <c r="Z111" s="45" t="n">
        <v>0</v>
      </c>
      <c r="AA111" t="inlineStr">
        <is>
          <t>0</t>
        </is>
      </c>
      <c r="AB111" s="45" t="n">
        <v>194983</v>
      </c>
      <c r="AC111" s="45" t="n">
        <v>0</v>
      </c>
    </row>
    <row r="112">
      <c r="A112" t="inlineStr">
        <is>
          <t>MEDELLIN</t>
        </is>
      </c>
      <c r="B112" t="inlineStr">
        <is>
          <t>NOROCCIDENTE</t>
        </is>
      </c>
      <c r="C112" t="inlineStr">
        <is>
          <t>0004-0005</t>
        </is>
      </c>
      <c r="D112" t="inlineStr">
        <is>
          <t>5440</t>
        </is>
      </c>
      <c r="E112" t="inlineStr">
        <is>
          <t>TA-25-904690</t>
        </is>
      </c>
      <c r="F112" t="inlineStr">
        <is>
          <t>3007080716</t>
        </is>
      </c>
      <c r="G112" t="inlineStr">
        <is>
          <t>APERTURA</t>
        </is>
      </c>
      <c r="H112" t="inlineStr">
        <is>
          <t>CB CRECIMIENTO ALIANZA - NUEVO</t>
        </is>
      </c>
      <c r="I112" t="inlineStr">
        <is>
          <t>ANTIOQUIA</t>
        </is>
      </c>
      <c r="J112" t="inlineStr">
        <is>
          <t>MARINILLA</t>
        </is>
      </c>
      <c r="K112" t="inlineStr">
        <is>
          <t>DISTRICOL DREAM SHOP LA BOUTIQ</t>
        </is>
      </c>
      <c r="L112" t="inlineStr">
        <is>
          <t>BANCOLOMBIA</t>
        </is>
      </c>
      <c r="M112" t="inlineStr">
        <is>
          <t>FO-25-1306024</t>
        </is>
      </c>
      <c r="N112" s="46" t="n">
        <v>45868.67222222222</v>
      </c>
      <c r="O112" s="46" t="n">
        <v>45870.30208333334</v>
      </c>
      <c r="P112" t="inlineStr">
        <is>
          <t>AGREGADOR</t>
        </is>
      </c>
      <c r="Q112" t="inlineStr">
        <is>
          <t>DISTRICOL</t>
        </is>
      </c>
      <c r="R112" t="inlineStr">
        <is>
          <t>EJECUTADO</t>
        </is>
      </c>
      <c r="S112" t="inlineStr">
        <is>
          <t>VISITA TECNICA</t>
        </is>
      </c>
      <c r="T112" t="inlineStr">
        <is>
          <t>VAZZZ343</t>
        </is>
      </c>
      <c r="U112" t="inlineStr">
        <is>
          <t>TIPO II</t>
        </is>
      </c>
      <c r="V112" t="inlineStr">
        <is>
          <t>TERRESTRE</t>
        </is>
      </c>
      <c r="W112" t="inlineStr">
        <is>
          <t>DIAZ ZABALA FRANCIS DUBAN</t>
        </is>
      </c>
      <c r="X112" t="inlineStr">
        <is>
          <t>Si</t>
        </is>
      </c>
      <c r="Y112" t="inlineStr">
        <is>
          <t>Si</t>
        </is>
      </c>
      <c r="Z112" s="45" t="n">
        <v>0</v>
      </c>
      <c r="AA112" t="inlineStr">
        <is>
          <t>0</t>
        </is>
      </c>
      <c r="AB112" s="45" t="n">
        <v>248376</v>
      </c>
      <c r="AC112" s="45" t="n">
        <v>0</v>
      </c>
    </row>
    <row r="113">
      <c r="A113" t="inlineStr">
        <is>
          <t>BUCARAMANGA</t>
        </is>
      </c>
      <c r="B113" t="inlineStr">
        <is>
          <t>SANTANDERES</t>
        </is>
      </c>
      <c r="C113" t="inlineStr">
        <is>
          <t>0004-0008</t>
        </is>
      </c>
      <c r="D113" t="inlineStr">
        <is>
          <t>68679</t>
        </is>
      </c>
      <c r="E113" t="inlineStr">
        <is>
          <t>TA-25-904696</t>
        </is>
      </c>
      <c r="F113" t="inlineStr">
        <is>
          <t>3007080714</t>
        </is>
      </c>
      <c r="G113" t="inlineStr">
        <is>
          <t>APERTURA</t>
        </is>
      </c>
      <c r="H113" t="inlineStr">
        <is>
          <t>CB CRECIMIENTO ALIANZA - NUEVO</t>
        </is>
      </c>
      <c r="I113" t="inlineStr">
        <is>
          <t>SANTANDER</t>
        </is>
      </c>
      <c r="J113" t="inlineStr">
        <is>
          <t>SAN GIL</t>
        </is>
      </c>
      <c r="K113" t="inlineStr">
        <is>
          <t>DISTRICOL MISCELANEA Y DROGUER</t>
        </is>
      </c>
      <c r="L113" t="inlineStr">
        <is>
          <t>BANCOLOMBIA</t>
        </is>
      </c>
      <c r="M113" t="inlineStr">
        <is>
          <t>FO-25-1306030</t>
        </is>
      </c>
      <c r="N113" s="46" t="n">
        <v>45868.59791666667</v>
      </c>
      <c r="O113" s="46" t="n">
        <v>45870.29027777778</v>
      </c>
      <c r="P113" t="inlineStr">
        <is>
          <t>AGREGADOR</t>
        </is>
      </c>
      <c r="Q113" t="inlineStr">
        <is>
          <t>DISTRICOL</t>
        </is>
      </c>
      <c r="R113" t="inlineStr">
        <is>
          <t>EJECUTADO</t>
        </is>
      </c>
      <c r="S113" t="inlineStr">
        <is>
          <t>VISITA TECNICA</t>
        </is>
      </c>
      <c r="T113" t="inlineStr">
        <is>
          <t>VAZZZ345</t>
        </is>
      </c>
      <c r="U113" t="inlineStr">
        <is>
          <t>TIPO II</t>
        </is>
      </c>
      <c r="V113" t="inlineStr">
        <is>
          <t>TERRESTRE</t>
        </is>
      </c>
      <c r="W113" t="inlineStr">
        <is>
          <t>MARIÑO PABON JORGE ENRIQUE</t>
        </is>
      </c>
      <c r="X113" t="inlineStr">
        <is>
          <t>Si</t>
        </is>
      </c>
      <c r="Y113" t="inlineStr">
        <is>
          <t>Si</t>
        </is>
      </c>
      <c r="Z113" s="45" t="n">
        <v>0</v>
      </c>
      <c r="AA113" t="inlineStr">
        <is>
          <t>0</t>
        </is>
      </c>
      <c r="AB113" s="45" t="n">
        <v>248376</v>
      </c>
      <c r="AC113" s="45" t="n">
        <v>0</v>
      </c>
    </row>
    <row r="114">
      <c r="A114" t="inlineStr">
        <is>
          <t>CALI</t>
        </is>
      </c>
      <c r="B114" t="inlineStr">
        <is>
          <t>SUROCCIDENTE Y EJE CAFETERO</t>
        </is>
      </c>
      <c r="C114" t="inlineStr">
        <is>
          <t>0004-0003</t>
        </is>
      </c>
      <c r="D114" t="inlineStr">
        <is>
          <t>76001</t>
        </is>
      </c>
      <c r="E114" t="inlineStr">
        <is>
          <t>TA-25-904698</t>
        </is>
      </c>
      <c r="F114" t="inlineStr">
        <is>
          <t>3007080712</t>
        </is>
      </c>
      <c r="G114" t="inlineStr">
        <is>
          <t>APERTURA</t>
        </is>
      </c>
      <c r="H114" t="inlineStr">
        <is>
          <t>CB CRECIMIENTO ALIANZA - NUEVO</t>
        </is>
      </c>
      <c r="I114" t="inlineStr">
        <is>
          <t>VALLE DEL CAUCA</t>
        </is>
      </c>
      <c r="J114" t="inlineStr">
        <is>
          <t>CALI</t>
        </is>
      </c>
      <c r="K114" t="inlineStr">
        <is>
          <t>DISTRICOL ZONA MULTIPLE YSN 2</t>
        </is>
      </c>
      <c r="L114" t="inlineStr">
        <is>
          <t>BANCOLOMBIA</t>
        </is>
      </c>
      <c r="M114" t="inlineStr">
        <is>
          <t>FO-25-1306037</t>
        </is>
      </c>
      <c r="N114" s="46" t="n">
        <v>45868.71597222222</v>
      </c>
      <c r="O114" s="46" t="n">
        <v>45873.38888888889</v>
      </c>
      <c r="P114" t="inlineStr">
        <is>
          <t>AGREGADOR</t>
        </is>
      </c>
      <c r="Q114" t="inlineStr">
        <is>
          <t>DISTRICOL</t>
        </is>
      </c>
      <c r="R114" t="inlineStr">
        <is>
          <t>EJECUTADO</t>
        </is>
      </c>
      <c r="S114" t="inlineStr">
        <is>
          <t>VISITA TECNICA</t>
        </is>
      </c>
      <c r="T114" t="inlineStr">
        <is>
          <t>VAZZZ347</t>
        </is>
      </c>
      <c r="U114" t="inlineStr">
        <is>
          <t>TIPO I</t>
        </is>
      </c>
      <c r="V114" t="inlineStr">
        <is>
          <t>TERRESTRE</t>
        </is>
      </c>
      <c r="W114" t="inlineStr">
        <is>
          <t>HERRERA MONAR GEOVANNY</t>
        </is>
      </c>
      <c r="X114" t="inlineStr">
        <is>
          <t>Si</t>
        </is>
      </c>
      <c r="Y114" t="inlineStr">
        <is>
          <t>Si</t>
        </is>
      </c>
      <c r="Z114" s="45" t="n">
        <v>0</v>
      </c>
      <c r="AA114" t="inlineStr">
        <is>
          <t>0</t>
        </is>
      </c>
      <c r="AB114" s="45" t="n">
        <v>194983</v>
      </c>
      <c r="AC114" s="45" t="n">
        <v>0</v>
      </c>
    </row>
    <row r="115">
      <c r="A115" t="inlineStr">
        <is>
          <t>CARTAGENA</t>
        </is>
      </c>
      <c r="B115" t="inlineStr">
        <is>
          <t>COSTA</t>
        </is>
      </c>
      <c r="C115" t="inlineStr">
        <is>
          <t>0004-0001</t>
        </is>
      </c>
      <c r="D115" t="inlineStr">
        <is>
          <t>13001</t>
        </is>
      </c>
      <c r="E115" t="inlineStr">
        <is>
          <t>TA-25-904701</t>
        </is>
      </c>
      <c r="F115" t="inlineStr">
        <is>
          <t>3007080725</t>
        </is>
      </c>
      <c r="G115" t="inlineStr">
        <is>
          <t>APERTURA</t>
        </is>
      </c>
      <c r="H115" t="inlineStr">
        <is>
          <t>CB CRECIMIENTO - NUEVO</t>
        </is>
      </c>
      <c r="I115" t="inlineStr">
        <is>
          <t>BOLIVAR</t>
        </is>
      </c>
      <c r="J115" t="inlineStr">
        <is>
          <t>CARTAGENA</t>
        </is>
      </c>
      <c r="K115" t="inlineStr">
        <is>
          <t>BARRIO URB SAN JUAN CARTAGENA DE INDIAS</t>
        </is>
      </c>
      <c r="L115" t="inlineStr">
        <is>
          <t>BANCOLOMBIA</t>
        </is>
      </c>
      <c r="M115" t="inlineStr">
        <is>
          <t>FO-25-1306042</t>
        </is>
      </c>
      <c r="N115" s="46" t="n">
        <v>45868.58819444444</v>
      </c>
      <c r="O115" s="46" t="n">
        <v>45879.67152777778</v>
      </c>
      <c r="P115" t="inlineStr">
        <is>
          <t>UNO A UNO</t>
        </is>
      </c>
      <c r="Q115" t="inlineStr">
        <is>
          <t>UNO A UNO</t>
        </is>
      </c>
      <c r="R115" t="inlineStr">
        <is>
          <t>EJECUTADO</t>
        </is>
      </c>
      <c r="S115" t="inlineStr">
        <is>
          <t>VISITA TECNICA</t>
        </is>
      </c>
      <c r="T115" t="inlineStr">
        <is>
          <t>VAZZZ394</t>
        </is>
      </c>
      <c r="U115" t="inlineStr">
        <is>
          <t>TIPO I</t>
        </is>
      </c>
      <c r="V115" t="inlineStr">
        <is>
          <t>TERRESTRE</t>
        </is>
      </c>
      <c r="W115" t="inlineStr">
        <is>
          <t>MARTINEZ SALGUEDO ANDRES AUGUSTO</t>
        </is>
      </c>
      <c r="X115" t="inlineStr">
        <is>
          <t>Si</t>
        </is>
      </c>
      <c r="Y115" t="inlineStr">
        <is>
          <t>Si</t>
        </is>
      </c>
      <c r="Z115" s="45" t="n">
        <v>0</v>
      </c>
      <c r="AA115" t="inlineStr">
        <is>
          <t>0</t>
        </is>
      </c>
      <c r="AB115" s="45" t="n">
        <v>194983</v>
      </c>
      <c r="AC115" s="45" t="n">
        <v>0</v>
      </c>
    </row>
    <row r="116">
      <c r="A116" t="inlineStr">
        <is>
          <t>NEIVA</t>
        </is>
      </c>
      <c r="B116" t="inlineStr">
        <is>
          <t>REMOTAS</t>
        </is>
      </c>
      <c r="C116" t="inlineStr">
        <is>
          <t>0004-0007</t>
        </is>
      </c>
      <c r="D116" t="inlineStr">
        <is>
          <t>18001</t>
        </is>
      </c>
      <c r="E116" t="inlineStr">
        <is>
          <t>TA-25-915445</t>
        </is>
      </c>
      <c r="F116" t="inlineStr">
        <is>
          <t>3007080786</t>
        </is>
      </c>
      <c r="G116" t="inlineStr">
        <is>
          <t>APERTURA</t>
        </is>
      </c>
      <c r="H116" t="inlineStr">
        <is>
          <t>CB CRECIMIENTO - NUEVO</t>
        </is>
      </c>
      <c r="I116" t="inlineStr">
        <is>
          <t>CAQUETA</t>
        </is>
      </c>
      <c r="J116" t="inlineStr">
        <is>
          <t>FLORENCIA</t>
        </is>
      </c>
      <c r="K116" t="inlineStr">
        <is>
          <t>BARRIO LA LIBERTAD FLORENCIA 2</t>
        </is>
      </c>
      <c r="L116" t="inlineStr">
        <is>
          <t>BANCOLOMBIA</t>
        </is>
      </c>
      <c r="M116" t="inlineStr">
        <is>
          <t>FO-25-1316240</t>
        </is>
      </c>
      <c r="N116" s="46" t="n">
        <v>45870.725</v>
      </c>
      <c r="O116" s="46" t="n">
        <v>45874.33888888889</v>
      </c>
      <c r="P116" t="inlineStr">
        <is>
          <t>UNO A UNO</t>
        </is>
      </c>
      <c r="Q116" t="inlineStr">
        <is>
          <t>UNO A UNO</t>
        </is>
      </c>
      <c r="R116" t="inlineStr">
        <is>
          <t>EJECUTADO</t>
        </is>
      </c>
      <c r="S116" t="inlineStr">
        <is>
          <t>VISITA TECNICA</t>
        </is>
      </c>
      <c r="T116" t="inlineStr">
        <is>
          <t>F7ZZZ994</t>
        </is>
      </c>
      <c r="U116" t="inlineStr">
        <is>
          <t>TIPO IV</t>
        </is>
      </c>
      <c r="V116" t="inlineStr">
        <is>
          <t>TERRESTRE</t>
        </is>
      </c>
      <c r="W116" t="inlineStr">
        <is>
          <t>BERMUDEZ SANCHEZ JOSE NEYBER</t>
        </is>
      </c>
      <c r="X116" t="inlineStr">
        <is>
          <t>Si</t>
        </is>
      </c>
      <c r="Y116" t="inlineStr">
        <is>
          <t>Si</t>
        </is>
      </c>
      <c r="Z116" s="45" t="n">
        <v>0</v>
      </c>
      <c r="AA116" t="inlineStr">
        <is>
          <t>0</t>
        </is>
      </c>
      <c r="AB116" s="45" t="n">
        <v>248376</v>
      </c>
      <c r="AC116" s="45" t="n">
        <v>0</v>
      </c>
    </row>
    <row r="117">
      <c r="A117" t="inlineStr">
        <is>
          <t>BARRANQUILLA</t>
        </is>
      </c>
      <c r="B117" t="inlineStr">
        <is>
          <t>COSTA</t>
        </is>
      </c>
      <c r="C117" t="inlineStr">
        <is>
          <t>0004-0001</t>
        </is>
      </c>
      <c r="D117" t="inlineStr">
        <is>
          <t>8433</t>
        </is>
      </c>
      <c r="E117" t="inlineStr">
        <is>
          <t>TA-25-915446</t>
        </is>
      </c>
      <c r="F117" t="inlineStr">
        <is>
          <t>3007080788</t>
        </is>
      </c>
      <c r="G117" t="inlineStr">
        <is>
          <t>APERTURA</t>
        </is>
      </c>
      <c r="H117" t="inlineStr">
        <is>
          <t>CB CRECIMIENTO - NUEVO</t>
        </is>
      </c>
      <c r="I117" t="inlineStr">
        <is>
          <t>ATLANTICO</t>
        </is>
      </c>
      <c r="J117" t="inlineStr">
        <is>
          <t>MALAMBO</t>
        </is>
      </c>
      <c r="K117" t="inlineStr">
        <is>
          <t>BARRIO CONCOR MALAMBO 4</t>
        </is>
      </c>
      <c r="L117" t="inlineStr">
        <is>
          <t>BANCOLOMBIA</t>
        </is>
      </c>
      <c r="M117" t="inlineStr">
        <is>
          <t>FO-25-1316244</t>
        </is>
      </c>
      <c r="N117" s="46" t="n">
        <v>45870.59652777778</v>
      </c>
      <c r="O117" s="46" t="n">
        <v>45874.31388888889</v>
      </c>
      <c r="P117" t="inlineStr">
        <is>
          <t>UNO A UNO</t>
        </is>
      </c>
      <c r="Q117" t="inlineStr">
        <is>
          <t>UNO A UNO</t>
        </is>
      </c>
      <c r="R117" t="inlineStr">
        <is>
          <t>EJECUTADO</t>
        </is>
      </c>
      <c r="S117" t="inlineStr">
        <is>
          <t>VISITA TECNICA</t>
        </is>
      </c>
      <c r="T117" t="inlineStr">
        <is>
          <t>F7ZZZ995</t>
        </is>
      </c>
      <c r="U117" t="inlineStr">
        <is>
          <t>TIPO II</t>
        </is>
      </c>
      <c r="V117" t="inlineStr">
        <is>
          <t>TERRESTRE</t>
        </is>
      </c>
      <c r="W117" t="inlineStr">
        <is>
          <t>PORRAS CASTRO DARLON NASCK</t>
        </is>
      </c>
      <c r="X117" t="inlineStr">
        <is>
          <t>Si</t>
        </is>
      </c>
      <c r="Y117" t="inlineStr">
        <is>
          <t>Si</t>
        </is>
      </c>
      <c r="Z117" s="45" t="n">
        <v>0</v>
      </c>
      <c r="AA117" t="inlineStr">
        <is>
          <t>0</t>
        </is>
      </c>
      <c r="AB117" s="45" t="n">
        <v>248376</v>
      </c>
      <c r="AC117" s="45" t="n">
        <v>0</v>
      </c>
    </row>
    <row r="118">
      <c r="A118" t="inlineStr">
        <is>
          <t>CUCUTA</t>
        </is>
      </c>
      <c r="B118" t="inlineStr">
        <is>
          <t>SANTANDERES</t>
        </is>
      </c>
      <c r="C118" t="inlineStr">
        <is>
          <t>0004-0008</t>
        </is>
      </c>
      <c r="D118" t="inlineStr">
        <is>
          <t>54001</t>
        </is>
      </c>
      <c r="E118" t="inlineStr">
        <is>
          <t>TA-25-915451</t>
        </is>
      </c>
      <c r="F118" t="inlineStr">
        <is>
          <t>3007080783</t>
        </is>
      </c>
      <c r="G118" t="inlineStr">
        <is>
          <t>APERTURA</t>
        </is>
      </c>
      <c r="H118" t="inlineStr">
        <is>
          <t>CB CRECIMIENTO - NUEVO</t>
        </is>
      </c>
      <c r="I118" t="inlineStr">
        <is>
          <t>NORTE DE SANTANDER</t>
        </is>
      </c>
      <c r="J118" t="inlineStr">
        <is>
          <t>CUCUTA</t>
        </is>
      </c>
      <c r="K118" t="inlineStr">
        <is>
          <t>BARRIO NIÑA CECI CUCUTA 9</t>
        </is>
      </c>
      <c r="L118" t="inlineStr">
        <is>
          <t>BANCOLOMBIA</t>
        </is>
      </c>
      <c r="M118" t="inlineStr">
        <is>
          <t>FO-25-1316254</t>
        </is>
      </c>
      <c r="N118" s="46" t="n">
        <v>45870.55972222222</v>
      </c>
      <c r="O118" s="46" t="n">
        <v>45874.31597222222</v>
      </c>
      <c r="P118" t="inlineStr">
        <is>
          <t>UNO A UNO</t>
        </is>
      </c>
      <c r="Q118" t="inlineStr">
        <is>
          <t>UNO A UNO</t>
        </is>
      </c>
      <c r="R118" t="inlineStr">
        <is>
          <t>EJECUTADO</t>
        </is>
      </c>
      <c r="S118" t="inlineStr">
        <is>
          <t>VISITA TECNICA</t>
        </is>
      </c>
      <c r="T118" t="inlineStr">
        <is>
          <t>F7ZZZ996</t>
        </is>
      </c>
      <c r="U118" t="inlineStr">
        <is>
          <t>TIPO I</t>
        </is>
      </c>
      <c r="V118" t="inlineStr">
        <is>
          <t>TERRESTRE</t>
        </is>
      </c>
      <c r="W118" t="inlineStr">
        <is>
          <t>DURAN ACOSTA FRANK YONNY</t>
        </is>
      </c>
      <c r="X118" t="inlineStr">
        <is>
          <t>Si</t>
        </is>
      </c>
      <c r="Y118" t="inlineStr">
        <is>
          <t>Si</t>
        </is>
      </c>
      <c r="Z118" s="45" t="n">
        <v>0</v>
      </c>
      <c r="AA118" t="inlineStr">
        <is>
          <t>0</t>
        </is>
      </c>
      <c r="AB118" s="45" t="n">
        <v>194983</v>
      </c>
      <c r="AC118" s="45" t="n">
        <v>0</v>
      </c>
    </row>
    <row r="119">
      <c r="A119" t="inlineStr">
        <is>
          <t>CUCUTA</t>
        </is>
      </c>
      <c r="B119" t="inlineStr">
        <is>
          <t>SANTANDERES</t>
        </is>
      </c>
      <c r="C119" t="inlineStr">
        <is>
          <t>0004-0008</t>
        </is>
      </c>
      <c r="D119" t="inlineStr">
        <is>
          <t>54498</t>
        </is>
      </c>
      <c r="E119" t="inlineStr">
        <is>
          <t>TA-25-915453</t>
        </is>
      </c>
      <c r="F119" t="inlineStr">
        <is>
          <t>3007080794</t>
        </is>
      </c>
      <c r="G119" t="inlineStr">
        <is>
          <t>APERTURA</t>
        </is>
      </c>
      <c r="H119" t="inlineStr">
        <is>
          <t>CB CRECIMIENTO - NUEVO</t>
        </is>
      </c>
      <c r="I119" t="inlineStr">
        <is>
          <t>NORTE DE SANTANDER</t>
        </is>
      </c>
      <c r="J119" t="inlineStr">
        <is>
          <t>OCAÑA</t>
        </is>
      </c>
      <c r="K119" t="inlineStr">
        <is>
          <t>BARRIO BAMBO OCAÑA</t>
        </is>
      </c>
      <c r="L119" t="inlineStr">
        <is>
          <t>BANCOLOMBIA</t>
        </is>
      </c>
      <c r="M119" t="inlineStr">
        <is>
          <t>FO-25-1316260</t>
        </is>
      </c>
      <c r="N119" s="46" t="n">
        <v>45870.55972222222</v>
      </c>
      <c r="O119" s="46" t="n">
        <v>45898.37916666667</v>
      </c>
      <c r="P119" t="inlineStr">
        <is>
          <t>UNO A UNO</t>
        </is>
      </c>
      <c r="Q119" t="inlineStr">
        <is>
          <t>UNO A UNO</t>
        </is>
      </c>
      <c r="R119" t="inlineStr">
        <is>
          <t>EJECUTADO</t>
        </is>
      </c>
      <c r="S119" t="inlineStr">
        <is>
          <t>VISITA TECNICA</t>
        </is>
      </c>
      <c r="T119" t="inlineStr">
        <is>
          <t>F7ZZZ997</t>
        </is>
      </c>
      <c r="U119" t="inlineStr">
        <is>
          <t>TIPO IV</t>
        </is>
      </c>
      <c r="V119" t="inlineStr">
        <is>
          <t>TERRESTRE</t>
        </is>
      </c>
      <c r="W119" t="inlineStr">
        <is>
          <t>PACHECO BUITRAGO JAVIER ALONSO</t>
        </is>
      </c>
      <c r="X119" t="inlineStr">
        <is>
          <t>Si</t>
        </is>
      </c>
      <c r="Y119" t="inlineStr">
        <is>
          <t>Si</t>
        </is>
      </c>
      <c r="Z119" s="45" t="n">
        <v>0</v>
      </c>
      <c r="AA119" t="inlineStr">
        <is>
          <t>0</t>
        </is>
      </c>
      <c r="AB119" s="45" t="n">
        <v>248376</v>
      </c>
      <c r="AC119" s="45" t="n">
        <v>0</v>
      </c>
    </row>
    <row r="120">
      <c r="A120" t="inlineStr">
        <is>
          <t>CUCUTA</t>
        </is>
      </c>
      <c r="B120" t="inlineStr">
        <is>
          <t>SANTANDERES</t>
        </is>
      </c>
      <c r="C120" t="inlineStr">
        <is>
          <t>0004-0008</t>
        </is>
      </c>
      <c r="D120" t="inlineStr">
        <is>
          <t>54498</t>
        </is>
      </c>
      <c r="E120" t="inlineStr">
        <is>
          <t>TA-25-915455</t>
        </is>
      </c>
      <c r="F120" t="inlineStr">
        <is>
          <t>3007080795</t>
        </is>
      </c>
      <c r="G120" t="inlineStr">
        <is>
          <t>APERTURA</t>
        </is>
      </c>
      <c r="H120" t="inlineStr">
        <is>
          <t>CB CRECIMIENTO - NUEVO</t>
        </is>
      </c>
      <c r="I120" t="inlineStr">
        <is>
          <t>NORTE DE SANTANDER</t>
        </is>
      </c>
      <c r="J120" t="inlineStr">
        <is>
          <t>OCAÑA</t>
        </is>
      </c>
      <c r="K120" t="inlineStr">
        <is>
          <t>BARRIO EL LIBANO OCAÑA 1</t>
        </is>
      </c>
      <c r="L120" t="inlineStr">
        <is>
          <t>BANCOLOMBIA</t>
        </is>
      </c>
      <c r="M120" t="inlineStr">
        <is>
          <t>FO-25-1316266</t>
        </is>
      </c>
      <c r="N120" s="46" t="n">
        <v>45870.55972222222</v>
      </c>
      <c r="O120" s="46" t="n">
        <v>45875.58819444444</v>
      </c>
      <c r="P120" t="inlineStr">
        <is>
          <t>UNO A UNO</t>
        </is>
      </c>
      <c r="Q120" t="inlineStr">
        <is>
          <t>UNO A UNO</t>
        </is>
      </c>
      <c r="R120" t="inlineStr">
        <is>
          <t>EJECUTADO</t>
        </is>
      </c>
      <c r="S120" t="inlineStr">
        <is>
          <t>VISITA TECNICA</t>
        </is>
      </c>
      <c r="T120" t="inlineStr">
        <is>
          <t>F7ZZZ998</t>
        </is>
      </c>
      <c r="U120" t="inlineStr">
        <is>
          <t>TIPO IV</t>
        </is>
      </c>
      <c r="V120" t="inlineStr">
        <is>
          <t>TERRESTRE</t>
        </is>
      </c>
      <c r="W120" t="inlineStr">
        <is>
          <t>PACHECO BUITRAGO JAVIER ALONSO</t>
        </is>
      </c>
      <c r="X120" t="inlineStr">
        <is>
          <t>Si</t>
        </is>
      </c>
      <c r="Y120" t="inlineStr">
        <is>
          <t>Si</t>
        </is>
      </c>
      <c r="Z120" s="45" t="n">
        <v>0</v>
      </c>
      <c r="AA120" t="inlineStr">
        <is>
          <t>0</t>
        </is>
      </c>
      <c r="AB120" s="45" t="n">
        <v>248376</v>
      </c>
      <c r="AC120" s="45" t="n">
        <v>0</v>
      </c>
    </row>
    <row r="121">
      <c r="A121" t="inlineStr">
        <is>
          <t>SINCELEJO</t>
        </is>
      </c>
      <c r="B121" t="inlineStr">
        <is>
          <t>COSTA</t>
        </is>
      </c>
      <c r="C121" t="inlineStr">
        <is>
          <t>0004-0001</t>
        </is>
      </c>
      <c r="D121" t="inlineStr">
        <is>
          <t>70001</t>
        </is>
      </c>
      <c r="E121" t="inlineStr">
        <is>
          <t>TA-25-915456</t>
        </is>
      </c>
      <c r="F121" t="inlineStr">
        <is>
          <t>3007080810</t>
        </is>
      </c>
      <c r="G121" t="inlineStr">
        <is>
          <t>APERTURA</t>
        </is>
      </c>
      <c r="H121" t="inlineStr">
        <is>
          <t>CB CRECIMIENTO - NUEVO</t>
        </is>
      </c>
      <c r="I121" t="inlineStr">
        <is>
          <t>SUCRE</t>
        </is>
      </c>
      <c r="J121" t="inlineStr">
        <is>
          <t>SINCELEJO</t>
        </is>
      </c>
      <c r="K121" t="inlineStr">
        <is>
          <t>BARRIO EL CABRERO SINCELEJO</t>
        </is>
      </c>
      <c r="L121" t="inlineStr">
        <is>
          <t>BANCOLOMBIA</t>
        </is>
      </c>
      <c r="M121" t="inlineStr">
        <is>
          <t>FO-25-1316271</t>
        </is>
      </c>
      <c r="N121" s="46" t="n">
        <v>45870.66111111111</v>
      </c>
      <c r="O121" s="46" t="n">
        <v>45874.31736111111</v>
      </c>
      <c r="P121" t="inlineStr">
        <is>
          <t>UNO A UNO</t>
        </is>
      </c>
      <c r="Q121" t="inlineStr">
        <is>
          <t>UNO A UNO</t>
        </is>
      </c>
      <c r="R121" t="inlineStr">
        <is>
          <t>EJECUTADO</t>
        </is>
      </c>
      <c r="S121" t="inlineStr">
        <is>
          <t>VISITA TECNICA</t>
        </is>
      </c>
      <c r="T121" t="inlineStr">
        <is>
          <t>F7ZZZ999</t>
        </is>
      </c>
      <c r="U121" t="inlineStr">
        <is>
          <t>TIPO I</t>
        </is>
      </c>
      <c r="V121" t="inlineStr">
        <is>
          <t>TERRESTRE</t>
        </is>
      </c>
      <c r="W121" t="inlineStr">
        <is>
          <t>SANTOS GUZMAN CHRISTIAN FELIPE</t>
        </is>
      </c>
      <c r="X121" t="inlineStr">
        <is>
          <t>Si</t>
        </is>
      </c>
      <c r="Y121" t="inlineStr">
        <is>
          <t>Si</t>
        </is>
      </c>
      <c r="Z121" s="45" t="n">
        <v>0</v>
      </c>
      <c r="AA121" t="inlineStr">
        <is>
          <t>0</t>
        </is>
      </c>
      <c r="AB121" s="45" t="n">
        <v>194983</v>
      </c>
      <c r="AC121" s="45" t="n">
        <v>0</v>
      </c>
    </row>
    <row r="122">
      <c r="A122" t="inlineStr">
        <is>
          <t>MONTERIA</t>
        </is>
      </c>
      <c r="B122" t="inlineStr">
        <is>
          <t>COSTA</t>
        </is>
      </c>
      <c r="C122" t="inlineStr">
        <is>
          <t>0004-0001</t>
        </is>
      </c>
      <c r="D122" t="inlineStr">
        <is>
          <t>23001</t>
        </is>
      </c>
      <c r="E122" t="inlineStr">
        <is>
          <t>TA-25-915457</t>
        </is>
      </c>
      <c r="F122" t="inlineStr">
        <is>
          <t>3007080792</t>
        </is>
      </c>
      <c r="G122" t="inlineStr">
        <is>
          <t>APERTURA</t>
        </is>
      </c>
      <c r="H122" t="inlineStr">
        <is>
          <t>CB CRECIMIENTO - NUEVO</t>
        </is>
      </c>
      <c r="I122" t="inlineStr">
        <is>
          <t>CORDOBA</t>
        </is>
      </c>
      <c r="J122" t="inlineStr">
        <is>
          <t>MONTERIA</t>
        </is>
      </c>
      <c r="K122" t="inlineStr">
        <is>
          <t>BARRIO URBINA MONTERIA</t>
        </is>
      </c>
      <c r="L122" t="inlineStr">
        <is>
          <t>BANCOLOMBIA</t>
        </is>
      </c>
      <c r="M122" t="inlineStr">
        <is>
          <t>FO-25-1316273</t>
        </is>
      </c>
      <c r="N122" s="46" t="n">
        <v>45870.60555555556</v>
      </c>
      <c r="O122" s="46" t="n">
        <v>45873.60902777778</v>
      </c>
      <c r="P122" t="inlineStr">
        <is>
          <t>UNO A UNO</t>
        </is>
      </c>
      <c r="Q122" t="inlineStr">
        <is>
          <t>UNO A UNO</t>
        </is>
      </c>
      <c r="R122" t="inlineStr">
        <is>
          <t>EJECUTADO</t>
        </is>
      </c>
      <c r="S122" t="inlineStr">
        <is>
          <t>VISITA TECNICA</t>
        </is>
      </c>
      <c r="T122" t="inlineStr">
        <is>
          <t>F8ZZZZ000</t>
        </is>
      </c>
      <c r="U122" t="inlineStr">
        <is>
          <t>TIPO I</t>
        </is>
      </c>
      <c r="V122" t="inlineStr">
        <is>
          <t>TERRESTRE</t>
        </is>
      </c>
      <c r="W122" t="inlineStr">
        <is>
          <t>GONZALEZ FERRER JESUS ALEXANDER</t>
        </is>
      </c>
      <c r="X122" t="inlineStr">
        <is>
          <t>Si</t>
        </is>
      </c>
      <c r="Y122" t="inlineStr">
        <is>
          <t>Si</t>
        </is>
      </c>
      <c r="Z122" s="45" t="n">
        <v>0</v>
      </c>
      <c r="AA122" t="inlineStr">
        <is>
          <t>0</t>
        </is>
      </c>
      <c r="AB122" s="45" t="n">
        <v>194983</v>
      </c>
      <c r="AC122" s="45" t="n">
        <v>0</v>
      </c>
    </row>
    <row r="123">
      <c r="A123" t="inlineStr">
        <is>
          <t>CUCUTA</t>
        </is>
      </c>
      <c r="B123" t="inlineStr">
        <is>
          <t>SANTANDERES</t>
        </is>
      </c>
      <c r="C123" t="inlineStr">
        <is>
          <t>0004-0008</t>
        </is>
      </c>
      <c r="D123" t="inlineStr">
        <is>
          <t>54001</t>
        </is>
      </c>
      <c r="E123" t="inlineStr">
        <is>
          <t>TA-25-915458</t>
        </is>
      </c>
      <c r="F123" t="inlineStr">
        <is>
          <t>3007080784</t>
        </is>
      </c>
      <c r="G123" t="inlineStr">
        <is>
          <t>APERTURA</t>
        </is>
      </c>
      <c r="H123" t="inlineStr">
        <is>
          <t>CB CRECIMIENTO - NUEVO</t>
        </is>
      </c>
      <c r="I123" t="inlineStr">
        <is>
          <t>NORTE DE SANTANDER</t>
        </is>
      </c>
      <c r="J123" t="inlineStr">
        <is>
          <t>CUCUTA</t>
        </is>
      </c>
      <c r="K123" t="inlineStr">
        <is>
          <t>BARRIO CALLEJON CUCUTA 22</t>
        </is>
      </c>
      <c r="L123" t="inlineStr">
        <is>
          <t>BANCOLOMBIA</t>
        </is>
      </c>
      <c r="M123" t="inlineStr">
        <is>
          <t>FO-25-1316279</t>
        </is>
      </c>
      <c r="N123" s="46" t="n">
        <v>45870.55972222222</v>
      </c>
      <c r="O123" s="46" t="n">
        <v>45874.31944444445</v>
      </c>
      <c r="P123" t="inlineStr">
        <is>
          <t>UNO A UNO</t>
        </is>
      </c>
      <c r="Q123" t="inlineStr">
        <is>
          <t>UNO A UNO</t>
        </is>
      </c>
      <c r="R123" t="inlineStr">
        <is>
          <t>EJECUTADO</t>
        </is>
      </c>
      <c r="S123" t="inlineStr">
        <is>
          <t>VISITA TECNICA</t>
        </is>
      </c>
      <c r="T123" t="inlineStr">
        <is>
          <t>F8ZZZ001</t>
        </is>
      </c>
      <c r="U123" t="inlineStr">
        <is>
          <t>TIPO I</t>
        </is>
      </c>
      <c r="V123" t="inlineStr">
        <is>
          <t>TERRESTRE</t>
        </is>
      </c>
      <c r="W123" t="inlineStr">
        <is>
          <t>NARANJO AFANADOR RUBEN JESUS</t>
        </is>
      </c>
      <c r="X123" t="inlineStr">
        <is>
          <t>Si</t>
        </is>
      </c>
      <c r="Y123" t="inlineStr">
        <is>
          <t>Si</t>
        </is>
      </c>
      <c r="Z123" s="45" t="n">
        <v>0</v>
      </c>
      <c r="AA123" t="inlineStr">
        <is>
          <t>0</t>
        </is>
      </c>
      <c r="AB123" s="45" t="n">
        <v>194983</v>
      </c>
      <c r="AC123" s="45" t="n">
        <v>0</v>
      </c>
    </row>
    <row r="124">
      <c r="A124" t="inlineStr">
        <is>
          <t>CUCUTA</t>
        </is>
      </c>
      <c r="B124" t="inlineStr">
        <is>
          <t>SANTANDERES</t>
        </is>
      </c>
      <c r="C124" t="inlineStr">
        <is>
          <t>0004-0008</t>
        </is>
      </c>
      <c r="D124" t="inlineStr">
        <is>
          <t>54498</t>
        </is>
      </c>
      <c r="E124" t="inlineStr">
        <is>
          <t>TA-25-915459</t>
        </is>
      </c>
      <c r="F124" t="inlineStr">
        <is>
          <t>3007080796</t>
        </is>
      </c>
      <c r="G124" t="inlineStr">
        <is>
          <t>APERTURA</t>
        </is>
      </c>
      <c r="H124" t="inlineStr">
        <is>
          <t>CB CRECIMIENTO - NUEVO</t>
        </is>
      </c>
      <c r="I124" t="inlineStr">
        <is>
          <t>NORTE DE SANTANDER</t>
        </is>
      </c>
      <c r="J124" t="inlineStr">
        <is>
          <t>OCAÑA</t>
        </is>
      </c>
      <c r="K124" t="inlineStr">
        <is>
          <t>BARRIO EL CARMEN OCAÑA 1</t>
        </is>
      </c>
      <c r="L124" t="inlineStr">
        <is>
          <t>BANCOLOMBIA</t>
        </is>
      </c>
      <c r="M124" t="inlineStr">
        <is>
          <t>FO-25-1316282</t>
        </is>
      </c>
      <c r="N124" s="46" t="n">
        <v>45870.55972222222</v>
      </c>
      <c r="O124" s="46" t="n">
        <v>45875.29513888889</v>
      </c>
      <c r="P124" t="inlineStr">
        <is>
          <t>UNO A UNO</t>
        </is>
      </c>
      <c r="Q124" t="inlineStr">
        <is>
          <t>UNO A UNO</t>
        </is>
      </c>
      <c r="R124" t="inlineStr">
        <is>
          <t>EJECUTADO</t>
        </is>
      </c>
      <c r="S124" t="inlineStr">
        <is>
          <t>VISITA TECNICA</t>
        </is>
      </c>
      <c r="T124" t="inlineStr">
        <is>
          <t>F8ZZZ002</t>
        </is>
      </c>
      <c r="U124" t="inlineStr">
        <is>
          <t>TIPO IV</t>
        </is>
      </c>
      <c r="V124" t="inlineStr">
        <is>
          <t>TERRESTRE</t>
        </is>
      </c>
      <c r="W124" t="inlineStr">
        <is>
          <t>GONZALEZ ESTUPIÑAN YEISON WALTER ANTONIO</t>
        </is>
      </c>
      <c r="X124" t="inlineStr">
        <is>
          <t>Si</t>
        </is>
      </c>
      <c r="Y124" t="inlineStr">
        <is>
          <t>Si</t>
        </is>
      </c>
      <c r="Z124" s="45" t="n">
        <v>0</v>
      </c>
      <c r="AA124" t="inlineStr">
        <is>
          <t>0</t>
        </is>
      </c>
      <c r="AB124" s="45" t="n">
        <v>248376</v>
      </c>
      <c r="AC124" s="45" t="n">
        <v>0</v>
      </c>
    </row>
    <row r="125">
      <c r="A125" t="inlineStr">
        <is>
          <t>VALLEDUPAR</t>
        </is>
      </c>
      <c r="B125" t="inlineStr">
        <is>
          <t>COSTA</t>
        </is>
      </c>
      <c r="C125" t="inlineStr">
        <is>
          <t>0004-0001</t>
        </is>
      </c>
      <c r="D125" t="inlineStr">
        <is>
          <t>20011</t>
        </is>
      </c>
      <c r="E125" t="inlineStr">
        <is>
          <t>TA-25-915460</t>
        </is>
      </c>
      <c r="F125" t="inlineStr">
        <is>
          <t>3007080766</t>
        </is>
      </c>
      <c r="G125" t="inlineStr">
        <is>
          <t>APERTURA</t>
        </is>
      </c>
      <c r="H125" t="inlineStr">
        <is>
          <t>CB CRECIMIENTO - NUEVO</t>
        </is>
      </c>
      <c r="I125" t="inlineStr">
        <is>
          <t>CESAR</t>
        </is>
      </c>
      <c r="J125" t="inlineStr">
        <is>
          <t>AGUACHICA</t>
        </is>
      </c>
      <c r="K125" t="inlineStr">
        <is>
          <t>BARRIO LA SABANITA AGUACHICA 1</t>
        </is>
      </c>
      <c r="L125" t="inlineStr">
        <is>
          <t>BANCOLOMBIA</t>
        </is>
      </c>
      <c r="M125" t="inlineStr">
        <is>
          <t>FO-25-1316290</t>
        </is>
      </c>
      <c r="N125" s="46" t="n">
        <v>45870.60347222222</v>
      </c>
      <c r="O125" s="46" t="n">
        <v>45873.56111111111</v>
      </c>
      <c r="P125" t="inlineStr">
        <is>
          <t>UNO A UNO</t>
        </is>
      </c>
      <c r="Q125" t="inlineStr">
        <is>
          <t>UNO A UNO</t>
        </is>
      </c>
      <c r="R125" t="inlineStr">
        <is>
          <t>EJECUTADO</t>
        </is>
      </c>
      <c r="S125" t="inlineStr">
        <is>
          <t>VISITA TECNICA</t>
        </is>
      </c>
      <c r="T125" t="inlineStr">
        <is>
          <t>F8ZZZ003</t>
        </is>
      </c>
      <c r="U125" t="inlineStr">
        <is>
          <t>TIPO IV</t>
        </is>
      </c>
      <c r="V125" t="inlineStr">
        <is>
          <t>TERRESTRE</t>
        </is>
      </c>
      <c r="W125" t="inlineStr">
        <is>
          <t>MONTES DIAZ JOHN FRED</t>
        </is>
      </c>
      <c r="X125" t="inlineStr">
        <is>
          <t>Si</t>
        </is>
      </c>
      <c r="Y125" t="inlineStr">
        <is>
          <t>Si</t>
        </is>
      </c>
      <c r="Z125" s="45" t="n">
        <v>0</v>
      </c>
      <c r="AA125" t="inlineStr">
        <is>
          <t>0</t>
        </is>
      </c>
      <c r="AB125" s="45" t="n">
        <v>248376</v>
      </c>
      <c r="AC125" s="45" t="n">
        <v>0</v>
      </c>
    </row>
    <row r="126">
      <c r="A126" t="inlineStr">
        <is>
          <t>CARTAGENA</t>
        </is>
      </c>
      <c r="B126" t="inlineStr">
        <is>
          <t>COSTA</t>
        </is>
      </c>
      <c r="C126" t="inlineStr">
        <is>
          <t>0004-0001</t>
        </is>
      </c>
      <c r="D126" t="inlineStr">
        <is>
          <t>13001</t>
        </is>
      </c>
      <c r="E126" t="inlineStr">
        <is>
          <t>TA-25-915461</t>
        </is>
      </c>
      <c r="F126" t="inlineStr">
        <is>
          <t>3007080780</t>
        </is>
      </c>
      <c r="G126" t="inlineStr">
        <is>
          <t>APERTURA</t>
        </is>
      </c>
      <c r="H126" t="inlineStr">
        <is>
          <t>CB CRECIMIENTO - NUEVO</t>
        </is>
      </c>
      <c r="I126" t="inlineStr">
        <is>
          <t>BOLIVAR</t>
        </is>
      </c>
      <c r="J126" t="inlineStr">
        <is>
          <t>CARTAGENA</t>
        </is>
      </c>
      <c r="K126" t="inlineStr">
        <is>
          <t>BARRIO AMBERES CARTAGENA DE INDIAS 3</t>
        </is>
      </c>
      <c r="L126" t="inlineStr">
        <is>
          <t>BANCOLOMBIA</t>
        </is>
      </c>
      <c r="M126" t="inlineStr">
        <is>
          <t>FO-25-1316299</t>
        </is>
      </c>
      <c r="N126" s="46" t="n">
        <v>45870.59861111111</v>
      </c>
      <c r="O126" s="46" t="n">
        <v>45873.58541666667</v>
      </c>
      <c r="P126" t="inlineStr">
        <is>
          <t>UNO A UNO</t>
        </is>
      </c>
      <c r="Q126" t="inlineStr">
        <is>
          <t>UNO A UNO</t>
        </is>
      </c>
      <c r="R126" t="inlineStr">
        <is>
          <t>EJECUTADO</t>
        </is>
      </c>
      <c r="S126" t="inlineStr">
        <is>
          <t>VISITA TECNICA</t>
        </is>
      </c>
      <c r="T126" t="inlineStr">
        <is>
          <t>F8ZZZ004</t>
        </is>
      </c>
      <c r="U126" t="inlineStr">
        <is>
          <t>TIPO I</t>
        </is>
      </c>
      <c r="V126" t="inlineStr">
        <is>
          <t>TERRESTRE</t>
        </is>
      </c>
      <c r="W126" t="inlineStr">
        <is>
          <t>CANEDO HERRERA ALEXANDER</t>
        </is>
      </c>
      <c r="X126" t="inlineStr">
        <is>
          <t>Si</t>
        </is>
      </c>
      <c r="Y126" t="inlineStr">
        <is>
          <t>Si</t>
        </is>
      </c>
      <c r="Z126" s="45" t="n">
        <v>0</v>
      </c>
      <c r="AA126" t="inlineStr">
        <is>
          <t>0</t>
        </is>
      </c>
      <c r="AB126" s="45" t="n">
        <v>194983</v>
      </c>
      <c r="AC126" s="45" t="n">
        <v>0</v>
      </c>
    </row>
    <row r="127">
      <c r="A127" t="inlineStr">
        <is>
          <t>BUCARAMANGA</t>
        </is>
      </c>
      <c r="B127" t="inlineStr">
        <is>
          <t>SANTANDERES</t>
        </is>
      </c>
      <c r="C127" t="inlineStr">
        <is>
          <t>0004-0008</t>
        </is>
      </c>
      <c r="D127" t="inlineStr">
        <is>
          <t>13688</t>
        </is>
      </c>
      <c r="E127" t="inlineStr">
        <is>
          <t>TA-25-915463</t>
        </is>
      </c>
      <c r="F127" t="inlineStr">
        <is>
          <t>3007080807</t>
        </is>
      </c>
      <c r="G127" t="inlineStr">
        <is>
          <t>APERTURA</t>
        </is>
      </c>
      <c r="H127" t="inlineStr">
        <is>
          <t>CB CRECIMIENTO - NUEVO</t>
        </is>
      </c>
      <c r="I127" t="inlineStr">
        <is>
          <t>BOLIVAR</t>
        </is>
      </c>
      <c r="J127" t="inlineStr">
        <is>
          <t>SANTA ROSA DEL SUR</t>
        </is>
      </c>
      <c r="K127" t="inlineStr">
        <is>
          <t>BARRIO SAN MARTIN SANTA ROSA DEL SUR 3</t>
        </is>
      </c>
      <c r="L127" t="inlineStr">
        <is>
          <t>BANCOLOMBIA</t>
        </is>
      </c>
      <c r="M127" t="inlineStr">
        <is>
          <t>FO-25-1316304</t>
        </is>
      </c>
      <c r="N127" s="46" t="n">
        <v>45870.55972222222</v>
      </c>
      <c r="O127" s="46" t="n">
        <v>45875.46458333333</v>
      </c>
      <c r="P127" t="inlineStr">
        <is>
          <t>UNO A UNO</t>
        </is>
      </c>
      <c r="Q127" t="inlineStr">
        <is>
          <t>UNO A UNO</t>
        </is>
      </c>
      <c r="R127" t="inlineStr">
        <is>
          <t>EJECUTADO</t>
        </is>
      </c>
      <c r="S127" t="inlineStr">
        <is>
          <t>VISITA TECNICA</t>
        </is>
      </c>
      <c r="T127" t="inlineStr">
        <is>
          <t xml:space="preserve">F8ZZZ005 </t>
        </is>
      </c>
      <c r="U127" t="inlineStr">
        <is>
          <t>TIPO IV ESPECIAL</t>
        </is>
      </c>
      <c r="V127" t="inlineStr">
        <is>
          <t>TERRESTRE/FLUVIAL</t>
        </is>
      </c>
      <c r="W127" t="inlineStr">
        <is>
          <t>ORTEBARRERAGA MARLON STWAR</t>
        </is>
      </c>
      <c r="X127" t="inlineStr">
        <is>
          <t>Si</t>
        </is>
      </c>
      <c r="Y127" t="inlineStr">
        <is>
          <t>Si</t>
        </is>
      </c>
      <c r="Z127" s="45" t="n">
        <v>0</v>
      </c>
      <c r="AA127" t="inlineStr">
        <is>
          <t>0</t>
        </is>
      </c>
      <c r="AB127" s="45" t="n">
        <v>248376</v>
      </c>
      <c r="AC127" s="45" t="n">
        <v>0</v>
      </c>
    </row>
    <row r="128">
      <c r="A128" t="inlineStr">
        <is>
          <t>CALI</t>
        </is>
      </c>
      <c r="B128" t="inlineStr">
        <is>
          <t>SUROCCIDENTE Y EJE CAFETERO</t>
        </is>
      </c>
      <c r="C128" t="inlineStr">
        <is>
          <t>0004-0003</t>
        </is>
      </c>
      <c r="D128" t="inlineStr">
        <is>
          <t>76001</t>
        </is>
      </c>
      <c r="E128" t="inlineStr">
        <is>
          <t>TA-25-915464</t>
        </is>
      </c>
      <c r="F128" t="inlineStr">
        <is>
          <t>3007080777</t>
        </is>
      </c>
      <c r="G128" t="inlineStr">
        <is>
          <t>APERTURA</t>
        </is>
      </c>
      <c r="H128" t="inlineStr">
        <is>
          <t>CB CRECIMIENTO - NUEVO</t>
        </is>
      </c>
      <c r="I128" t="inlineStr">
        <is>
          <t>VALLE DEL CAUCA</t>
        </is>
      </c>
      <c r="J128" t="inlineStr">
        <is>
          <t>CALI</t>
        </is>
      </c>
      <c r="K128" t="inlineStr">
        <is>
          <t>BARRIO SAN PASCUAL CALI 2</t>
        </is>
      </c>
      <c r="L128" t="inlineStr">
        <is>
          <t>BANCOLOMBIA</t>
        </is>
      </c>
      <c r="M128" t="inlineStr">
        <is>
          <t>FO-25-1316308</t>
        </is>
      </c>
      <c r="N128" s="46" t="n">
        <v>45870.29930555556</v>
      </c>
      <c r="O128" s="46" t="n">
        <v>45873.57777777778</v>
      </c>
      <c r="P128" t="inlineStr">
        <is>
          <t>UNO A UNO</t>
        </is>
      </c>
      <c r="Q128" t="inlineStr">
        <is>
          <t>UNO A UNO</t>
        </is>
      </c>
      <c r="R128" t="inlineStr">
        <is>
          <t>EJECUTADO</t>
        </is>
      </c>
      <c r="S128" t="inlineStr">
        <is>
          <t>VISITA TECNICA</t>
        </is>
      </c>
      <c r="T128" t="inlineStr">
        <is>
          <t>F8ZZZ006</t>
        </is>
      </c>
      <c r="U128" t="inlineStr">
        <is>
          <t>TIPO I</t>
        </is>
      </c>
      <c r="V128" t="inlineStr">
        <is>
          <t>TERRESTRE</t>
        </is>
      </c>
      <c r="W128" t="inlineStr">
        <is>
          <t>PAREDES CASTILLO DIEGO</t>
        </is>
      </c>
      <c r="X128" t="inlineStr">
        <is>
          <t>Si</t>
        </is>
      </c>
      <c r="Y128" t="inlineStr">
        <is>
          <t>Si</t>
        </is>
      </c>
      <c r="Z128" s="45" t="n">
        <v>0</v>
      </c>
      <c r="AA128" t="inlineStr">
        <is>
          <t>0</t>
        </is>
      </c>
      <c r="AB128" s="45" t="n">
        <v>194983</v>
      </c>
      <c r="AC128" s="45" t="n">
        <v>0</v>
      </c>
    </row>
    <row r="129">
      <c r="A129" t="inlineStr">
        <is>
          <t>PASTO</t>
        </is>
      </c>
      <c r="B129" t="inlineStr">
        <is>
          <t>SUROCCIDENTE Y EJE CAFETERO</t>
        </is>
      </c>
      <c r="C129" t="inlineStr">
        <is>
          <t>0004-0003</t>
        </is>
      </c>
      <c r="D129" t="inlineStr">
        <is>
          <t>52786</t>
        </is>
      </c>
      <c r="E129" t="inlineStr">
        <is>
          <t>TA-25-915467</t>
        </is>
      </c>
      <c r="F129" t="inlineStr">
        <is>
          <t>3007080812</t>
        </is>
      </c>
      <c r="G129" t="inlineStr">
        <is>
          <t>APERTURA</t>
        </is>
      </c>
      <c r="H129" t="inlineStr">
        <is>
          <t>CB CRECIMIENTO - NUEVO</t>
        </is>
      </c>
      <c r="I129" t="inlineStr">
        <is>
          <t>NARIÑO</t>
        </is>
      </c>
      <c r="J129" t="inlineStr">
        <is>
          <t>TAMINANGO</t>
        </is>
      </c>
      <c r="K129" t="inlineStr">
        <is>
          <t>BARRIO EL PRADO TAMINANGO 3</t>
        </is>
      </c>
      <c r="L129" t="inlineStr">
        <is>
          <t>BANCOLOMBIA</t>
        </is>
      </c>
      <c r="M129" t="inlineStr">
        <is>
          <t>FO-25-1316317</t>
        </is>
      </c>
      <c r="N129" s="46" t="n">
        <v>45870.575</v>
      </c>
      <c r="O129" s="46" t="n">
        <v>45873.66805555556</v>
      </c>
      <c r="P129" t="inlineStr">
        <is>
          <t>UNO A UNO</t>
        </is>
      </c>
      <c r="Q129" t="inlineStr">
        <is>
          <t>UNO A UNO</t>
        </is>
      </c>
      <c r="R129" t="inlineStr">
        <is>
          <t>EJECUTADO</t>
        </is>
      </c>
      <c r="S129" t="inlineStr">
        <is>
          <t>VISITA TECNICA</t>
        </is>
      </c>
      <c r="T129" t="inlineStr">
        <is>
          <t>F8ZZZ007</t>
        </is>
      </c>
      <c r="U129" t="inlineStr">
        <is>
          <t>TIPO II</t>
        </is>
      </c>
      <c r="V129" t="inlineStr">
        <is>
          <t>TERRESTRE</t>
        </is>
      </c>
      <c r="W129" t="inlineStr">
        <is>
          <t>REMICIO AMADO JOHN HEBER</t>
        </is>
      </c>
      <c r="X129" t="inlineStr">
        <is>
          <t>Si</t>
        </is>
      </c>
      <c r="Y129" t="inlineStr">
        <is>
          <t>Si</t>
        </is>
      </c>
      <c r="Z129" s="45" t="n">
        <v>0</v>
      </c>
      <c r="AA129" t="inlineStr">
        <is>
          <t>0</t>
        </is>
      </c>
      <c r="AB129" s="45" t="n">
        <v>248376</v>
      </c>
      <c r="AC129" s="45" t="n">
        <v>0</v>
      </c>
    </row>
    <row r="130">
      <c r="A130" t="inlineStr">
        <is>
          <t>BOGOTA</t>
        </is>
      </c>
      <c r="B130" t="inlineStr">
        <is>
          <t>CUNDINAMARCA</t>
        </is>
      </c>
      <c r="C130" t="inlineStr">
        <is>
          <t>0004-0004</t>
        </is>
      </c>
      <c r="D130" t="inlineStr">
        <is>
          <t>11001</t>
        </is>
      </c>
      <c r="E130" t="inlineStr">
        <is>
          <t>TA-25-915468</t>
        </is>
      </c>
      <c r="F130" t="inlineStr">
        <is>
          <t>3007080772</t>
        </is>
      </c>
      <c r="G130" t="inlineStr">
        <is>
          <t>APERTURA</t>
        </is>
      </c>
      <c r="H130" t="inlineStr">
        <is>
          <t>CB CRECIMIENTO - NUEVO</t>
        </is>
      </c>
      <c r="I130" t="inlineStr">
        <is>
          <t>CUNDINAMARCA</t>
        </is>
      </c>
      <c r="J130" t="inlineStr">
        <is>
          <t>BOGOTA</t>
        </is>
      </c>
      <c r="K130" t="inlineStr">
        <is>
          <t>BARRIO LA ISABELLA BOGOTA</t>
        </is>
      </c>
      <c r="L130" t="inlineStr">
        <is>
          <t>BANCOLOMBIA</t>
        </is>
      </c>
      <c r="M130" t="inlineStr">
        <is>
          <t>FO-25-1328346</t>
        </is>
      </c>
      <c r="N130" s="46" t="n">
        <v>45870.57083333333</v>
      </c>
      <c r="O130" s="46" t="n">
        <v>45875.30208333334</v>
      </c>
      <c r="P130" t="inlineStr">
        <is>
          <t>UNO A UNO</t>
        </is>
      </c>
      <c r="Q130" t="inlineStr">
        <is>
          <t>UNO A UNO</t>
        </is>
      </c>
      <c r="R130" t="inlineStr">
        <is>
          <t>EJECUTADO</t>
        </is>
      </c>
      <c r="S130" t="inlineStr">
        <is>
          <t>VISITA TECNICA</t>
        </is>
      </c>
      <c r="T130" t="inlineStr">
        <is>
          <t>F8ZZZ008</t>
        </is>
      </c>
      <c r="U130" t="inlineStr">
        <is>
          <t>TIPO I</t>
        </is>
      </c>
      <c r="V130" t="inlineStr">
        <is>
          <t>TERRESTRE</t>
        </is>
      </c>
      <c r="W130" t="inlineStr">
        <is>
          <t>GALINDO ROJAS LUIS FELIPE</t>
        </is>
      </c>
      <c r="X130" t="inlineStr">
        <is>
          <t>Si</t>
        </is>
      </c>
      <c r="Y130" t="inlineStr">
        <is>
          <t>Si</t>
        </is>
      </c>
      <c r="Z130" s="45" t="n">
        <v>44560</v>
      </c>
      <c r="AA130" t="inlineStr">
        <is>
          <t>0</t>
        </is>
      </c>
      <c r="AB130" s="45" t="n">
        <v>309813</v>
      </c>
      <c r="AC130" s="45" t="n">
        <v>0</v>
      </c>
    </row>
    <row r="131">
      <c r="A131" t="inlineStr">
        <is>
          <t>MANIZALES</t>
        </is>
      </c>
      <c r="B131" t="inlineStr">
        <is>
          <t>SUROCCIDENTE Y EJE CAFETERO</t>
        </is>
      </c>
      <c r="C131" t="inlineStr">
        <is>
          <t>0004-0002</t>
        </is>
      </c>
      <c r="D131" t="inlineStr">
        <is>
          <t>17001</t>
        </is>
      </c>
      <c r="E131" t="inlineStr">
        <is>
          <t>TA-25-915469</t>
        </is>
      </c>
      <c r="F131" t="inlineStr">
        <is>
          <t>3007080789</t>
        </is>
      </c>
      <c r="G131" t="inlineStr">
        <is>
          <t>APERTURA</t>
        </is>
      </c>
      <c r="H131" t="inlineStr">
        <is>
          <t>CB CRECIMIENTO - NUEVO</t>
        </is>
      </c>
      <c r="I131" t="inlineStr">
        <is>
          <t>CALDAS</t>
        </is>
      </c>
      <c r="J131" t="inlineStr">
        <is>
          <t>MANIZALES</t>
        </is>
      </c>
      <c r="K131" t="inlineStr">
        <is>
          <t>BARRIO GUAYACANES MANIZALES 1</t>
        </is>
      </c>
      <c r="L131" t="inlineStr">
        <is>
          <t>BANCOLOMBIA</t>
        </is>
      </c>
      <c r="M131" t="inlineStr">
        <is>
          <t>FO-25-1316329</t>
        </is>
      </c>
      <c r="N131" s="46" t="n">
        <v>45870.27430555555</v>
      </c>
      <c r="O131" s="46" t="n">
        <v>45873.55138888889</v>
      </c>
      <c r="P131" t="inlineStr">
        <is>
          <t>UNO A UNO</t>
        </is>
      </c>
      <c r="Q131" t="inlineStr">
        <is>
          <t>UNO A UNO</t>
        </is>
      </c>
      <c r="R131" t="inlineStr">
        <is>
          <t>EJECUTADO</t>
        </is>
      </c>
      <c r="S131" t="inlineStr">
        <is>
          <t>VISITA TECNICA</t>
        </is>
      </c>
      <c r="T131" t="inlineStr">
        <is>
          <t>F8ZZZ009</t>
        </is>
      </c>
      <c r="U131" t="inlineStr">
        <is>
          <t>TIPO I</t>
        </is>
      </c>
      <c r="V131" t="inlineStr">
        <is>
          <t>TERRESTRE</t>
        </is>
      </c>
      <c r="W131" t="inlineStr">
        <is>
          <t>AGUIRRE HENAO RAUL EDUARDO</t>
        </is>
      </c>
      <c r="X131" t="inlineStr">
        <is>
          <t>Si</t>
        </is>
      </c>
      <c r="Y131" t="inlineStr">
        <is>
          <t>Si</t>
        </is>
      </c>
      <c r="Z131" s="45" t="n">
        <v>0</v>
      </c>
      <c r="AA131" t="inlineStr">
        <is>
          <t>0</t>
        </is>
      </c>
      <c r="AB131" s="45" t="n">
        <v>194983</v>
      </c>
      <c r="AC131" s="45" t="n">
        <v>0</v>
      </c>
    </row>
    <row r="132">
      <c r="A132" t="inlineStr">
        <is>
          <t>MEDELLIN</t>
        </is>
      </c>
      <c r="B132" t="inlineStr">
        <is>
          <t>NOROCCIDENTE</t>
        </is>
      </c>
      <c r="C132" t="inlineStr">
        <is>
          <t>0004-0005</t>
        </is>
      </c>
      <c r="D132" t="inlineStr">
        <is>
          <t>5001</t>
        </is>
      </c>
      <c r="E132" t="inlineStr">
        <is>
          <t>TA-25-915470</t>
        </is>
      </c>
      <c r="F132" t="inlineStr">
        <is>
          <t>3007080818</t>
        </is>
      </c>
      <c r="G132" t="inlineStr">
        <is>
          <t>APERTURA</t>
        </is>
      </c>
      <c r="H132" t="inlineStr">
        <is>
          <t>CB CRECIMIENTO - NUEVO</t>
        </is>
      </c>
      <c r="I132" t="inlineStr">
        <is>
          <t>ANTIOQUIA</t>
        </is>
      </c>
      <c r="J132" t="inlineStr">
        <is>
          <t>MEDELLIN</t>
        </is>
      </c>
      <c r="K132" t="inlineStr">
        <is>
          <t>BARRIO SAN JAVIER LA LOMA MEDELLIN 1</t>
        </is>
      </c>
      <c r="L132" t="inlineStr">
        <is>
          <t>BANCOLOMBIA</t>
        </is>
      </c>
      <c r="M132" t="inlineStr">
        <is>
          <t>FO-25-1316336</t>
        </is>
      </c>
      <c r="N132" s="46" t="n">
        <v>45870.66944444444</v>
      </c>
      <c r="O132" s="46" t="n">
        <v>45874.32222222222</v>
      </c>
      <c r="P132" t="inlineStr">
        <is>
          <t>UNO A UNO</t>
        </is>
      </c>
      <c r="Q132" t="inlineStr">
        <is>
          <t>UNO A UNO</t>
        </is>
      </c>
      <c r="R132" t="inlineStr">
        <is>
          <t>EJECUTADO</t>
        </is>
      </c>
      <c r="S132" t="inlineStr">
        <is>
          <t>VISITA TECNICA</t>
        </is>
      </c>
      <c r="T132" t="inlineStr">
        <is>
          <t>F8ZZZ010</t>
        </is>
      </c>
      <c r="U132" t="inlineStr">
        <is>
          <t>TIPO I</t>
        </is>
      </c>
      <c r="V132" t="inlineStr">
        <is>
          <t>TERRESTRE</t>
        </is>
      </c>
      <c r="W132" t="inlineStr">
        <is>
          <t>BADEL ACUÑA LUIS ALBERTO</t>
        </is>
      </c>
      <c r="X132" t="inlineStr">
        <is>
          <t>Si</t>
        </is>
      </c>
      <c r="Y132" t="inlineStr">
        <is>
          <t>Si</t>
        </is>
      </c>
      <c r="Z132" s="45" t="n">
        <v>0</v>
      </c>
      <c r="AA132" t="inlineStr">
        <is>
          <t>0</t>
        </is>
      </c>
      <c r="AB132" s="45" t="n">
        <v>194983</v>
      </c>
      <c r="AC132" s="45" t="n">
        <v>0</v>
      </c>
    </row>
    <row r="133">
      <c r="A133" t="inlineStr">
        <is>
          <t>PEREIRA</t>
        </is>
      </c>
      <c r="B133" t="inlineStr">
        <is>
          <t>SUROCCIDENTE Y EJE CAFETERO</t>
        </is>
      </c>
      <c r="C133" t="inlineStr">
        <is>
          <t>0004-0002</t>
        </is>
      </c>
      <c r="D133" t="inlineStr">
        <is>
          <t>76823</t>
        </is>
      </c>
      <c r="E133" t="inlineStr">
        <is>
          <t>TA-25-915471</t>
        </is>
      </c>
      <c r="F133" t="inlineStr">
        <is>
          <t>3007080814</t>
        </is>
      </c>
      <c r="G133" t="inlineStr">
        <is>
          <t>APERTURA</t>
        </is>
      </c>
      <c r="H133" t="inlineStr">
        <is>
          <t>CB CRECIMIENTO - NUEVO</t>
        </is>
      </c>
      <c r="I133" t="inlineStr">
        <is>
          <t>VALLE DEL CAUCA</t>
        </is>
      </c>
      <c r="J133" t="inlineStr">
        <is>
          <t>TORO</t>
        </is>
      </c>
      <c r="K133" t="inlineStr">
        <is>
          <t>BARRIO BULEVAR AVENIDA TORO</t>
        </is>
      </c>
      <c r="L133" t="inlineStr">
        <is>
          <t>BANCOLOMBIA</t>
        </is>
      </c>
      <c r="M133" t="inlineStr">
        <is>
          <t>FO-25-1316342</t>
        </is>
      </c>
      <c r="N133" s="46" t="n">
        <v>45870.68402777778</v>
      </c>
      <c r="O133" s="46" t="n">
        <v>45874.57708333333</v>
      </c>
      <c r="P133" t="inlineStr">
        <is>
          <t>UNO A UNO</t>
        </is>
      </c>
      <c r="Q133" t="inlineStr">
        <is>
          <t>UNO A UNO</t>
        </is>
      </c>
      <c r="R133" t="inlineStr">
        <is>
          <t>EJECUTADO</t>
        </is>
      </c>
      <c r="S133" t="inlineStr">
        <is>
          <t>VISITA TECNICA</t>
        </is>
      </c>
      <c r="T133" t="inlineStr">
        <is>
          <t>F8ZZZ011</t>
        </is>
      </c>
      <c r="U133" t="inlineStr">
        <is>
          <t>TIPO II</t>
        </is>
      </c>
      <c r="V133" t="inlineStr">
        <is>
          <t>TERRESTRE</t>
        </is>
      </c>
      <c r="W133" t="inlineStr">
        <is>
          <t>FRANCO CAÑAVERAL YAMID RAUL</t>
        </is>
      </c>
      <c r="X133" t="inlineStr">
        <is>
          <t>Si</t>
        </is>
      </c>
      <c r="Y133" t="inlineStr">
        <is>
          <t>Si</t>
        </is>
      </c>
      <c r="Z133" s="45" t="n">
        <v>0</v>
      </c>
      <c r="AA133" t="inlineStr">
        <is>
          <t>0</t>
        </is>
      </c>
      <c r="AB133" s="45" t="n">
        <v>248376</v>
      </c>
      <c r="AC133" s="45" t="n">
        <v>0</v>
      </c>
    </row>
    <row r="134">
      <c r="A134" t="inlineStr">
        <is>
          <t>MEDELLIN</t>
        </is>
      </c>
      <c r="B134" t="inlineStr">
        <is>
          <t>NOROCCIDENTE</t>
        </is>
      </c>
      <c r="C134" t="inlineStr">
        <is>
          <t>0004-0005</t>
        </is>
      </c>
      <c r="D134" t="inlineStr">
        <is>
          <t>5001</t>
        </is>
      </c>
      <c r="E134" t="inlineStr">
        <is>
          <t>TA-25-915472</t>
        </is>
      </c>
      <c r="F134" t="inlineStr">
        <is>
          <t>3007080819</t>
        </is>
      </c>
      <c r="G134" t="inlineStr">
        <is>
          <t>APERTURA</t>
        </is>
      </c>
      <c r="H134" t="inlineStr">
        <is>
          <t>CB CRECIMIENTO - NUEVO</t>
        </is>
      </c>
      <c r="I134" t="inlineStr">
        <is>
          <t>ANTIOQUIA</t>
        </is>
      </c>
      <c r="J134" t="inlineStr">
        <is>
          <t>MEDELLIN</t>
        </is>
      </c>
      <c r="K134" t="inlineStr">
        <is>
          <t>BARRIO CHAGUALO MEDELLIN 4</t>
        </is>
      </c>
      <c r="L134" t="inlineStr">
        <is>
          <t>BANCOLOMBIA</t>
        </is>
      </c>
      <c r="M134" t="inlineStr">
        <is>
          <t>FO-25-1316348</t>
        </is>
      </c>
      <c r="N134" s="46" t="n">
        <v>45870.66944444444</v>
      </c>
      <c r="O134" s="46" t="n">
        <v>45873.5625</v>
      </c>
      <c r="P134" t="inlineStr">
        <is>
          <t>UNO A UNO</t>
        </is>
      </c>
      <c r="Q134" t="inlineStr">
        <is>
          <t>UNO A UNO</t>
        </is>
      </c>
      <c r="R134" t="inlineStr">
        <is>
          <t>EJECUTADO</t>
        </is>
      </c>
      <c r="S134" t="inlineStr">
        <is>
          <t>VISITA TECNICA</t>
        </is>
      </c>
      <c r="T134" t="inlineStr">
        <is>
          <t>F8ZZZ013</t>
        </is>
      </c>
      <c r="U134" t="inlineStr">
        <is>
          <t>TIPO I</t>
        </is>
      </c>
      <c r="V134" t="inlineStr">
        <is>
          <t>TERRESTRE</t>
        </is>
      </c>
      <c r="W134" t="inlineStr">
        <is>
          <t>BADEL ACUÑA LUIS ALBERTO</t>
        </is>
      </c>
      <c r="X134" t="inlineStr">
        <is>
          <t>Si</t>
        </is>
      </c>
      <c r="Y134" t="inlineStr">
        <is>
          <t>Si</t>
        </is>
      </c>
      <c r="Z134" s="45" t="n">
        <v>0</v>
      </c>
      <c r="AA134" t="inlineStr">
        <is>
          <t>0</t>
        </is>
      </c>
      <c r="AB134" s="45" t="n">
        <v>194983</v>
      </c>
      <c r="AC134" s="45" t="n">
        <v>0</v>
      </c>
    </row>
    <row r="135">
      <c r="A135" t="inlineStr">
        <is>
          <t>BOGOTA</t>
        </is>
      </c>
      <c r="B135" t="inlineStr">
        <is>
          <t>CUNDINAMARCA</t>
        </is>
      </c>
      <c r="C135" t="inlineStr">
        <is>
          <t>0004-0004</t>
        </is>
      </c>
      <c r="D135" t="inlineStr">
        <is>
          <t>11001</t>
        </is>
      </c>
      <c r="E135" t="inlineStr">
        <is>
          <t>TA-25-915473</t>
        </is>
      </c>
      <c r="F135" t="inlineStr">
        <is>
          <t>3007080775</t>
        </is>
      </c>
      <c r="G135" t="inlineStr">
        <is>
          <t>APERTURA</t>
        </is>
      </c>
      <c r="H135" t="inlineStr">
        <is>
          <t>CB CRECIMIENTO - NUEVO</t>
        </is>
      </c>
      <c r="I135" t="inlineStr">
        <is>
          <t>CUNDINAMARCA</t>
        </is>
      </c>
      <c r="J135" t="inlineStr">
        <is>
          <t>BOGOTA</t>
        </is>
      </c>
      <c r="K135" t="inlineStr">
        <is>
          <t>BARRIO VILLAS DEL DORADO BOGOTA 8</t>
        </is>
      </c>
      <c r="L135" t="inlineStr">
        <is>
          <t>BANCOLOMBIA</t>
        </is>
      </c>
      <c r="M135" t="inlineStr">
        <is>
          <t>FO-25-1316351</t>
        </is>
      </c>
      <c r="N135" s="46" t="n">
        <v>45870.57083333333</v>
      </c>
      <c r="O135" s="46" t="n">
        <v>45874.36319444444</v>
      </c>
      <c r="P135" t="inlineStr">
        <is>
          <t>UNO A UNO</t>
        </is>
      </c>
      <c r="Q135" t="inlineStr">
        <is>
          <t>UNO A UNO</t>
        </is>
      </c>
      <c r="R135" t="inlineStr">
        <is>
          <t>EJECUTADO</t>
        </is>
      </c>
      <c r="S135" t="inlineStr">
        <is>
          <t>VISITA TECNICA</t>
        </is>
      </c>
      <c r="T135" t="inlineStr">
        <is>
          <t>F8ZZZ014</t>
        </is>
      </c>
      <c r="U135" t="inlineStr">
        <is>
          <t>TIPO I</t>
        </is>
      </c>
      <c r="V135" t="inlineStr">
        <is>
          <t>TERRESTRE</t>
        </is>
      </c>
      <c r="W135" t="inlineStr">
        <is>
          <t>MURCIA HERNANDEZ HARVEY IGNACIO</t>
        </is>
      </c>
      <c r="X135" t="inlineStr">
        <is>
          <t>Si</t>
        </is>
      </c>
      <c r="Y135" t="inlineStr">
        <is>
          <t>Si</t>
        </is>
      </c>
      <c r="Z135" s="45" t="n">
        <v>0</v>
      </c>
      <c r="AA135" t="inlineStr">
        <is>
          <t>0</t>
        </is>
      </c>
      <c r="AB135" s="45" t="n">
        <v>194983</v>
      </c>
      <c r="AC135" s="45" t="n">
        <v>0</v>
      </c>
    </row>
    <row r="136">
      <c r="A136" t="inlineStr">
        <is>
          <t>CALI</t>
        </is>
      </c>
      <c r="B136" t="inlineStr">
        <is>
          <t>SUROCCIDENTE Y EJE CAFETERO</t>
        </is>
      </c>
      <c r="C136" t="inlineStr">
        <is>
          <t>0004-0003</t>
        </is>
      </c>
      <c r="D136" t="inlineStr">
        <is>
          <t>19845</t>
        </is>
      </c>
      <c r="E136" t="inlineStr">
        <is>
          <t>TA-25-915474</t>
        </is>
      </c>
      <c r="F136" t="inlineStr">
        <is>
          <t>3007080817</t>
        </is>
      </c>
      <c r="G136" t="inlineStr">
        <is>
          <t>APERTURA</t>
        </is>
      </c>
      <c r="H136" t="inlineStr">
        <is>
          <t>CB CRECIMIENTO - NUEVO</t>
        </is>
      </c>
      <c r="I136" t="inlineStr">
        <is>
          <t>CAUCA</t>
        </is>
      </c>
      <c r="J136" t="inlineStr">
        <is>
          <t>VILLA RICA</t>
        </is>
      </c>
      <c r="K136" t="inlineStr">
        <is>
          <t>BARRIO CENTRO VILLA RICA  4</t>
        </is>
      </c>
      <c r="L136" t="inlineStr">
        <is>
          <t>BANCOLOMBIA</t>
        </is>
      </c>
      <c r="M136" t="inlineStr">
        <is>
          <t>FO-25-1316356</t>
        </is>
      </c>
      <c r="N136" s="46" t="n">
        <v>45870.28819444445</v>
      </c>
      <c r="O136" s="46" t="n">
        <v>45873.65486111111</v>
      </c>
      <c r="P136" t="inlineStr">
        <is>
          <t>UNO A UNO</t>
        </is>
      </c>
      <c r="Q136" t="inlineStr">
        <is>
          <t>UNO A UNO</t>
        </is>
      </c>
      <c r="R136" t="inlineStr">
        <is>
          <t>EJECUTADO</t>
        </is>
      </c>
      <c r="S136" t="inlineStr">
        <is>
          <t>VISITA TECNICA</t>
        </is>
      </c>
      <c r="T136" t="inlineStr">
        <is>
          <t>F8ZZZ015</t>
        </is>
      </c>
      <c r="U136" t="inlineStr">
        <is>
          <t>TIPO IV</t>
        </is>
      </c>
      <c r="V136" t="inlineStr">
        <is>
          <t>TERRESTRE</t>
        </is>
      </c>
      <c r="W136" t="inlineStr">
        <is>
          <t>HERRERA MONAR GEOVANNY</t>
        </is>
      </c>
      <c r="X136" t="inlineStr">
        <is>
          <t>Si</t>
        </is>
      </c>
      <c r="Y136" t="inlineStr">
        <is>
          <t>Si</t>
        </is>
      </c>
      <c r="Z136" s="45" t="n">
        <v>0</v>
      </c>
      <c r="AA136" t="inlineStr">
        <is>
          <t>0</t>
        </is>
      </c>
      <c r="AB136" s="45" t="n">
        <v>248376</v>
      </c>
      <c r="AC136" s="45" t="n">
        <v>0</v>
      </c>
    </row>
    <row r="137">
      <c r="A137" t="inlineStr">
        <is>
          <t>PASTO</t>
        </is>
      </c>
      <c r="B137" t="inlineStr">
        <is>
          <t>SUROCCIDENTE Y EJE CAFETERO</t>
        </is>
      </c>
      <c r="C137" t="inlineStr">
        <is>
          <t>0004-0003</t>
        </is>
      </c>
      <c r="D137" t="inlineStr">
        <is>
          <t>52835</t>
        </is>
      </c>
      <c r="E137" t="inlineStr">
        <is>
          <t>TA-25-915475</t>
        </is>
      </c>
      <c r="F137" t="inlineStr">
        <is>
          <t>3007080803</t>
        </is>
      </c>
      <c r="G137" t="inlineStr">
        <is>
          <t>APERTURA</t>
        </is>
      </c>
      <c r="H137" t="inlineStr">
        <is>
          <t>CB CRECIMIENTO - NUEVO</t>
        </is>
      </c>
      <c r="I137" t="inlineStr">
        <is>
          <t>NARIÑO</t>
        </is>
      </c>
      <c r="J137" t="inlineStr">
        <is>
          <t>SAN ANDRES DE TUMACO</t>
        </is>
      </c>
      <c r="K137" t="inlineStr">
        <is>
          <t>BARRIO SABALETA SAN ANDRES DE TUMACO</t>
        </is>
      </c>
      <c r="L137" t="inlineStr">
        <is>
          <t>BANCOLOMBIA</t>
        </is>
      </c>
      <c r="M137" t="inlineStr">
        <is>
          <t>FO-25-1316359</t>
        </is>
      </c>
      <c r="N137" s="46" t="n">
        <v>45870.44652777778</v>
      </c>
      <c r="O137" s="46" t="n">
        <v>45874.50069444445</v>
      </c>
      <c r="P137" t="inlineStr">
        <is>
          <t>UNO A UNO</t>
        </is>
      </c>
      <c r="Q137" t="inlineStr">
        <is>
          <t>UNO A UNO</t>
        </is>
      </c>
      <c r="R137" t="inlineStr">
        <is>
          <t>EJECUTADO</t>
        </is>
      </c>
      <c r="S137" t="inlineStr">
        <is>
          <t>VISITA TECNICA</t>
        </is>
      </c>
      <c r="T137" t="inlineStr">
        <is>
          <t>F8ZZZ016</t>
        </is>
      </c>
      <c r="U137" t="inlineStr">
        <is>
          <t>TIPO IV</t>
        </is>
      </c>
      <c r="V137" t="inlineStr">
        <is>
          <t>TERRESTRE</t>
        </is>
      </c>
      <c r="W137" t="inlineStr">
        <is>
          <t>PAZ MARTINEZ RICHARD HUMBERTO</t>
        </is>
      </c>
      <c r="X137" t="inlineStr">
        <is>
          <t>Si</t>
        </is>
      </c>
      <c r="Y137" t="inlineStr">
        <is>
          <t>Si</t>
        </is>
      </c>
      <c r="Z137" s="45" t="n">
        <v>0</v>
      </c>
      <c r="AA137" t="inlineStr">
        <is>
          <t>0</t>
        </is>
      </c>
      <c r="AB137" s="45" t="n">
        <v>248376</v>
      </c>
      <c r="AC137" s="45" t="n">
        <v>0</v>
      </c>
    </row>
    <row r="138">
      <c r="A138" t="inlineStr">
        <is>
          <t>CALI</t>
        </is>
      </c>
      <c r="B138" t="inlineStr">
        <is>
          <t>SUROCCIDENTE Y EJE CAFETERO</t>
        </is>
      </c>
      <c r="C138" t="inlineStr">
        <is>
          <t>0004-0003</t>
        </is>
      </c>
      <c r="D138" t="inlineStr">
        <is>
          <t>76001</t>
        </is>
      </c>
      <c r="E138" t="inlineStr">
        <is>
          <t>TA-25-915476</t>
        </is>
      </c>
      <c r="F138" t="inlineStr">
        <is>
          <t>3007080778</t>
        </is>
      </c>
      <c r="G138" t="inlineStr">
        <is>
          <t>APERTURA</t>
        </is>
      </c>
      <c r="H138" t="inlineStr">
        <is>
          <t>CB CRECIMIENTO - NUEVO</t>
        </is>
      </c>
      <c r="I138" t="inlineStr">
        <is>
          <t>VALLE DEL CAUCA</t>
        </is>
      </c>
      <c r="J138" t="inlineStr">
        <is>
          <t>CALI</t>
        </is>
      </c>
      <c r="K138" t="inlineStr">
        <is>
          <t>BARRIO FELIDIA CALI</t>
        </is>
      </c>
      <c r="L138" t="inlineStr">
        <is>
          <t>BANCOLOMBIA</t>
        </is>
      </c>
      <c r="M138" t="inlineStr">
        <is>
          <t>FO-25-1316363</t>
        </is>
      </c>
      <c r="N138" s="46" t="n">
        <v>45870.28472222222</v>
      </c>
      <c r="O138" s="46" t="n">
        <v>45873.62222222222</v>
      </c>
      <c r="P138" t="inlineStr">
        <is>
          <t>UNO A UNO</t>
        </is>
      </c>
      <c r="Q138" t="inlineStr">
        <is>
          <t>UNO A UNO</t>
        </is>
      </c>
      <c r="R138" t="inlineStr">
        <is>
          <t>EJECUTADO</t>
        </is>
      </c>
      <c r="S138" t="inlineStr">
        <is>
          <t>VISITA TECNICA</t>
        </is>
      </c>
      <c r="T138" t="inlineStr">
        <is>
          <t>F8ZZZ017</t>
        </is>
      </c>
      <c r="U138" t="inlineStr">
        <is>
          <t>TIPO I</t>
        </is>
      </c>
      <c r="V138" t="inlineStr">
        <is>
          <t>TERRESTRE</t>
        </is>
      </c>
      <c r="W138" t="inlineStr">
        <is>
          <t>BOLAÑOS TABORDA JORGE ENRIQUE</t>
        </is>
      </c>
      <c r="X138" t="inlineStr">
        <is>
          <t>Si</t>
        </is>
      </c>
      <c r="Y138" t="inlineStr">
        <is>
          <t>Si</t>
        </is>
      </c>
      <c r="Z138" s="45" t="n">
        <v>0</v>
      </c>
      <c r="AA138" t="inlineStr">
        <is>
          <t>0</t>
        </is>
      </c>
      <c r="AB138" s="45" t="n">
        <v>194983</v>
      </c>
      <c r="AC138" s="45" t="n">
        <v>0</v>
      </c>
    </row>
    <row r="139">
      <c r="A139" t="inlineStr">
        <is>
          <t>CALI</t>
        </is>
      </c>
      <c r="B139" t="inlineStr">
        <is>
          <t>SUROCCIDENTE Y EJE CAFETERO</t>
        </is>
      </c>
      <c r="C139" t="inlineStr">
        <is>
          <t>0004-0003</t>
        </is>
      </c>
      <c r="D139" t="inlineStr">
        <is>
          <t>76001</t>
        </is>
      </c>
      <c r="E139" t="inlineStr">
        <is>
          <t>TA-25-915477</t>
        </is>
      </c>
      <c r="F139" t="inlineStr">
        <is>
          <t>3007080779</t>
        </is>
      </c>
      <c r="G139" t="inlineStr">
        <is>
          <t>APERTURA</t>
        </is>
      </c>
      <c r="H139" t="inlineStr">
        <is>
          <t>CB CRECIMIENTO - NUEVO</t>
        </is>
      </c>
      <c r="I139" t="inlineStr">
        <is>
          <t>VALLE DEL CAUCA</t>
        </is>
      </c>
      <c r="J139" t="inlineStr">
        <is>
          <t>CALI</t>
        </is>
      </c>
      <c r="K139" t="inlineStr">
        <is>
          <t>BARRIO TRONCAL CALI 1</t>
        </is>
      </c>
      <c r="L139" t="inlineStr">
        <is>
          <t>BANCOLOMBIA</t>
        </is>
      </c>
      <c r="M139" t="inlineStr">
        <is>
          <t>FO-25-1316366</t>
        </is>
      </c>
      <c r="N139" s="46" t="n">
        <v>45870.30416666667</v>
      </c>
      <c r="O139" s="46" t="n">
        <v>45873.58333333334</v>
      </c>
      <c r="P139" t="inlineStr">
        <is>
          <t>UNO A UNO</t>
        </is>
      </c>
      <c r="Q139" t="inlineStr">
        <is>
          <t>UNO A UNO</t>
        </is>
      </c>
      <c r="R139" t="inlineStr">
        <is>
          <t>EJECUTADO</t>
        </is>
      </c>
      <c r="S139" t="inlineStr">
        <is>
          <t>VISITA TECNICA</t>
        </is>
      </c>
      <c r="T139" t="inlineStr">
        <is>
          <t>F8ZZZ018</t>
        </is>
      </c>
      <c r="U139" t="inlineStr">
        <is>
          <t>TIPO I</t>
        </is>
      </c>
      <c r="V139" t="inlineStr">
        <is>
          <t>TERRESTRE</t>
        </is>
      </c>
      <c r="W139" t="inlineStr">
        <is>
          <t>TORRES GARCIA JENDRY JOSE</t>
        </is>
      </c>
      <c r="X139" t="inlineStr">
        <is>
          <t>Si</t>
        </is>
      </c>
      <c r="Y139" t="inlineStr">
        <is>
          <t>Si</t>
        </is>
      </c>
      <c r="Z139" s="45" t="n">
        <v>0</v>
      </c>
      <c r="AA139" t="inlineStr">
        <is>
          <t>0</t>
        </is>
      </c>
      <c r="AB139" s="45" t="n">
        <v>194983</v>
      </c>
      <c r="AC139" s="45" t="n">
        <v>0</v>
      </c>
    </row>
    <row r="140">
      <c r="A140" t="inlineStr">
        <is>
          <t>BOGOTA</t>
        </is>
      </c>
      <c r="B140" t="inlineStr">
        <is>
          <t>CUNDINAMARCA</t>
        </is>
      </c>
      <c r="C140" t="inlineStr">
        <is>
          <t>0004-0004</t>
        </is>
      </c>
      <c r="D140" t="inlineStr">
        <is>
          <t>25035</t>
        </is>
      </c>
      <c r="E140" t="inlineStr">
        <is>
          <t>TA-25-915478</t>
        </is>
      </c>
      <c r="F140" t="inlineStr">
        <is>
          <t>3007080768</t>
        </is>
      </c>
      <c r="G140" t="inlineStr">
        <is>
          <t>APERTURA</t>
        </is>
      </c>
      <c r="H140" t="inlineStr">
        <is>
          <t>CB CRECIMIENTO - NUEVO</t>
        </is>
      </c>
      <c r="I140" t="inlineStr">
        <is>
          <t>CUNDINAMARCA</t>
        </is>
      </c>
      <c r="J140" t="inlineStr">
        <is>
          <t>ANAPOIMA</t>
        </is>
      </c>
      <c r="K140" t="inlineStr">
        <is>
          <t>BARRIO CENTRO ANAPOIMA ANAPOIMA 1</t>
        </is>
      </c>
      <c r="L140" t="inlineStr">
        <is>
          <t>BANCOLOMBIA</t>
        </is>
      </c>
      <c r="M140" t="inlineStr">
        <is>
          <t>FO-25-1316370</t>
        </is>
      </c>
      <c r="N140" s="46" t="n">
        <v>45870.71319444444</v>
      </c>
      <c r="O140" s="46" t="n">
        <v>45875.30416666667</v>
      </c>
      <c r="P140" t="inlineStr">
        <is>
          <t>UNO A UNO</t>
        </is>
      </c>
      <c r="Q140" t="inlineStr">
        <is>
          <t>UNO A UNO</t>
        </is>
      </c>
      <c r="R140" t="inlineStr">
        <is>
          <t>EJECUTADO</t>
        </is>
      </c>
      <c r="S140" t="inlineStr">
        <is>
          <t>VISITA TECNICA</t>
        </is>
      </c>
      <c r="T140" t="inlineStr">
        <is>
          <t>F8ZZZ019</t>
        </is>
      </c>
      <c r="U140" t="inlineStr">
        <is>
          <t>TIPO II</t>
        </is>
      </c>
      <c r="V140" t="inlineStr">
        <is>
          <t>TERRESTRE</t>
        </is>
      </c>
      <c r="W140" t="inlineStr">
        <is>
          <t>GOMEZ VEGA DAVID SNEYDER</t>
        </is>
      </c>
      <c r="X140" t="inlineStr">
        <is>
          <t>Si</t>
        </is>
      </c>
      <c r="Y140" t="inlineStr">
        <is>
          <t>Si</t>
        </is>
      </c>
      <c r="Z140" s="45" t="n">
        <v>0</v>
      </c>
      <c r="AA140" t="inlineStr">
        <is>
          <t>0</t>
        </is>
      </c>
      <c r="AB140" s="45" t="n">
        <v>248376</v>
      </c>
      <c r="AC140" s="45" t="n">
        <v>0</v>
      </c>
    </row>
    <row r="141">
      <c r="A141" t="inlineStr">
        <is>
          <t>MANIZALES</t>
        </is>
      </c>
      <c r="B141" t="inlineStr">
        <is>
          <t>SUROCCIDENTE Y EJE CAFETERO</t>
        </is>
      </c>
      <c r="C141" t="inlineStr">
        <is>
          <t>0004-0002</t>
        </is>
      </c>
      <c r="D141" t="inlineStr">
        <is>
          <t>17001</t>
        </is>
      </c>
      <c r="E141" t="inlineStr">
        <is>
          <t>TA-25-915479</t>
        </is>
      </c>
      <c r="F141" t="inlineStr">
        <is>
          <t>3007080791</t>
        </is>
      </c>
      <c r="G141" t="inlineStr">
        <is>
          <t>APERTURA</t>
        </is>
      </c>
      <c r="H141" t="inlineStr">
        <is>
          <t>CB CRECIMIENTO - NUEVO</t>
        </is>
      </c>
      <c r="I141" t="inlineStr">
        <is>
          <t>CALDAS</t>
        </is>
      </c>
      <c r="J141" t="inlineStr">
        <is>
          <t>MANIZALES</t>
        </is>
      </c>
      <c r="K141" t="inlineStr">
        <is>
          <t>BARRIO CERVANTES MANIZALES 3</t>
        </is>
      </c>
      <c r="L141" t="inlineStr">
        <is>
          <t>BANCOLOMBIA</t>
        </is>
      </c>
      <c r="M141" t="inlineStr">
        <is>
          <t>FO-25-1316376</t>
        </is>
      </c>
      <c r="N141" s="46" t="n">
        <v>45870.67222222222</v>
      </c>
      <c r="O141" s="46" t="n">
        <v>45874.68055555555</v>
      </c>
      <c r="P141" t="inlineStr">
        <is>
          <t>UNO A UNO</t>
        </is>
      </c>
      <c r="Q141" t="inlineStr">
        <is>
          <t>UNO A UNO</t>
        </is>
      </c>
      <c r="R141" t="inlineStr">
        <is>
          <t>EJECUTADO</t>
        </is>
      </c>
      <c r="S141" t="inlineStr">
        <is>
          <t>VISITA TECNICA</t>
        </is>
      </c>
      <c r="T141" t="inlineStr">
        <is>
          <t>F8ZZZ020</t>
        </is>
      </c>
      <c r="U141" t="inlineStr">
        <is>
          <t>TIPO I</t>
        </is>
      </c>
      <c r="V141" t="inlineStr">
        <is>
          <t>TERRESTRE</t>
        </is>
      </c>
      <c r="W141" t="inlineStr">
        <is>
          <t>ARROYAVE CANO MANUEL GUILLERMO</t>
        </is>
      </c>
      <c r="X141" t="inlineStr">
        <is>
          <t>Si</t>
        </is>
      </c>
      <c r="Y141" t="inlineStr">
        <is>
          <t>Si</t>
        </is>
      </c>
      <c r="Z141" s="45" t="n">
        <v>0</v>
      </c>
      <c r="AA141" t="inlineStr">
        <is>
          <t>0</t>
        </is>
      </c>
      <c r="AB141" s="45" t="n">
        <v>194983</v>
      </c>
      <c r="AC141" s="45" t="n">
        <v>0</v>
      </c>
    </row>
    <row r="142">
      <c r="A142" t="inlineStr">
        <is>
          <t>CUCUTA</t>
        </is>
      </c>
      <c r="B142" t="inlineStr">
        <is>
          <t>SANTANDERES</t>
        </is>
      </c>
      <c r="C142" t="inlineStr">
        <is>
          <t>0004-0008</t>
        </is>
      </c>
      <c r="D142" t="inlineStr">
        <is>
          <t>54405</t>
        </is>
      </c>
      <c r="E142" t="inlineStr">
        <is>
          <t>TA-25-915483</t>
        </is>
      </c>
      <c r="F142" t="inlineStr">
        <is>
          <t>3007080787</t>
        </is>
      </c>
      <c r="G142" t="inlineStr">
        <is>
          <t>APERTURA</t>
        </is>
      </c>
      <c r="H142" t="inlineStr">
        <is>
          <t>CB CRECIMIENTO - NUEVO</t>
        </is>
      </c>
      <c r="I142" t="inlineStr">
        <is>
          <t>NORTE DE SANTANDER</t>
        </is>
      </c>
      <c r="J142" t="inlineStr">
        <is>
          <t>LOS PATIOS</t>
        </is>
      </c>
      <c r="K142" t="inlineStr">
        <is>
          <t>BARRIO RECTA COROZAL LOS PATIOS</t>
        </is>
      </c>
      <c r="L142" t="inlineStr">
        <is>
          <t>BANCOLOMBIA</t>
        </is>
      </c>
      <c r="M142" t="inlineStr">
        <is>
          <t>FO-25-1316381</t>
        </is>
      </c>
      <c r="N142" s="46" t="n">
        <v>45870.55972222222</v>
      </c>
      <c r="O142" s="46" t="n">
        <v>45874.32361111111</v>
      </c>
      <c r="P142" t="inlineStr">
        <is>
          <t>UNO A UNO</t>
        </is>
      </c>
      <c r="Q142" t="inlineStr">
        <is>
          <t>UNO A UNO</t>
        </is>
      </c>
      <c r="R142" t="inlineStr">
        <is>
          <t>EJECUTADO</t>
        </is>
      </c>
      <c r="S142" t="inlineStr">
        <is>
          <t>VISITA TECNICA</t>
        </is>
      </c>
      <c r="T142" t="inlineStr">
        <is>
          <t>F8ZZZ021</t>
        </is>
      </c>
      <c r="U142" t="inlineStr">
        <is>
          <t>TIPO I</t>
        </is>
      </c>
      <c r="V142" t="inlineStr">
        <is>
          <t>TERRESTRE</t>
        </is>
      </c>
      <c r="W142" t="inlineStr">
        <is>
          <t>PACHECO BUITRAGO JAVIER ALONSO</t>
        </is>
      </c>
      <c r="X142" t="inlineStr">
        <is>
          <t>Si</t>
        </is>
      </c>
      <c r="Y142" t="inlineStr">
        <is>
          <t>Si</t>
        </is>
      </c>
      <c r="Z142" s="45" t="n">
        <v>0</v>
      </c>
      <c r="AA142" t="inlineStr">
        <is>
          <t>0</t>
        </is>
      </c>
      <c r="AB142" s="45" t="n">
        <v>194983</v>
      </c>
      <c r="AC142" s="45" t="n">
        <v>0</v>
      </c>
    </row>
    <row r="143">
      <c r="A143" t="inlineStr">
        <is>
          <t>TUNJA</t>
        </is>
      </c>
      <c r="B143" t="inlineStr">
        <is>
          <t>SANTANDERES</t>
        </is>
      </c>
      <c r="C143" t="inlineStr">
        <is>
          <t>0004-0008</t>
        </is>
      </c>
      <c r="D143" t="inlineStr">
        <is>
          <t>15001</t>
        </is>
      </c>
      <c r="E143" t="inlineStr">
        <is>
          <t>TA-25-915486</t>
        </is>
      </c>
      <c r="F143" t="inlineStr">
        <is>
          <t>3007080815</t>
        </is>
      </c>
      <c r="G143" t="inlineStr">
        <is>
          <t>APERTURA</t>
        </is>
      </c>
      <c r="H143" t="inlineStr">
        <is>
          <t>CB CRECIMIENTO - NUEVO</t>
        </is>
      </c>
      <c r="I143" t="inlineStr">
        <is>
          <t>BOYACA</t>
        </is>
      </c>
      <c r="J143" t="inlineStr">
        <is>
          <t>TUNJA</t>
        </is>
      </c>
      <c r="K143" t="inlineStr">
        <is>
          <t>BARRIO MARIA FERNANDA TUNJA 1</t>
        </is>
      </c>
      <c r="L143" t="inlineStr">
        <is>
          <t>BANCOLOMBIA</t>
        </is>
      </c>
      <c r="M143" t="inlineStr">
        <is>
          <t>FO-25-1316385</t>
        </is>
      </c>
      <c r="N143" s="46" t="n">
        <v>45870.55972222222</v>
      </c>
      <c r="O143" s="46" t="n">
        <v>45873.58055555556</v>
      </c>
      <c r="P143" t="inlineStr">
        <is>
          <t>UNO A UNO</t>
        </is>
      </c>
      <c r="Q143" t="inlineStr">
        <is>
          <t>UNO A UNO</t>
        </is>
      </c>
      <c r="R143" t="inlineStr">
        <is>
          <t>EJECUTADO</t>
        </is>
      </c>
      <c r="S143" t="inlineStr">
        <is>
          <t>VISITA TECNICA</t>
        </is>
      </c>
      <c r="T143" t="inlineStr">
        <is>
          <t>F8ZZZ022</t>
        </is>
      </c>
      <c r="U143" t="inlineStr">
        <is>
          <t>TIPO I</t>
        </is>
      </c>
      <c r="V143" t="inlineStr">
        <is>
          <t>TERRESTRE</t>
        </is>
      </c>
      <c r="W143" t="inlineStr">
        <is>
          <t>HERRERA GARZON JEYSON STEVENT</t>
        </is>
      </c>
      <c r="X143" t="inlineStr">
        <is>
          <t>Si</t>
        </is>
      </c>
      <c r="Y143" t="inlineStr">
        <is>
          <t>Si</t>
        </is>
      </c>
      <c r="Z143" s="45" t="n">
        <v>0</v>
      </c>
      <c r="AA143" t="inlineStr">
        <is>
          <t>0</t>
        </is>
      </c>
      <c r="AB143" s="45" t="n">
        <v>194983</v>
      </c>
      <c r="AC143" s="45" t="n">
        <v>0</v>
      </c>
    </row>
    <row r="144">
      <c r="A144" t="inlineStr">
        <is>
          <t>NEIVA</t>
        </is>
      </c>
      <c r="B144" t="inlineStr">
        <is>
          <t>REMOTAS</t>
        </is>
      </c>
      <c r="C144" t="inlineStr">
        <is>
          <t>0004-0007</t>
        </is>
      </c>
      <c r="D144" t="inlineStr">
        <is>
          <t>41791</t>
        </is>
      </c>
      <c r="E144" t="inlineStr">
        <is>
          <t>TA-25-915489</t>
        </is>
      </c>
      <c r="F144" t="inlineStr">
        <is>
          <t>3007080813</t>
        </is>
      </c>
      <c r="G144" t="inlineStr">
        <is>
          <t>APERTURA</t>
        </is>
      </c>
      <c r="H144" t="inlineStr">
        <is>
          <t>CB CRECIMIENTO - NUEVO</t>
        </is>
      </c>
      <c r="I144" t="inlineStr">
        <is>
          <t>HUILA</t>
        </is>
      </c>
      <c r="J144" t="inlineStr">
        <is>
          <t>TARQUI</t>
        </is>
      </c>
      <c r="K144" t="inlineStr">
        <is>
          <t>BARRIO LA LOMA - BODEGA TARQUI</t>
        </is>
      </c>
      <c r="L144" t="inlineStr">
        <is>
          <t>BANCOLOMBIA</t>
        </is>
      </c>
      <c r="M144" t="inlineStr">
        <is>
          <t>FO-25-1316391</t>
        </is>
      </c>
      <c r="N144" s="46" t="n">
        <v>45870.725</v>
      </c>
      <c r="O144" s="46" t="n">
        <v>45874.30694444444</v>
      </c>
      <c r="P144" t="inlineStr">
        <is>
          <t>UNO A UNO</t>
        </is>
      </c>
      <c r="Q144" t="inlineStr">
        <is>
          <t>UNO A UNO</t>
        </is>
      </c>
      <c r="R144" t="inlineStr">
        <is>
          <t>EJECUTADO</t>
        </is>
      </c>
      <c r="S144" t="inlineStr">
        <is>
          <t>VISITA TECNICA</t>
        </is>
      </c>
      <c r="T144" t="inlineStr">
        <is>
          <t>F8ZZZ023</t>
        </is>
      </c>
      <c r="U144" t="inlineStr">
        <is>
          <t>TIPO III</t>
        </is>
      </c>
      <c r="V144" t="inlineStr">
        <is>
          <t>TERRESTRE</t>
        </is>
      </c>
      <c r="W144" t="inlineStr">
        <is>
          <t>ANDRADE HERNANDEZ JUAN CARLOS</t>
        </is>
      </c>
      <c r="X144" t="inlineStr">
        <is>
          <t>Si</t>
        </is>
      </c>
      <c r="Y144" t="inlineStr">
        <is>
          <t>Si</t>
        </is>
      </c>
      <c r="Z144" s="45" t="n">
        <v>0</v>
      </c>
      <c r="AA144" t="inlineStr">
        <is>
          <t>0</t>
        </is>
      </c>
      <c r="AB144" s="45" t="n">
        <v>248376</v>
      </c>
      <c r="AC144" s="45" t="n">
        <v>0</v>
      </c>
    </row>
    <row r="145">
      <c r="A145" t="inlineStr">
        <is>
          <t>BUCARAMANGA</t>
        </is>
      </c>
      <c r="B145" t="inlineStr">
        <is>
          <t>SANTANDERES</t>
        </is>
      </c>
      <c r="C145" t="inlineStr">
        <is>
          <t>0004-0008</t>
        </is>
      </c>
      <c r="D145" t="inlineStr">
        <is>
          <t>13688</t>
        </is>
      </c>
      <c r="E145" t="inlineStr">
        <is>
          <t>TA-25-915493</t>
        </is>
      </c>
      <c r="F145" t="inlineStr">
        <is>
          <t>3007080806</t>
        </is>
      </c>
      <c r="G145" t="inlineStr">
        <is>
          <t>APERTURA</t>
        </is>
      </c>
      <c r="H145" t="inlineStr">
        <is>
          <t>CB CRECIMIENTO - NUEVO</t>
        </is>
      </c>
      <c r="I145" t="inlineStr">
        <is>
          <t>BOLIVAR</t>
        </is>
      </c>
      <c r="J145" t="inlineStr">
        <is>
          <t>SANTA ROSA DEL SUR</t>
        </is>
      </c>
      <c r="K145" t="inlineStr">
        <is>
          <t>BARRIO SAN MARTIN SANTA ROSA DEL SUR 4</t>
        </is>
      </c>
      <c r="L145" t="inlineStr">
        <is>
          <t>BANCOLOMBIA</t>
        </is>
      </c>
      <c r="M145" t="inlineStr">
        <is>
          <t>FO-25-1316401</t>
        </is>
      </c>
      <c r="N145" s="46" t="n">
        <v>45870.55972222222</v>
      </c>
      <c r="O145" s="46" t="n">
        <v>45875.41111111111</v>
      </c>
      <c r="P145" t="inlineStr">
        <is>
          <t>UNO A UNO</t>
        </is>
      </c>
      <c r="Q145" t="inlineStr">
        <is>
          <t>UNO A UNO</t>
        </is>
      </c>
      <c r="R145" t="inlineStr">
        <is>
          <t>EJECUTADO</t>
        </is>
      </c>
      <c r="S145" t="inlineStr">
        <is>
          <t>VISITA TECNICA</t>
        </is>
      </c>
      <c r="T145" t="inlineStr">
        <is>
          <t>F8ZZZ024</t>
        </is>
      </c>
      <c r="U145" t="inlineStr">
        <is>
          <t>TIPO IV ESPECIAL</t>
        </is>
      </c>
      <c r="V145" t="inlineStr">
        <is>
          <t>TERRESTRE/FLUVIAL</t>
        </is>
      </c>
      <c r="W145" t="inlineStr">
        <is>
          <t>ORTEBARRERAGA MARLON STWAR</t>
        </is>
      </c>
      <c r="X145" t="inlineStr">
        <is>
          <t>Si</t>
        </is>
      </c>
      <c r="Y145" t="inlineStr">
        <is>
          <t>Si</t>
        </is>
      </c>
      <c r="Z145" s="45" t="n">
        <v>0</v>
      </c>
      <c r="AA145" t="inlineStr">
        <is>
          <t>0</t>
        </is>
      </c>
      <c r="AB145" s="45" t="n">
        <v>248376</v>
      </c>
      <c r="AC145" s="45" t="n">
        <v>0</v>
      </c>
    </row>
    <row r="146">
      <c r="A146" t="inlineStr">
        <is>
          <t>BOGOTA</t>
        </is>
      </c>
      <c r="B146" t="inlineStr">
        <is>
          <t>CUNDINAMARCA</t>
        </is>
      </c>
      <c r="C146" t="inlineStr">
        <is>
          <t>0004-0004</t>
        </is>
      </c>
      <c r="D146" t="inlineStr">
        <is>
          <t>11001</t>
        </is>
      </c>
      <c r="E146" t="inlineStr">
        <is>
          <t>TA-25-915494</t>
        </is>
      </c>
      <c r="F146" t="inlineStr">
        <is>
          <t>3007080771</t>
        </is>
      </c>
      <c r="G146" t="inlineStr">
        <is>
          <t>APERTURA</t>
        </is>
      </c>
      <c r="H146" t="inlineStr">
        <is>
          <t>CB CRECIMIENTO - NUEVO</t>
        </is>
      </c>
      <c r="I146" t="inlineStr">
        <is>
          <t>CUNDINAMARCA</t>
        </is>
      </c>
      <c r="J146" t="inlineStr">
        <is>
          <t>BOGOTA</t>
        </is>
      </c>
      <c r="K146" t="inlineStr">
        <is>
          <t>BARRIO LA IGUALDAD BOGOTA 3</t>
        </is>
      </c>
      <c r="L146" t="inlineStr">
        <is>
          <t>BANCOLOMBIA</t>
        </is>
      </c>
      <c r="M146" t="inlineStr">
        <is>
          <t>FO-25-1316407</t>
        </is>
      </c>
      <c r="N146" s="46" t="n">
        <v>45870.57152777778</v>
      </c>
      <c r="O146" s="46" t="n">
        <v>45874.32638888889</v>
      </c>
      <c r="P146" t="inlineStr">
        <is>
          <t>UNO A UNO</t>
        </is>
      </c>
      <c r="Q146" t="inlineStr">
        <is>
          <t>UNO A UNO</t>
        </is>
      </c>
      <c r="R146" t="inlineStr">
        <is>
          <t>EJECUTADO</t>
        </is>
      </c>
      <c r="S146" t="inlineStr">
        <is>
          <t>VISITA TECNICA</t>
        </is>
      </c>
      <c r="T146" t="inlineStr">
        <is>
          <t>F8ZZZ025</t>
        </is>
      </c>
      <c r="U146" t="inlineStr">
        <is>
          <t>TIPO I</t>
        </is>
      </c>
      <c r="V146" t="inlineStr">
        <is>
          <t>TERRESTRE</t>
        </is>
      </c>
      <c r="W146" t="inlineStr">
        <is>
          <t>GARCIA PASTRANA KEVIN FERNANDO</t>
        </is>
      </c>
      <c r="X146" t="inlineStr">
        <is>
          <t>Si</t>
        </is>
      </c>
      <c r="Y146" t="inlineStr">
        <is>
          <t>Si</t>
        </is>
      </c>
      <c r="Z146" s="45" t="n">
        <v>0</v>
      </c>
      <c r="AA146" t="inlineStr">
        <is>
          <t>0</t>
        </is>
      </c>
      <c r="AB146" s="45" t="n">
        <v>194983</v>
      </c>
      <c r="AC146" s="45" t="n">
        <v>0</v>
      </c>
    </row>
    <row r="147">
      <c r="A147" t="inlineStr">
        <is>
          <t>CALI</t>
        </is>
      </c>
      <c r="B147" t="inlineStr">
        <is>
          <t>SUROCCIDENTE Y EJE CAFETERO</t>
        </is>
      </c>
      <c r="C147" t="inlineStr">
        <is>
          <t>0004-0003</t>
        </is>
      </c>
      <c r="D147" t="inlineStr">
        <is>
          <t>19532</t>
        </is>
      </c>
      <c r="E147" t="inlineStr">
        <is>
          <t>TA-25-915495</t>
        </is>
      </c>
      <c r="F147" t="inlineStr">
        <is>
          <t>3007080797</t>
        </is>
      </c>
      <c r="G147" t="inlineStr">
        <is>
          <t>APERTURA</t>
        </is>
      </c>
      <c r="H147" t="inlineStr">
        <is>
          <t>CB CRECIMIENTO - NUEVO</t>
        </is>
      </c>
      <c r="I147" t="inlineStr">
        <is>
          <t>CAUCA</t>
        </is>
      </c>
      <c r="J147" t="inlineStr">
        <is>
          <t>PATIA</t>
        </is>
      </c>
      <c r="K147" t="inlineStr">
        <is>
          <t>BARRIO LA CENTRAL PATIA 6</t>
        </is>
      </c>
      <c r="L147" t="inlineStr">
        <is>
          <t>BANCOLOMBIA</t>
        </is>
      </c>
      <c r="M147" t="inlineStr">
        <is>
          <t>FO-25-1316417</t>
        </is>
      </c>
      <c r="N147" s="46" t="n">
        <v>45870.64861111111</v>
      </c>
      <c r="O147" s="46" t="n">
        <v>45874.62916666667</v>
      </c>
      <c r="P147" t="inlineStr">
        <is>
          <t>UNO A UNO</t>
        </is>
      </c>
      <c r="Q147" t="inlineStr">
        <is>
          <t>UNO A UNO</t>
        </is>
      </c>
      <c r="R147" t="inlineStr">
        <is>
          <t>EJECUTADO</t>
        </is>
      </c>
      <c r="S147" t="inlineStr">
        <is>
          <t>VISITA TECNICA</t>
        </is>
      </c>
      <c r="T147" t="inlineStr">
        <is>
          <t>F8ZZZ026</t>
        </is>
      </c>
      <c r="U147" t="inlineStr">
        <is>
          <t>TIPO IV</t>
        </is>
      </c>
      <c r="V147" t="inlineStr">
        <is>
          <t>TERRESTRE</t>
        </is>
      </c>
      <c r="W147" t="inlineStr">
        <is>
          <t>GIMBUEL LASSO LUIS GERMAN</t>
        </is>
      </c>
      <c r="X147" t="inlineStr">
        <is>
          <t>Si</t>
        </is>
      </c>
      <c r="Y147" t="inlineStr">
        <is>
          <t>Si</t>
        </is>
      </c>
      <c r="Z147" s="45" t="n">
        <v>0</v>
      </c>
      <c r="AA147" t="inlineStr">
        <is>
          <t>0</t>
        </is>
      </c>
      <c r="AB147" s="45" t="n">
        <v>248376</v>
      </c>
      <c r="AC147" s="45" t="n">
        <v>0</v>
      </c>
    </row>
    <row r="148">
      <c r="A148" t="inlineStr">
        <is>
          <t>PEREIRA</t>
        </is>
      </c>
      <c r="B148" t="inlineStr">
        <is>
          <t>SUROCCIDENTE Y EJE CAFETERO</t>
        </is>
      </c>
      <c r="C148" t="inlineStr">
        <is>
          <t>0004-0002</t>
        </is>
      </c>
      <c r="D148" t="inlineStr">
        <is>
          <t>63001</t>
        </is>
      </c>
      <c r="E148" t="inlineStr">
        <is>
          <t>TA-25-915497</t>
        </is>
      </c>
      <c r="F148" t="inlineStr">
        <is>
          <t>3007080770</t>
        </is>
      </c>
      <c r="G148" t="inlineStr">
        <is>
          <t>APERTURA</t>
        </is>
      </c>
      <c r="H148" t="inlineStr">
        <is>
          <t>CB CRECIMIENTO - NUEVO</t>
        </is>
      </c>
      <c r="I148" t="inlineStr">
        <is>
          <t>QUINDIO</t>
        </is>
      </c>
      <c r="J148" t="inlineStr">
        <is>
          <t>ARMENIA</t>
        </is>
      </c>
      <c r="K148" t="inlineStr">
        <is>
          <t>BARRIO SAN JOSE ARMENIA 1</t>
        </is>
      </c>
      <c r="L148" t="inlineStr">
        <is>
          <t>BANCOLOMBIA</t>
        </is>
      </c>
      <c r="M148" t="inlineStr">
        <is>
          <t>FO-25-1316427</t>
        </is>
      </c>
      <c r="N148" s="46" t="n">
        <v>45870.26875</v>
      </c>
      <c r="O148" s="46" t="n">
        <v>45873.57361111111</v>
      </c>
      <c r="P148" t="inlineStr">
        <is>
          <t>UNO A UNO</t>
        </is>
      </c>
      <c r="Q148" t="inlineStr">
        <is>
          <t>UNO A UNO</t>
        </is>
      </c>
      <c r="R148" t="inlineStr">
        <is>
          <t>EJECUTADO</t>
        </is>
      </c>
      <c r="S148" t="inlineStr">
        <is>
          <t>VISITA TECNICA</t>
        </is>
      </c>
      <c r="T148" t="inlineStr">
        <is>
          <t>F8ZZZ028</t>
        </is>
      </c>
      <c r="U148" t="inlineStr">
        <is>
          <t>TIPO II</t>
        </is>
      </c>
      <c r="V148" t="inlineStr">
        <is>
          <t>TERRESTRE</t>
        </is>
      </c>
      <c r="W148" t="inlineStr">
        <is>
          <t>SANCHEZ SOLORZANO JUAN SEBASTIAN</t>
        </is>
      </c>
      <c r="X148" t="inlineStr">
        <is>
          <t>Si</t>
        </is>
      </c>
      <c r="Y148" t="inlineStr">
        <is>
          <t>Si</t>
        </is>
      </c>
      <c r="Z148" s="45" t="n">
        <v>0</v>
      </c>
      <c r="AA148" t="inlineStr">
        <is>
          <t>0</t>
        </is>
      </c>
      <c r="AB148" s="45" t="n">
        <v>248376</v>
      </c>
      <c r="AC148" s="45" t="n">
        <v>0</v>
      </c>
    </row>
    <row r="149">
      <c r="A149" t="inlineStr">
        <is>
          <t>BOGOTA</t>
        </is>
      </c>
      <c r="B149" t="inlineStr">
        <is>
          <t>CUNDINAMARCA</t>
        </is>
      </c>
      <c r="C149" t="inlineStr">
        <is>
          <t>0004-0004</t>
        </is>
      </c>
      <c r="D149" t="inlineStr">
        <is>
          <t>11001</t>
        </is>
      </c>
      <c r="E149" t="inlineStr">
        <is>
          <t>TA-25-915499</t>
        </is>
      </c>
      <c r="F149" t="inlineStr">
        <is>
          <t>3007080773</t>
        </is>
      </c>
      <c r="G149" t="inlineStr">
        <is>
          <t>APERTURA</t>
        </is>
      </c>
      <c r="H149" t="inlineStr">
        <is>
          <t>CB CRECIMIENTO - NUEVO</t>
        </is>
      </c>
      <c r="I149" t="inlineStr">
        <is>
          <t>CUNDINAMARCA</t>
        </is>
      </c>
      <c r="J149" t="inlineStr">
        <is>
          <t>BOGOTA</t>
        </is>
      </c>
      <c r="K149" t="inlineStr">
        <is>
          <t>BARRIO EL TESORO BOGOTA 5</t>
        </is>
      </c>
      <c r="L149" t="inlineStr">
        <is>
          <t>BANCOLOMBIA</t>
        </is>
      </c>
      <c r="M149" t="inlineStr">
        <is>
          <t>FO-25-1316436</t>
        </is>
      </c>
      <c r="N149" s="46" t="n">
        <v>45870.71388888889</v>
      </c>
      <c r="O149" s="46" t="n">
        <v>45879.67222222222</v>
      </c>
      <c r="P149" t="inlineStr">
        <is>
          <t>UNO A UNO</t>
        </is>
      </c>
      <c r="Q149" t="inlineStr">
        <is>
          <t>UNO A UNO</t>
        </is>
      </c>
      <c r="R149" t="inlineStr">
        <is>
          <t>EJECUTADO</t>
        </is>
      </c>
      <c r="S149" t="inlineStr">
        <is>
          <t>VISITA TECNICA</t>
        </is>
      </c>
      <c r="T149" t="inlineStr">
        <is>
          <t>F8ZZZ030</t>
        </is>
      </c>
      <c r="U149" t="inlineStr">
        <is>
          <t>TIPO I</t>
        </is>
      </c>
      <c r="V149" t="inlineStr">
        <is>
          <t>TERRESTRE</t>
        </is>
      </c>
      <c r="W149" t="inlineStr">
        <is>
          <t>BUSTOS MORA DIEGO MANUEL</t>
        </is>
      </c>
      <c r="X149" t="inlineStr">
        <is>
          <t>Si</t>
        </is>
      </c>
      <c r="Y149" t="inlineStr">
        <is>
          <t>Si</t>
        </is>
      </c>
      <c r="Z149" s="45" t="n">
        <v>0</v>
      </c>
      <c r="AA149" t="inlineStr">
        <is>
          <t>0</t>
        </is>
      </c>
      <c r="AB149" s="45" t="n">
        <v>194983</v>
      </c>
      <c r="AC149" s="45" t="n">
        <v>0</v>
      </c>
    </row>
    <row r="150">
      <c r="A150" t="inlineStr">
        <is>
          <t>BOGOTA</t>
        </is>
      </c>
      <c r="B150" t="inlineStr">
        <is>
          <t>CUNDINAMARCA</t>
        </is>
      </c>
      <c r="C150" t="inlineStr">
        <is>
          <t>0004-0004</t>
        </is>
      </c>
      <c r="D150" t="inlineStr">
        <is>
          <t>11001</t>
        </is>
      </c>
      <c r="E150" t="inlineStr">
        <is>
          <t>TA-25-915500</t>
        </is>
      </c>
      <c r="F150" t="inlineStr">
        <is>
          <t>3007080776</t>
        </is>
      </c>
      <c r="G150" t="inlineStr">
        <is>
          <t>APERTURA</t>
        </is>
      </c>
      <c r="H150" t="inlineStr">
        <is>
          <t>CB CRECIMIENTO - NUEVO</t>
        </is>
      </c>
      <c r="I150" t="inlineStr">
        <is>
          <t>CUNDINAMARCA</t>
        </is>
      </c>
      <c r="J150" t="inlineStr">
        <is>
          <t>BOGOTA</t>
        </is>
      </c>
      <c r="K150" t="inlineStr">
        <is>
          <t>BARRIO TRINIDAD BOGOTA 2</t>
        </is>
      </c>
      <c r="L150" t="inlineStr">
        <is>
          <t>BANCOLOMBIA</t>
        </is>
      </c>
      <c r="M150" t="inlineStr">
        <is>
          <t>FO-25-1316439</t>
        </is>
      </c>
      <c r="N150" s="46" t="n">
        <v>45870.57152777778</v>
      </c>
      <c r="O150" s="46" t="n">
        <v>45873.56527777778</v>
      </c>
      <c r="P150" t="inlineStr">
        <is>
          <t>UNO A UNO</t>
        </is>
      </c>
      <c r="Q150" t="inlineStr">
        <is>
          <t>UNO A UNO</t>
        </is>
      </c>
      <c r="R150" t="inlineStr">
        <is>
          <t>EJECUTADO</t>
        </is>
      </c>
      <c r="S150" t="inlineStr">
        <is>
          <t>VISITA TECNICA</t>
        </is>
      </c>
      <c r="T150" t="inlineStr">
        <is>
          <t>F8ZZZ031</t>
        </is>
      </c>
      <c r="U150" t="inlineStr">
        <is>
          <t>TIPO I</t>
        </is>
      </c>
      <c r="V150" t="inlineStr">
        <is>
          <t>TERRESTRE</t>
        </is>
      </c>
      <c r="W150" t="inlineStr">
        <is>
          <t>GALINDO ROJAS LUIS FELIPE</t>
        </is>
      </c>
      <c r="X150" t="inlineStr">
        <is>
          <t>Si</t>
        </is>
      </c>
      <c r="Y150" t="inlineStr">
        <is>
          <t>Si</t>
        </is>
      </c>
      <c r="Z150" s="45" t="n">
        <v>0</v>
      </c>
      <c r="AA150" t="inlineStr">
        <is>
          <t>0</t>
        </is>
      </c>
      <c r="AB150" s="45" t="n">
        <v>194983</v>
      </c>
      <c r="AC150" s="45" t="n">
        <v>0</v>
      </c>
    </row>
    <row r="151">
      <c r="A151" t="inlineStr">
        <is>
          <t>PEREIRA</t>
        </is>
      </c>
      <c r="B151" t="inlineStr">
        <is>
          <t>SUROCCIDENTE Y EJE CAFETERO</t>
        </is>
      </c>
      <c r="C151" t="inlineStr">
        <is>
          <t>0004-0002</t>
        </is>
      </c>
      <c r="D151" t="inlineStr">
        <is>
          <t>66001</t>
        </is>
      </c>
      <c r="E151" t="inlineStr">
        <is>
          <t>TA-25-915501</t>
        </is>
      </c>
      <c r="F151" t="inlineStr">
        <is>
          <t>3007080798</t>
        </is>
      </c>
      <c r="G151" t="inlineStr">
        <is>
          <t>APERTURA</t>
        </is>
      </c>
      <c r="H151" t="inlineStr">
        <is>
          <t>CB CRECIMIENTO - NUEVO</t>
        </is>
      </c>
      <c r="I151" t="inlineStr">
        <is>
          <t>RISARALDA</t>
        </is>
      </c>
      <c r="J151" t="inlineStr">
        <is>
          <t>PEREIRA</t>
        </is>
      </c>
      <c r="K151" t="inlineStr">
        <is>
          <t>BARRIO EL JARDIN ETAPA 3 PEREIRA</t>
        </is>
      </c>
      <c r="L151" t="inlineStr">
        <is>
          <t>BANCOLOMBIA</t>
        </is>
      </c>
      <c r="M151" t="inlineStr">
        <is>
          <t>FO-25-1316441</t>
        </is>
      </c>
      <c r="N151" s="46" t="n">
        <v>45870.26666666667</v>
      </c>
      <c r="O151" s="46" t="n">
        <v>45873.55625</v>
      </c>
      <c r="P151" t="inlineStr">
        <is>
          <t>UNO A UNO</t>
        </is>
      </c>
      <c r="Q151" t="inlineStr">
        <is>
          <t>UNO A UNO</t>
        </is>
      </c>
      <c r="R151" t="inlineStr">
        <is>
          <t>EJECUTADO</t>
        </is>
      </c>
      <c r="S151" t="inlineStr">
        <is>
          <t>VISITA TECNICA</t>
        </is>
      </c>
      <c r="T151" t="inlineStr">
        <is>
          <t>F8ZZZ033</t>
        </is>
      </c>
      <c r="U151" t="inlineStr">
        <is>
          <t>TIPO I</t>
        </is>
      </c>
      <c r="V151" t="inlineStr">
        <is>
          <t>TERRESTRE</t>
        </is>
      </c>
      <c r="W151" t="inlineStr">
        <is>
          <t>FRANCO CAÑAVERAL YAMID RAUL</t>
        </is>
      </c>
      <c r="X151" t="inlineStr">
        <is>
          <t>Si</t>
        </is>
      </c>
      <c r="Y151" t="inlineStr">
        <is>
          <t>Si</t>
        </is>
      </c>
      <c r="Z151" s="45" t="n">
        <v>0</v>
      </c>
      <c r="AA151" t="inlineStr">
        <is>
          <t>0</t>
        </is>
      </c>
      <c r="AB151" s="45" t="n">
        <v>194983</v>
      </c>
      <c r="AC151" s="45" t="n">
        <v>0</v>
      </c>
    </row>
    <row r="152">
      <c r="A152" t="inlineStr">
        <is>
          <t>SINCELEJO</t>
        </is>
      </c>
      <c r="B152" t="inlineStr">
        <is>
          <t>COSTA</t>
        </is>
      </c>
      <c r="C152" t="inlineStr">
        <is>
          <t>0004-0001</t>
        </is>
      </c>
      <c r="D152" t="inlineStr">
        <is>
          <t>70820</t>
        </is>
      </c>
      <c r="E152" t="inlineStr">
        <is>
          <t>TA-25-915502</t>
        </is>
      </c>
      <c r="F152" t="inlineStr">
        <is>
          <t>3007080808</t>
        </is>
      </c>
      <c r="G152" t="inlineStr">
        <is>
          <t>APERTURA</t>
        </is>
      </c>
      <c r="H152" t="inlineStr">
        <is>
          <t>CB CRECIMIENTO - NUEVO</t>
        </is>
      </c>
      <c r="I152" t="inlineStr">
        <is>
          <t>SUCRE</t>
        </is>
      </c>
      <c r="J152" t="inlineStr">
        <is>
          <t>SANTIAGO DE TOLU</t>
        </is>
      </c>
      <c r="K152" t="inlineStr">
        <is>
          <t>BARRIO EL ARROYITO SANTIAGO DE TOLU</t>
        </is>
      </c>
      <c r="L152" t="inlineStr">
        <is>
          <t>BANCOLOMBIA</t>
        </is>
      </c>
      <c r="M152" t="inlineStr">
        <is>
          <t>FO-25-1316445</t>
        </is>
      </c>
      <c r="N152" s="46" t="n">
        <v>45870.66111111111</v>
      </c>
      <c r="O152" s="46" t="n">
        <v>45874.56944444445</v>
      </c>
      <c r="P152" t="inlineStr">
        <is>
          <t>UNO A UNO</t>
        </is>
      </c>
      <c r="Q152" t="inlineStr">
        <is>
          <t>UNO A UNO</t>
        </is>
      </c>
      <c r="R152" t="inlineStr">
        <is>
          <t>EJECUTADO</t>
        </is>
      </c>
      <c r="S152" t="inlineStr">
        <is>
          <t>VISITA TECNICA</t>
        </is>
      </c>
      <c r="T152" t="inlineStr">
        <is>
          <t>F8ZZZ034</t>
        </is>
      </c>
      <c r="U152" t="inlineStr">
        <is>
          <t>TIPO II</t>
        </is>
      </c>
      <c r="V152" t="inlineStr">
        <is>
          <t>TERRESTRE</t>
        </is>
      </c>
      <c r="W152" t="inlineStr">
        <is>
          <t>SANTOS GUZMAN CHRISTIAN FELIPE</t>
        </is>
      </c>
      <c r="X152" t="inlineStr">
        <is>
          <t>Si</t>
        </is>
      </c>
      <c r="Y152" t="inlineStr">
        <is>
          <t>Si</t>
        </is>
      </c>
      <c r="Z152" s="45" t="n">
        <v>0</v>
      </c>
      <c r="AA152" t="inlineStr">
        <is>
          <t>0</t>
        </is>
      </c>
      <c r="AB152" s="45" t="n">
        <v>248376</v>
      </c>
      <c r="AC152" s="45" t="n">
        <v>0</v>
      </c>
    </row>
    <row r="153">
      <c r="A153" t="inlineStr">
        <is>
          <t>TUNJA</t>
        </is>
      </c>
      <c r="B153" t="inlineStr">
        <is>
          <t>SANTANDERES</t>
        </is>
      </c>
      <c r="C153" t="inlineStr">
        <is>
          <t>0004-0008</t>
        </is>
      </c>
      <c r="D153" t="inlineStr">
        <is>
          <t>15238</t>
        </is>
      </c>
      <c r="E153" t="inlineStr">
        <is>
          <t>TA-25-915504</t>
        </is>
      </c>
      <c r="F153" t="inlineStr">
        <is>
          <t>3007080785</t>
        </is>
      </c>
      <c r="G153" t="inlineStr">
        <is>
          <t>APERTURA</t>
        </is>
      </c>
      <c r="H153" t="inlineStr">
        <is>
          <t>CB CRECIMIENTO - NUEVO</t>
        </is>
      </c>
      <c r="I153" t="inlineStr">
        <is>
          <t>BOYACA</t>
        </is>
      </c>
      <c r="J153" t="inlineStr">
        <is>
          <t>DUITAMA</t>
        </is>
      </c>
      <c r="K153" t="inlineStr">
        <is>
          <t>BARRIO VEREDA LA TRINIDAD DUITAMA 2</t>
        </is>
      </c>
      <c r="L153" t="inlineStr">
        <is>
          <t>BANCOLOMBIA</t>
        </is>
      </c>
      <c r="M153" t="inlineStr">
        <is>
          <t>FO-25-1316450</t>
        </is>
      </c>
      <c r="N153" s="46" t="n">
        <v>45870.55972222222</v>
      </c>
      <c r="O153" s="46" t="n">
        <v>45879.63333333333</v>
      </c>
      <c r="P153" t="inlineStr">
        <is>
          <t>UNO A UNO</t>
        </is>
      </c>
      <c r="Q153" t="inlineStr">
        <is>
          <t>UNO A UNO</t>
        </is>
      </c>
      <c r="R153" t="inlineStr">
        <is>
          <t>EJECUTADO</t>
        </is>
      </c>
      <c r="S153" t="inlineStr">
        <is>
          <t>VISITA TECNICA</t>
        </is>
      </c>
      <c r="T153" t="inlineStr">
        <is>
          <t>F8ZZZ035</t>
        </is>
      </c>
      <c r="U153" t="inlineStr">
        <is>
          <t>TIPO II</t>
        </is>
      </c>
      <c r="V153" t="inlineStr">
        <is>
          <t>TERRESTRE</t>
        </is>
      </c>
      <c r="W153" t="inlineStr">
        <is>
          <t>RODRIGUEZ MURCIA YERSON IVAN</t>
        </is>
      </c>
      <c r="X153" t="inlineStr">
        <is>
          <t>Si</t>
        </is>
      </c>
      <c r="Y153" t="inlineStr">
        <is>
          <t>Si</t>
        </is>
      </c>
      <c r="Z153" s="45" t="n">
        <v>0</v>
      </c>
      <c r="AA153" t="inlineStr">
        <is>
          <t>0</t>
        </is>
      </c>
      <c r="AB153" s="45" t="n">
        <v>248376</v>
      </c>
      <c r="AC153" s="45" t="n">
        <v>0</v>
      </c>
    </row>
    <row r="154">
      <c r="A154" t="inlineStr">
        <is>
          <t>NEIVA</t>
        </is>
      </c>
      <c r="B154" t="inlineStr">
        <is>
          <t>REMOTAS</t>
        </is>
      </c>
      <c r="C154" t="inlineStr">
        <is>
          <t>0004-0007</t>
        </is>
      </c>
      <c r="D154" t="inlineStr">
        <is>
          <t>41551</t>
        </is>
      </c>
      <c r="E154" t="inlineStr">
        <is>
          <t>TA-25-915513</t>
        </is>
      </c>
      <c r="F154" t="inlineStr">
        <is>
          <t>3007080799</t>
        </is>
      </c>
      <c r="G154" t="inlineStr">
        <is>
          <t>APERTURA</t>
        </is>
      </c>
      <c r="H154" t="inlineStr">
        <is>
          <t>CB CRECIMIENTO - NUEVO</t>
        </is>
      </c>
      <c r="I154" t="inlineStr">
        <is>
          <t>HUILA</t>
        </is>
      </c>
      <c r="J154" t="inlineStr">
        <is>
          <t>PITALITO</t>
        </is>
      </c>
      <c r="K154" t="inlineStr">
        <is>
          <t>BARRIO PARAISO  PITALITO</t>
        </is>
      </c>
      <c r="L154" t="inlineStr">
        <is>
          <t>BANCOLOMBIA</t>
        </is>
      </c>
      <c r="M154" t="inlineStr">
        <is>
          <t>FO-25-1316460</t>
        </is>
      </c>
      <c r="N154" s="46" t="n">
        <v>45870.725</v>
      </c>
      <c r="O154" s="46" t="n">
        <v>45874.56666666667</v>
      </c>
      <c r="P154" t="inlineStr">
        <is>
          <t>UNO A UNO</t>
        </is>
      </c>
      <c r="Q154" t="inlineStr">
        <is>
          <t>UNO A UNO</t>
        </is>
      </c>
      <c r="R154" t="inlineStr">
        <is>
          <t>EJECUTADO</t>
        </is>
      </c>
      <c r="S154" t="inlineStr">
        <is>
          <t>VISITA TECNICA</t>
        </is>
      </c>
      <c r="T154" t="inlineStr">
        <is>
          <t>F8ZZZ037</t>
        </is>
      </c>
      <c r="U154" t="inlineStr">
        <is>
          <t>TIPO III</t>
        </is>
      </c>
      <c r="V154" t="inlineStr">
        <is>
          <t>TERRESTRE</t>
        </is>
      </c>
      <c r="W154" t="inlineStr">
        <is>
          <t>ANDRADE HERNANDEZ JUAN CARLOS</t>
        </is>
      </c>
      <c r="X154" t="inlineStr">
        <is>
          <t>Si</t>
        </is>
      </c>
      <c r="Y154" t="inlineStr">
        <is>
          <t>Si</t>
        </is>
      </c>
      <c r="Z154" s="45" t="n">
        <v>0</v>
      </c>
      <c r="AA154" t="inlineStr">
        <is>
          <t>0</t>
        </is>
      </c>
      <c r="AB154" s="45" t="n">
        <v>248376</v>
      </c>
      <c r="AC154" s="45" t="n">
        <v>0</v>
      </c>
    </row>
    <row r="155">
      <c r="A155" t="inlineStr">
        <is>
          <t>APARTADO</t>
        </is>
      </c>
      <c r="B155" t="inlineStr">
        <is>
          <t>NOROCCIDENTE</t>
        </is>
      </c>
      <c r="C155" t="inlineStr">
        <is>
          <t>0004-0005</t>
        </is>
      </c>
      <c r="D155" t="inlineStr">
        <is>
          <t>5490</t>
        </is>
      </c>
      <c r="E155" t="inlineStr">
        <is>
          <t>TA-25-915515</t>
        </is>
      </c>
      <c r="F155" t="inlineStr">
        <is>
          <t>3007080782</t>
        </is>
      </c>
      <c r="G155" t="inlineStr">
        <is>
          <t>APERTURA</t>
        </is>
      </c>
      <c r="H155" t="inlineStr">
        <is>
          <t>CB CRECIMIENTO - NUEVO</t>
        </is>
      </c>
      <c r="I155" t="inlineStr">
        <is>
          <t>ANTIOQUIA</t>
        </is>
      </c>
      <c r="J155" t="inlineStr">
        <is>
          <t>NECOCLI</t>
        </is>
      </c>
      <c r="K155" t="inlineStr">
        <is>
          <t>BARRIO CL PRINCIPAL CORREGIMIENTO EL TOTUMO NECOCLI ANTI  NECOCLI</t>
        </is>
      </c>
      <c r="L155" t="inlineStr">
        <is>
          <t>BANCOLOMBIA</t>
        </is>
      </c>
      <c r="M155" t="inlineStr">
        <is>
          <t>FO-25-1316465</t>
        </is>
      </c>
      <c r="N155" s="46" t="n">
        <v>45870.66944444444</v>
      </c>
      <c r="O155" s="46" t="n">
        <v>45879.67291666667</v>
      </c>
      <c r="P155" t="inlineStr">
        <is>
          <t>UNO A UNO</t>
        </is>
      </c>
      <c r="Q155" t="inlineStr">
        <is>
          <t>UNO A UNO</t>
        </is>
      </c>
      <c r="R155" t="inlineStr">
        <is>
          <t>EJECUTADO</t>
        </is>
      </c>
      <c r="S155" t="inlineStr">
        <is>
          <t>VISITA TECNICA</t>
        </is>
      </c>
      <c r="T155" t="inlineStr">
        <is>
          <t>F8ZZZ038</t>
        </is>
      </c>
      <c r="U155" t="inlineStr">
        <is>
          <t>TIPO II</t>
        </is>
      </c>
      <c r="V155" t="inlineStr">
        <is>
          <t>TERRESTRE</t>
        </is>
      </c>
      <c r="W155" t="inlineStr">
        <is>
          <t>SALDARRIAGA MIRANDA SANTIAGO</t>
        </is>
      </c>
      <c r="X155" t="inlineStr">
        <is>
          <t>Si</t>
        </is>
      </c>
      <c r="Y155" t="inlineStr">
        <is>
          <t>Si</t>
        </is>
      </c>
      <c r="Z155" s="45" t="n">
        <v>0</v>
      </c>
      <c r="AA155" t="inlineStr">
        <is>
          <t>0</t>
        </is>
      </c>
      <c r="AB155" s="45" t="n">
        <v>248376</v>
      </c>
      <c r="AC155" s="45" t="n">
        <v>0</v>
      </c>
    </row>
    <row r="156">
      <c r="A156" t="inlineStr">
        <is>
          <t>BOGOTA</t>
        </is>
      </c>
      <c r="B156" t="inlineStr">
        <is>
          <t>CUNDINAMARCA</t>
        </is>
      </c>
      <c r="C156" t="inlineStr">
        <is>
          <t>0004-0004</t>
        </is>
      </c>
      <c r="D156" t="inlineStr">
        <is>
          <t>25797</t>
        </is>
      </c>
      <c r="E156" t="inlineStr">
        <is>
          <t>TA-25-915519</t>
        </is>
      </c>
      <c r="F156" t="inlineStr">
        <is>
          <t>3007080804</t>
        </is>
      </c>
      <c r="G156" t="inlineStr">
        <is>
          <t>APERTURA</t>
        </is>
      </c>
      <c r="H156" t="inlineStr">
        <is>
          <t>CB CRECIMIENTO - NUEVO</t>
        </is>
      </c>
      <c r="I156" t="inlineStr">
        <is>
          <t>CUNDINAMARCA</t>
        </is>
      </c>
      <c r="J156" t="inlineStr">
        <is>
          <t>TENA</t>
        </is>
      </c>
      <c r="K156" t="inlineStr">
        <is>
          <t>BARRIO GUASIMAL TENA TENA</t>
        </is>
      </c>
      <c r="L156" t="inlineStr">
        <is>
          <t>BANCOLOMBIA</t>
        </is>
      </c>
      <c r="M156" t="inlineStr">
        <is>
          <t>FO-25-1316472</t>
        </is>
      </c>
      <c r="N156" s="46" t="n">
        <v>45870.71388888889</v>
      </c>
      <c r="O156" s="46" t="n">
        <v>45874.57083333333</v>
      </c>
      <c r="P156" t="inlineStr">
        <is>
          <t>UNO A UNO</t>
        </is>
      </c>
      <c r="Q156" t="inlineStr">
        <is>
          <t>UNO A UNO</t>
        </is>
      </c>
      <c r="R156" t="inlineStr">
        <is>
          <t>EJECUTADO</t>
        </is>
      </c>
      <c r="S156" t="inlineStr">
        <is>
          <t>VISITA TECNICA</t>
        </is>
      </c>
      <c r="T156" t="inlineStr">
        <is>
          <t>F8ZZZ039</t>
        </is>
      </c>
      <c r="U156" t="inlineStr">
        <is>
          <t>TIPO II</t>
        </is>
      </c>
      <c r="V156" t="inlineStr">
        <is>
          <t>TERRESTRE</t>
        </is>
      </c>
      <c r="W156" t="inlineStr">
        <is>
          <t>GOMEZ VEGA DAVID SNEYDER</t>
        </is>
      </c>
      <c r="X156" t="inlineStr">
        <is>
          <t>Si</t>
        </is>
      </c>
      <c r="Y156" t="inlineStr">
        <is>
          <t>Si</t>
        </is>
      </c>
      <c r="Z156" s="45" t="n">
        <v>0</v>
      </c>
      <c r="AA156" t="inlineStr">
        <is>
          <t>0</t>
        </is>
      </c>
      <c r="AB156" s="45" t="n">
        <v>248376</v>
      </c>
      <c r="AC156" s="45" t="n">
        <v>0</v>
      </c>
    </row>
    <row r="157">
      <c r="A157" t="inlineStr">
        <is>
          <t>MANIZALES</t>
        </is>
      </c>
      <c r="B157" t="inlineStr">
        <is>
          <t>SUROCCIDENTE Y EJE CAFETERO</t>
        </is>
      </c>
      <c r="C157" t="inlineStr">
        <is>
          <t>0004-0002</t>
        </is>
      </c>
      <c r="D157" t="inlineStr">
        <is>
          <t>17013</t>
        </is>
      </c>
      <c r="E157" t="inlineStr">
        <is>
          <t>TA-25-915520</t>
        </is>
      </c>
      <c r="F157" t="inlineStr">
        <is>
          <t>3007080767</t>
        </is>
      </c>
      <c r="G157" t="inlineStr">
        <is>
          <t>APERTURA</t>
        </is>
      </c>
      <c r="H157" t="inlineStr">
        <is>
          <t>CB CRECIMIENTO - NUEVO</t>
        </is>
      </c>
      <c r="I157" t="inlineStr">
        <is>
          <t>CALDAS</t>
        </is>
      </c>
      <c r="J157" t="inlineStr">
        <is>
          <t>AGUADAS</t>
        </is>
      </c>
      <c r="K157" t="inlineStr">
        <is>
          <t>BARRIO OLIVARES SECTOR LA Y  AGUADAS</t>
        </is>
      </c>
      <c r="L157" t="inlineStr">
        <is>
          <t>BANCOLOMBIA</t>
        </is>
      </c>
      <c r="M157" t="inlineStr">
        <is>
          <t>FO-25-1316477</t>
        </is>
      </c>
      <c r="N157" s="46" t="n">
        <v>45870.65833333333</v>
      </c>
      <c r="O157" s="46" t="n">
        <v>45874.64791666667</v>
      </c>
      <c r="P157" t="inlineStr">
        <is>
          <t>UNO A UNO</t>
        </is>
      </c>
      <c r="Q157" t="inlineStr">
        <is>
          <t>UNO A UNO</t>
        </is>
      </c>
      <c r="R157" t="inlineStr">
        <is>
          <t>EJECUTADO</t>
        </is>
      </c>
      <c r="S157" t="inlineStr">
        <is>
          <t>VISITA TECNICA</t>
        </is>
      </c>
      <c r="T157" t="inlineStr">
        <is>
          <t>F8ZZZ040</t>
        </is>
      </c>
      <c r="U157" t="inlineStr">
        <is>
          <t>TIPO III</t>
        </is>
      </c>
      <c r="V157" t="inlineStr">
        <is>
          <t>TERRESTRE</t>
        </is>
      </c>
      <c r="W157" t="inlineStr">
        <is>
          <t>AGUIRRE HENAO RAUL EDUARDO</t>
        </is>
      </c>
      <c r="X157" t="inlineStr">
        <is>
          <t>Si</t>
        </is>
      </c>
      <c r="Y157" t="inlineStr">
        <is>
          <t>Si</t>
        </is>
      </c>
      <c r="Z157" s="45" t="n">
        <v>0</v>
      </c>
      <c r="AA157" t="inlineStr">
        <is>
          <t>0</t>
        </is>
      </c>
      <c r="AB157" s="45" t="n">
        <v>248376</v>
      </c>
      <c r="AC157" s="45" t="n">
        <v>0</v>
      </c>
    </row>
    <row r="158">
      <c r="A158" t="inlineStr">
        <is>
          <t>MANIZALES</t>
        </is>
      </c>
      <c r="B158" t="inlineStr">
        <is>
          <t>SUROCCIDENTE Y EJE CAFETERO</t>
        </is>
      </c>
      <c r="C158" t="inlineStr">
        <is>
          <t>0004-0002</t>
        </is>
      </c>
      <c r="D158" t="inlineStr">
        <is>
          <t>17001</t>
        </is>
      </c>
      <c r="E158" t="inlineStr">
        <is>
          <t>TA-25-915522</t>
        </is>
      </c>
      <c r="F158" t="inlineStr">
        <is>
          <t>3007080790</t>
        </is>
      </c>
      <c r="G158" t="inlineStr">
        <is>
          <t>APERTURA</t>
        </is>
      </c>
      <c r="H158" t="inlineStr">
        <is>
          <t>CB CRECIMIENTO - NUEVO</t>
        </is>
      </c>
      <c r="I158" t="inlineStr">
        <is>
          <t>CALDAS</t>
        </is>
      </c>
      <c r="J158" t="inlineStr">
        <is>
          <t>MANIZALES</t>
        </is>
      </c>
      <c r="K158" t="inlineStr">
        <is>
          <t>BARRIO VINA DEL RIO MANIZALES</t>
        </is>
      </c>
      <c r="L158" t="inlineStr">
        <is>
          <t>BANCOLOMBIA</t>
        </is>
      </c>
      <c r="M158" t="inlineStr">
        <is>
          <t>FO-25-1316479</t>
        </is>
      </c>
      <c r="N158" s="46" t="n">
        <v>45870.67291666667</v>
      </c>
      <c r="O158" s="46" t="n">
        <v>45874.57291666666</v>
      </c>
      <c r="P158" t="inlineStr">
        <is>
          <t>UNO A UNO</t>
        </is>
      </c>
      <c r="Q158" t="inlineStr">
        <is>
          <t>UNO A UNO</t>
        </is>
      </c>
      <c r="R158" t="inlineStr">
        <is>
          <t>EJECUTADO</t>
        </is>
      </c>
      <c r="S158" t="inlineStr">
        <is>
          <t>VISITA TECNICA</t>
        </is>
      </c>
      <c r="T158" t="inlineStr">
        <is>
          <t>F8ZZZ041</t>
        </is>
      </c>
      <c r="U158" t="inlineStr">
        <is>
          <t>TIPO I</t>
        </is>
      </c>
      <c r="V158" t="inlineStr">
        <is>
          <t>TERRESTRE</t>
        </is>
      </c>
      <c r="W158" t="inlineStr">
        <is>
          <t>ARROYAVE CANO MANUEL GUILLERMO</t>
        </is>
      </c>
      <c r="X158" t="inlineStr">
        <is>
          <t>Si</t>
        </is>
      </c>
      <c r="Y158" t="inlineStr">
        <is>
          <t>Si</t>
        </is>
      </c>
      <c r="Z158" s="45" t="n">
        <v>0</v>
      </c>
      <c r="AA158" t="inlineStr">
        <is>
          <t>0</t>
        </is>
      </c>
      <c r="AB158" s="45" t="n">
        <v>194983</v>
      </c>
      <c r="AC158" s="45" t="n">
        <v>0</v>
      </c>
    </row>
    <row r="159">
      <c r="A159" t="inlineStr">
        <is>
          <t>BOGOTA</t>
        </is>
      </c>
      <c r="B159" t="inlineStr">
        <is>
          <t>CUNDINAMARCA</t>
        </is>
      </c>
      <c r="C159" t="inlineStr">
        <is>
          <t>0004-0004</t>
        </is>
      </c>
      <c r="D159" t="inlineStr">
        <is>
          <t>25781</t>
        </is>
      </c>
      <c r="E159" t="inlineStr">
        <is>
          <t>TA-25-915523</t>
        </is>
      </c>
      <c r="F159" t="inlineStr">
        <is>
          <t>3007080801</t>
        </is>
      </c>
      <c r="G159" t="inlineStr">
        <is>
          <t>APERTURA</t>
        </is>
      </c>
      <c r="H159" t="inlineStr">
        <is>
          <t>CB CRECIMIENTO - NUEVO</t>
        </is>
      </c>
      <c r="I159" t="inlineStr">
        <is>
          <t>CUNDINAMARCA</t>
        </is>
      </c>
      <c r="J159" t="inlineStr">
        <is>
          <t>SUTATAUSA</t>
        </is>
      </c>
      <c r="K159" t="inlineStr">
        <is>
          <t>BARRIO CENTRO SUTATAUSA CENTRO</t>
        </is>
      </c>
      <c r="L159" t="inlineStr">
        <is>
          <t>BANCOLOMBIA</t>
        </is>
      </c>
      <c r="M159" t="inlineStr">
        <is>
          <t>FO-25-1316485</t>
        </is>
      </c>
      <c r="N159" s="46" t="n">
        <v>45870.71388888889</v>
      </c>
      <c r="O159" s="46" t="n">
        <v>45874.65</v>
      </c>
      <c r="P159" t="inlineStr">
        <is>
          <t>UNO A UNO</t>
        </is>
      </c>
      <c r="Q159" t="inlineStr">
        <is>
          <t>UNO A UNO</t>
        </is>
      </c>
      <c r="R159" t="inlineStr">
        <is>
          <t>EJECUTADO</t>
        </is>
      </c>
      <c r="S159" t="inlineStr">
        <is>
          <t>VISITA TECNICA</t>
        </is>
      </c>
      <c r="T159" t="inlineStr">
        <is>
          <t>F8ZZZ042</t>
        </is>
      </c>
      <c r="U159" t="inlineStr">
        <is>
          <t>TIPO II</t>
        </is>
      </c>
      <c r="V159" t="inlineStr">
        <is>
          <t>TERRESTRE</t>
        </is>
      </c>
      <c r="W159" t="inlineStr">
        <is>
          <t>MURCIA HERNANDEZ HARVEY IGNACIO</t>
        </is>
      </c>
      <c r="X159" t="inlineStr">
        <is>
          <t>Si</t>
        </is>
      </c>
      <c r="Y159" t="inlineStr">
        <is>
          <t>Si</t>
        </is>
      </c>
      <c r="Z159" s="45" t="n">
        <v>0</v>
      </c>
      <c r="AA159" t="inlineStr">
        <is>
          <t>0</t>
        </is>
      </c>
      <c r="AB159" s="45" t="n">
        <v>248376</v>
      </c>
      <c r="AC159" s="45" t="n">
        <v>0</v>
      </c>
    </row>
    <row r="160">
      <c r="A160" t="inlineStr">
        <is>
          <t>MONTERIA</t>
        </is>
      </c>
      <c r="B160" t="inlineStr">
        <is>
          <t>COSTA</t>
        </is>
      </c>
      <c r="C160" t="inlineStr">
        <is>
          <t>0004-0001</t>
        </is>
      </c>
      <c r="D160" t="inlineStr">
        <is>
          <t>23417</t>
        </is>
      </c>
      <c r="E160" t="inlineStr">
        <is>
          <t>TA-25-915526</t>
        </is>
      </c>
      <c r="F160" t="inlineStr">
        <is>
          <t>3007080822</t>
        </is>
      </c>
      <c r="G160" t="inlineStr">
        <is>
          <t>APERTURA</t>
        </is>
      </c>
      <c r="H160" t="inlineStr">
        <is>
          <t>CB CRECIMIENTO - NUEVO</t>
        </is>
      </c>
      <c r="I160" t="inlineStr">
        <is>
          <t>CORDOBA</t>
        </is>
      </c>
      <c r="J160" t="inlineStr">
        <is>
          <t>LORICA</t>
        </is>
      </c>
      <c r="K160" t="inlineStr">
        <is>
          <t>BARRIO SAN MIGUEL LORICA</t>
        </is>
      </c>
      <c r="L160" t="inlineStr">
        <is>
          <t>BANCOLOMBIA</t>
        </is>
      </c>
      <c r="M160" t="inlineStr">
        <is>
          <t>FO-25-1316489</t>
        </is>
      </c>
      <c r="N160" s="46" t="n">
        <v>45870.60555555556</v>
      </c>
      <c r="O160" s="46" t="n">
        <v>45874.65347222222</v>
      </c>
      <c r="P160" t="inlineStr">
        <is>
          <t>UNO A UNO</t>
        </is>
      </c>
      <c r="Q160" t="inlineStr">
        <is>
          <t>UNO A UNO</t>
        </is>
      </c>
      <c r="R160" t="inlineStr">
        <is>
          <t>EJECUTADO</t>
        </is>
      </c>
      <c r="S160" t="inlineStr">
        <is>
          <t>VISITA TECNICA</t>
        </is>
      </c>
      <c r="T160" t="inlineStr">
        <is>
          <t>F8ZZZ044</t>
        </is>
      </c>
      <c r="U160" t="inlineStr">
        <is>
          <t>TIPO II</t>
        </is>
      </c>
      <c r="V160" t="inlineStr">
        <is>
          <t>TERRESTRE</t>
        </is>
      </c>
      <c r="W160" t="inlineStr">
        <is>
          <t>GONZALEZ FERRER JESUS ALEXANDER</t>
        </is>
      </c>
      <c r="X160" t="inlineStr">
        <is>
          <t>Si</t>
        </is>
      </c>
      <c r="Y160" t="inlineStr">
        <is>
          <t>Si</t>
        </is>
      </c>
      <c r="Z160" s="45" t="n">
        <v>0</v>
      </c>
      <c r="AA160" t="inlineStr">
        <is>
          <t>0</t>
        </is>
      </c>
      <c r="AB160" s="45" t="n">
        <v>248376</v>
      </c>
      <c r="AC160" s="45" t="n">
        <v>0</v>
      </c>
    </row>
    <row r="161">
      <c r="A161" t="inlineStr">
        <is>
          <t>MEDELLIN</t>
        </is>
      </c>
      <c r="B161" t="inlineStr">
        <is>
          <t>NOROCCIDENTE</t>
        </is>
      </c>
      <c r="C161" t="inlineStr">
        <is>
          <t>0004-0005</t>
        </is>
      </c>
      <c r="D161" t="inlineStr">
        <is>
          <t>5890</t>
        </is>
      </c>
      <c r="E161" t="inlineStr">
        <is>
          <t>TA-25-915528</t>
        </is>
      </c>
      <c r="F161" t="inlineStr">
        <is>
          <t>3007080809</t>
        </is>
      </c>
      <c r="G161" t="inlineStr">
        <is>
          <t>APERTURA</t>
        </is>
      </c>
      <c r="H161" t="inlineStr">
        <is>
          <t>CB CRECIMIENTO - NUEVO</t>
        </is>
      </c>
      <c r="I161" t="inlineStr">
        <is>
          <t>ANTIOQUIA</t>
        </is>
      </c>
      <c r="J161" t="inlineStr">
        <is>
          <t>YOLOMBO</t>
        </is>
      </c>
      <c r="K161" t="inlineStr">
        <is>
          <t>BARRIO EL CENTRO YOLOMBO</t>
        </is>
      </c>
      <c r="L161" t="inlineStr">
        <is>
          <t>BANCOLOMBIA</t>
        </is>
      </c>
      <c r="M161" t="inlineStr">
        <is>
          <t>FO-25-1316493</t>
        </is>
      </c>
      <c r="N161" s="46" t="n">
        <v>45870.66944444444</v>
      </c>
      <c r="O161" s="46" t="n">
        <v>45875.31180555555</v>
      </c>
      <c r="P161" t="inlineStr">
        <is>
          <t>UNO A UNO</t>
        </is>
      </c>
      <c r="Q161" t="inlineStr">
        <is>
          <t>UNO A UNO</t>
        </is>
      </c>
      <c r="R161" t="inlineStr">
        <is>
          <t>EJECUTADO</t>
        </is>
      </c>
      <c r="S161" t="inlineStr">
        <is>
          <t>VISITA TECNICA</t>
        </is>
      </c>
      <c r="T161" t="inlineStr">
        <is>
          <t>F8ZZZ045 - F8ZZZ046</t>
        </is>
      </c>
      <c r="U161" t="inlineStr">
        <is>
          <t>TIPO II</t>
        </is>
      </c>
      <c r="V161" t="inlineStr">
        <is>
          <t>TERRESTRE</t>
        </is>
      </c>
      <c r="W161" t="inlineStr">
        <is>
          <t>BADEL ACUÑA LUIS ALBERTO</t>
        </is>
      </c>
      <c r="X161" t="inlineStr">
        <is>
          <t>Si</t>
        </is>
      </c>
      <c r="Y161" t="inlineStr">
        <is>
          <t>Si</t>
        </is>
      </c>
      <c r="Z161" s="45" t="n">
        <v>0</v>
      </c>
      <c r="AA161" t="inlineStr">
        <is>
          <t>0</t>
        </is>
      </c>
      <c r="AB161" s="45" t="n">
        <v>248376</v>
      </c>
      <c r="AC161" s="45" t="n">
        <v>0</v>
      </c>
    </row>
    <row r="162">
      <c r="A162" t="inlineStr">
        <is>
          <t>PASTO</t>
        </is>
      </c>
      <c r="B162" t="inlineStr">
        <is>
          <t>SUROCCIDENTE Y EJE CAFETERO</t>
        </is>
      </c>
      <c r="C162" t="inlineStr">
        <is>
          <t>0004-0003</t>
        </is>
      </c>
      <c r="D162" t="inlineStr">
        <is>
          <t>52835</t>
        </is>
      </c>
      <c r="E162" t="inlineStr">
        <is>
          <t>TA-25-915529</t>
        </is>
      </c>
      <c r="F162" t="inlineStr">
        <is>
          <t>3007080802</t>
        </is>
      </c>
      <c r="G162" t="inlineStr">
        <is>
          <t>APERTURA</t>
        </is>
      </c>
      <c r="H162" t="inlineStr">
        <is>
          <t>CB CRECIMIENTO - NUEVO</t>
        </is>
      </c>
      <c r="I162" t="inlineStr">
        <is>
          <t>NARIÑO</t>
        </is>
      </c>
      <c r="J162" t="inlineStr">
        <is>
          <t>SAN ANDRES DE TUMACO</t>
        </is>
      </c>
      <c r="K162" t="inlineStr">
        <is>
          <t>BARRIO VEREDA LA ZABALETA SAN ANDRES DE TUMACO</t>
        </is>
      </c>
      <c r="L162" t="inlineStr">
        <is>
          <t>BANCOLOMBIA</t>
        </is>
      </c>
      <c r="M162" t="inlineStr">
        <is>
          <t>FO-25-1316499</t>
        </is>
      </c>
      <c r="N162" s="46" t="n">
        <v>45870.44722222222</v>
      </c>
      <c r="O162" s="46" t="n">
        <v>45875.28888888889</v>
      </c>
      <c r="P162" t="inlineStr">
        <is>
          <t>UNO A UNO</t>
        </is>
      </c>
      <c r="Q162" t="inlineStr">
        <is>
          <t>UNO A UNO</t>
        </is>
      </c>
      <c r="R162" t="inlineStr">
        <is>
          <t>EJECUTADO</t>
        </is>
      </c>
      <c r="S162" t="inlineStr">
        <is>
          <t>VISITA TECNICA</t>
        </is>
      </c>
      <c r="T162" t="inlineStr">
        <is>
          <t>F8ZZZ047</t>
        </is>
      </c>
      <c r="U162" t="inlineStr">
        <is>
          <t>TIPO IV</t>
        </is>
      </c>
      <c r="V162" t="inlineStr">
        <is>
          <t>TERRESTRE</t>
        </is>
      </c>
      <c r="W162" t="inlineStr">
        <is>
          <t>PAZ MARTINEZ RICHARD HUMBERTO</t>
        </is>
      </c>
      <c r="X162" t="inlineStr">
        <is>
          <t>Si</t>
        </is>
      </c>
      <c r="Y162" t="inlineStr">
        <is>
          <t>Si</t>
        </is>
      </c>
      <c r="Z162" s="45" t="n">
        <v>0</v>
      </c>
      <c r="AA162" t="inlineStr">
        <is>
          <t>0</t>
        </is>
      </c>
      <c r="AB162" s="45" t="n">
        <v>248376</v>
      </c>
      <c r="AC162" s="45" t="n">
        <v>0</v>
      </c>
    </row>
    <row r="163">
      <c r="A163" t="inlineStr">
        <is>
          <t>BOGOTA</t>
        </is>
      </c>
      <c r="B163" t="inlineStr">
        <is>
          <t>CUNDINAMARCA</t>
        </is>
      </c>
      <c r="C163" t="inlineStr">
        <is>
          <t>0004-0004</t>
        </is>
      </c>
      <c r="D163" t="inlineStr">
        <is>
          <t>11001</t>
        </is>
      </c>
      <c r="E163" t="inlineStr">
        <is>
          <t>TA-25-915535</t>
        </is>
      </c>
      <c r="F163" t="inlineStr">
        <is>
          <t>3007080774</t>
        </is>
      </c>
      <c r="G163" t="inlineStr">
        <is>
          <t>APERTURA</t>
        </is>
      </c>
      <c r="H163" t="inlineStr">
        <is>
          <t>CB CRECIMIENTO - NUEVO</t>
        </is>
      </c>
      <c r="I163" t="inlineStr">
        <is>
          <t>CUNDINAMARCA</t>
        </is>
      </c>
      <c r="J163" t="inlineStr">
        <is>
          <t>BOGOTA</t>
        </is>
      </c>
      <c r="K163" t="inlineStr">
        <is>
          <t>BARRIO SAN BLAS BOGOTA 6</t>
        </is>
      </c>
      <c r="L163" t="inlineStr">
        <is>
          <t>BANCOLOMBIA</t>
        </is>
      </c>
      <c r="M163" t="inlineStr">
        <is>
          <t>FO-25-1316505</t>
        </is>
      </c>
      <c r="N163" s="46" t="n">
        <v>45870.57152777778</v>
      </c>
      <c r="O163" s="46" t="n">
        <v>45874.32916666667</v>
      </c>
      <c r="P163" t="inlineStr">
        <is>
          <t>UNO A UNO</t>
        </is>
      </c>
      <c r="Q163" t="inlineStr">
        <is>
          <t>UNO A UNO</t>
        </is>
      </c>
      <c r="R163" t="inlineStr">
        <is>
          <t>EJECUTADO</t>
        </is>
      </c>
      <c r="S163" t="inlineStr">
        <is>
          <t>VISITA TECNICA</t>
        </is>
      </c>
      <c r="T163" t="inlineStr">
        <is>
          <t>F8ZZZ048</t>
        </is>
      </c>
      <c r="U163" t="inlineStr">
        <is>
          <t>TIPO I</t>
        </is>
      </c>
      <c r="V163" t="inlineStr">
        <is>
          <t>TERRESTRE</t>
        </is>
      </c>
      <c r="W163" t="inlineStr">
        <is>
          <t>ROMERO ROJAS BREIDY JHOHAN</t>
        </is>
      </c>
      <c r="X163" t="inlineStr">
        <is>
          <t>Si</t>
        </is>
      </c>
      <c r="Y163" t="inlineStr">
        <is>
          <t>Si</t>
        </is>
      </c>
      <c r="Z163" s="45" t="n">
        <v>0</v>
      </c>
      <c r="AA163" t="inlineStr">
        <is>
          <t>0</t>
        </is>
      </c>
      <c r="AB163" s="45" t="n">
        <v>194983</v>
      </c>
      <c r="AC163" s="45" t="n">
        <v>0</v>
      </c>
    </row>
    <row r="164">
      <c r="A164" t="inlineStr">
        <is>
          <t>MEDELLIN</t>
        </is>
      </c>
      <c r="B164" t="inlineStr">
        <is>
          <t>NOROCCIDENTE</t>
        </is>
      </c>
      <c r="C164" t="inlineStr">
        <is>
          <t>0004-0005</t>
        </is>
      </c>
      <c r="D164" t="inlineStr">
        <is>
          <t>5361</t>
        </is>
      </c>
      <c r="E164" t="inlineStr">
        <is>
          <t>TA-25-915536</t>
        </is>
      </c>
      <c r="F164" t="inlineStr">
        <is>
          <t>3007080769</t>
        </is>
      </c>
      <c r="G164" t="inlineStr">
        <is>
          <t>APERTURA</t>
        </is>
      </c>
      <c r="H164" t="inlineStr">
        <is>
          <t>CB CRECIMIENTO - NUEVO</t>
        </is>
      </c>
      <c r="I164" t="inlineStr">
        <is>
          <t>ANTIOQUIA</t>
        </is>
      </c>
      <c r="J164" t="inlineStr">
        <is>
          <t>ITUANGO</t>
        </is>
      </c>
      <c r="K164" t="inlineStr">
        <is>
          <t>BARRIO CARRERA RUIZ ITUANGO</t>
        </is>
      </c>
      <c r="L164" t="inlineStr">
        <is>
          <t>BANCOLOMBIA</t>
        </is>
      </c>
      <c r="M164" t="inlineStr">
        <is>
          <t>FO-25-1316508</t>
        </is>
      </c>
      <c r="N164" s="46" t="n">
        <v>45870.66944444444</v>
      </c>
      <c r="O164" s="46" t="n">
        <v>45875.45694444444</v>
      </c>
      <c r="P164" t="inlineStr">
        <is>
          <t>UNO A UNO</t>
        </is>
      </c>
      <c r="Q164" t="inlineStr">
        <is>
          <t>UNO A UNO</t>
        </is>
      </c>
      <c r="R164" t="inlineStr">
        <is>
          <t>EJECUTADO</t>
        </is>
      </c>
      <c r="S164" t="inlineStr">
        <is>
          <t>VISITA TECNICA</t>
        </is>
      </c>
      <c r="T164" t="inlineStr">
        <is>
          <t>F8ZZZ049</t>
        </is>
      </c>
      <c r="U164" t="inlineStr">
        <is>
          <t>TIPO IV</t>
        </is>
      </c>
      <c r="V164" t="inlineStr">
        <is>
          <t>TERRESTRE</t>
        </is>
      </c>
      <c r="W164" t="inlineStr">
        <is>
          <t>DIAZ ZABALA FRANCIS DUBAN</t>
        </is>
      </c>
      <c r="X164" t="inlineStr">
        <is>
          <t>Si</t>
        </is>
      </c>
      <c r="Y164" t="inlineStr">
        <is>
          <t>Si</t>
        </is>
      </c>
      <c r="Z164" s="45" t="n">
        <v>0</v>
      </c>
      <c r="AA164" t="inlineStr">
        <is>
          <t>0</t>
        </is>
      </c>
      <c r="AB164" s="45" t="n">
        <v>248376</v>
      </c>
      <c r="AC164" s="45" t="n">
        <v>0</v>
      </c>
    </row>
    <row r="165">
      <c r="A165" t="inlineStr">
        <is>
          <t>SINCELEJO</t>
        </is>
      </c>
      <c r="B165" t="inlineStr">
        <is>
          <t>COSTA</t>
        </is>
      </c>
      <c r="C165" t="inlineStr">
        <is>
          <t>0004-0001</t>
        </is>
      </c>
      <c r="D165" t="inlineStr">
        <is>
          <t>70708</t>
        </is>
      </c>
      <c r="E165" t="inlineStr">
        <is>
          <t>TA-25-915537</t>
        </is>
      </c>
      <c r="F165" t="inlineStr">
        <is>
          <t>3007080805</t>
        </is>
      </c>
      <c r="G165" t="inlineStr">
        <is>
          <t>APERTURA</t>
        </is>
      </c>
      <c r="H165" t="inlineStr">
        <is>
          <t>CB CRECIMIENTO - NUEVO</t>
        </is>
      </c>
      <c r="I165" t="inlineStr">
        <is>
          <t>SUCRE</t>
        </is>
      </c>
      <c r="J165" t="inlineStr">
        <is>
          <t>SAN MARCOS</t>
        </is>
      </c>
      <c r="K165" t="inlineStr">
        <is>
          <t>BARRIO SUCRE SAN MARCOS 1</t>
        </is>
      </c>
      <c r="L165" t="inlineStr">
        <is>
          <t>BANCOLOMBIA</t>
        </is>
      </c>
      <c r="M165" t="inlineStr">
        <is>
          <t>FO-25-1316511</t>
        </is>
      </c>
      <c r="N165" s="46" t="n">
        <v>45870.66180555556</v>
      </c>
      <c r="O165" s="46" t="n">
        <v>45873.55347222222</v>
      </c>
      <c r="P165" t="inlineStr">
        <is>
          <t>UNO A UNO</t>
        </is>
      </c>
      <c r="Q165" t="inlineStr">
        <is>
          <t>UNO A UNO</t>
        </is>
      </c>
      <c r="R165" t="inlineStr">
        <is>
          <t>EJECUTADO</t>
        </is>
      </c>
      <c r="S165" t="inlineStr">
        <is>
          <t>VISITA TECNICA</t>
        </is>
      </c>
      <c r="T165" t="inlineStr">
        <is>
          <t>F8ZZZ050</t>
        </is>
      </c>
      <c r="U165" t="inlineStr">
        <is>
          <t>TIPO III</t>
        </is>
      </c>
      <c r="V165" t="inlineStr">
        <is>
          <t>TERRESTRE</t>
        </is>
      </c>
      <c r="W165" t="inlineStr">
        <is>
          <t>CASSIANI PEREZ RAUL RAMIRO</t>
        </is>
      </c>
      <c r="X165" t="inlineStr">
        <is>
          <t>Si</t>
        </is>
      </c>
      <c r="Y165" t="inlineStr">
        <is>
          <t>Si</t>
        </is>
      </c>
      <c r="Z165" s="45" t="n">
        <v>0</v>
      </c>
      <c r="AA165" t="inlineStr">
        <is>
          <t>0</t>
        </is>
      </c>
      <c r="AB165" s="45" t="n">
        <v>248376</v>
      </c>
      <c r="AC165" s="45" t="n">
        <v>0</v>
      </c>
    </row>
    <row r="166">
      <c r="A166" t="inlineStr">
        <is>
          <t>NEIVA</t>
        </is>
      </c>
      <c r="B166" t="inlineStr">
        <is>
          <t>REMOTAS</t>
        </is>
      </c>
      <c r="C166" t="inlineStr">
        <is>
          <t>0004-0007</t>
        </is>
      </c>
      <c r="D166" t="inlineStr">
        <is>
          <t>41001</t>
        </is>
      </c>
      <c r="E166" t="inlineStr">
        <is>
          <t>TA-25-915539</t>
        </is>
      </c>
      <c r="F166" t="inlineStr">
        <is>
          <t>3007080793</t>
        </is>
      </c>
      <c r="G166" t="inlineStr">
        <is>
          <t>APERTURA</t>
        </is>
      </c>
      <c r="H166" t="inlineStr">
        <is>
          <t>CB CRECIMIENTO - NUEVO</t>
        </is>
      </c>
      <c r="I166" t="inlineStr">
        <is>
          <t>HUILA</t>
        </is>
      </c>
      <c r="J166" t="inlineStr">
        <is>
          <t>NEIVA</t>
        </is>
      </c>
      <c r="K166" t="inlineStr">
        <is>
          <t>BARRIO CARACOLI NEIVA</t>
        </is>
      </c>
      <c r="L166" t="inlineStr">
        <is>
          <t>BANCOLOMBIA</t>
        </is>
      </c>
      <c r="M166" t="inlineStr">
        <is>
          <t>FO-25-1316514</t>
        </is>
      </c>
      <c r="N166" s="46" t="n">
        <v>45870.725</v>
      </c>
      <c r="O166" s="46" t="n">
        <v>45874.33194444444</v>
      </c>
      <c r="P166" t="inlineStr">
        <is>
          <t>UNO A UNO</t>
        </is>
      </c>
      <c r="Q166" t="inlineStr">
        <is>
          <t>UNO A UNO</t>
        </is>
      </c>
      <c r="R166" t="inlineStr">
        <is>
          <t>EJECUTADO</t>
        </is>
      </c>
      <c r="S166" t="inlineStr">
        <is>
          <t>VISITA TECNICA</t>
        </is>
      </c>
      <c r="T166" t="inlineStr">
        <is>
          <t>F8ZZZ051</t>
        </is>
      </c>
      <c r="U166" t="inlineStr">
        <is>
          <t>TIPO I</t>
        </is>
      </c>
      <c r="V166" t="inlineStr">
        <is>
          <t>TERRESTRE</t>
        </is>
      </c>
      <c r="W166" t="inlineStr">
        <is>
          <t>DIAZ VARGAS JONATHAN MIGUEL</t>
        </is>
      </c>
      <c r="X166" t="inlineStr">
        <is>
          <t>Si</t>
        </is>
      </c>
      <c r="Y166" t="inlineStr">
        <is>
          <t>Si</t>
        </is>
      </c>
      <c r="Z166" s="45" t="n">
        <v>0</v>
      </c>
      <c r="AA166" t="inlineStr">
        <is>
          <t>0</t>
        </is>
      </c>
      <c r="AB166" s="45" t="n">
        <v>194983</v>
      </c>
      <c r="AC166" s="45" t="n">
        <v>0</v>
      </c>
    </row>
    <row r="167">
      <c r="A167" t="inlineStr">
        <is>
          <t>IBAGUE</t>
        </is>
      </c>
      <c r="B167" t="inlineStr">
        <is>
          <t>REMOTAS</t>
        </is>
      </c>
      <c r="C167" t="inlineStr">
        <is>
          <t>0004-0007</t>
        </is>
      </c>
      <c r="D167" t="inlineStr">
        <is>
          <t>73001</t>
        </is>
      </c>
      <c r="E167" t="inlineStr">
        <is>
          <t>TA-25-915540</t>
        </is>
      </c>
      <c r="F167" t="inlineStr">
        <is>
          <t>3007080821</t>
        </is>
      </c>
      <c r="G167" t="inlineStr">
        <is>
          <t>APERTURA</t>
        </is>
      </c>
      <c r="H167" t="inlineStr">
        <is>
          <t>CB CRECIMIENTO - NUEVO</t>
        </is>
      </c>
      <c r="I167" t="inlineStr">
        <is>
          <t>TOLIMA</t>
        </is>
      </c>
      <c r="J167" t="inlineStr">
        <is>
          <t>IBAGUE</t>
        </is>
      </c>
      <c r="K167" t="inlineStr">
        <is>
          <t>BARRIO SAN SIMON PARTE BAJA IBAGUE 4</t>
        </is>
      </c>
      <c r="L167" t="inlineStr">
        <is>
          <t>BANCOLOMBIA</t>
        </is>
      </c>
      <c r="M167" t="inlineStr">
        <is>
          <t>FO-25-1316516</t>
        </is>
      </c>
      <c r="N167" s="46" t="n">
        <v>45870.725</v>
      </c>
      <c r="O167" s="46" t="n">
        <v>45874.30486111111</v>
      </c>
      <c r="P167" t="inlineStr">
        <is>
          <t>UNO A UNO</t>
        </is>
      </c>
      <c r="Q167" t="inlineStr">
        <is>
          <t>UNO A UNO</t>
        </is>
      </c>
      <c r="R167" t="inlineStr">
        <is>
          <t>EJECUTADO</t>
        </is>
      </c>
      <c r="S167" t="inlineStr">
        <is>
          <t>VISITA TECNICA</t>
        </is>
      </c>
      <c r="T167" t="inlineStr">
        <is>
          <t>F8ZZZ052</t>
        </is>
      </c>
      <c r="U167" t="inlineStr">
        <is>
          <t>TIPO I</t>
        </is>
      </c>
      <c r="V167" t="inlineStr">
        <is>
          <t>TERRESTRE</t>
        </is>
      </c>
      <c r="W167" t="inlineStr">
        <is>
          <t>BARRAGAN TAFUR EDWIN ESTEBAN</t>
        </is>
      </c>
      <c r="X167" t="inlineStr">
        <is>
          <t>Si</t>
        </is>
      </c>
      <c r="Y167" t="inlineStr">
        <is>
          <t>Si</t>
        </is>
      </c>
      <c r="Z167" s="45" t="n">
        <v>0</v>
      </c>
      <c r="AA167" t="inlineStr">
        <is>
          <t>0</t>
        </is>
      </c>
      <c r="AB167" s="45" t="n">
        <v>194983</v>
      </c>
      <c r="AC167" s="45" t="n">
        <v>0</v>
      </c>
    </row>
    <row r="168">
      <c r="A168" t="inlineStr">
        <is>
          <t>YOPAL</t>
        </is>
      </c>
      <c r="B168" t="inlineStr">
        <is>
          <t>REMOTAS</t>
        </is>
      </c>
      <c r="C168" t="inlineStr">
        <is>
          <t>0004-0007</t>
        </is>
      </c>
      <c r="D168" t="inlineStr">
        <is>
          <t>85230</t>
        </is>
      </c>
      <c r="E168" t="inlineStr">
        <is>
          <t>TA-25-929379</t>
        </is>
      </c>
      <c r="F168" t="inlineStr">
        <is>
          <t>3007080903</t>
        </is>
      </c>
      <c r="G168" t="inlineStr">
        <is>
          <t>APERTURA</t>
        </is>
      </c>
      <c r="H168" t="inlineStr">
        <is>
          <t>CB CRECIMIENTO - NUEVO</t>
        </is>
      </c>
      <c r="I168" t="inlineStr">
        <is>
          <t>CASANARE</t>
        </is>
      </c>
      <c r="J168" t="inlineStr">
        <is>
          <t>OROCUE</t>
        </is>
      </c>
      <c r="K168" t="inlineStr">
        <is>
          <t>BARRIO SAN GREGORIO OROCUE 2</t>
        </is>
      </c>
      <c r="L168" t="inlineStr">
        <is>
          <t>BANCOLOMBIA</t>
        </is>
      </c>
      <c r="M168" t="inlineStr">
        <is>
          <t>FO-25-1337532</t>
        </is>
      </c>
      <c r="N168" s="46" t="n">
        <v>45875.41944444444</v>
      </c>
      <c r="O168" s="46" t="n">
        <v>45889.29236111111</v>
      </c>
      <c r="P168" t="inlineStr">
        <is>
          <t>UNO A UNO</t>
        </is>
      </c>
      <c r="Q168" t="inlineStr">
        <is>
          <t>UNO A UNO</t>
        </is>
      </c>
      <c r="R168" t="inlineStr">
        <is>
          <t>EJECUTADO</t>
        </is>
      </c>
      <c r="S168" t="inlineStr">
        <is>
          <t>VISITA TECNICA</t>
        </is>
      </c>
      <c r="T168" t="inlineStr">
        <is>
          <t>FGZZZ881</t>
        </is>
      </c>
      <c r="U168" t="inlineStr">
        <is>
          <t>TIPO IV ESPECIAL</t>
        </is>
      </c>
      <c r="V168" t="inlineStr">
        <is>
          <t>TERRESTRE/FLUVIAL</t>
        </is>
      </c>
      <c r="W168" t="inlineStr">
        <is>
          <t>BERNAL ELAICA EDGAR ALEXIS</t>
        </is>
      </c>
      <c r="X168" t="inlineStr">
        <is>
          <t>Si</t>
        </is>
      </c>
      <c r="Y168" t="inlineStr">
        <is>
          <t>Si</t>
        </is>
      </c>
      <c r="Z168" s="45" t="n">
        <v>0</v>
      </c>
      <c r="AA168" t="inlineStr">
        <is>
          <t>0</t>
        </is>
      </c>
      <c r="AB168" s="45" t="n">
        <v>248376</v>
      </c>
      <c r="AC168" s="45" t="n">
        <v>0</v>
      </c>
    </row>
    <row r="169">
      <c r="A169" t="inlineStr">
        <is>
          <t>BARRANQUILLA</t>
        </is>
      </c>
      <c r="B169" t="inlineStr">
        <is>
          <t>COSTA</t>
        </is>
      </c>
      <c r="C169" t="inlineStr">
        <is>
          <t>0004-0001</t>
        </is>
      </c>
      <c r="D169" t="inlineStr">
        <is>
          <t>8560</t>
        </is>
      </c>
      <c r="E169" t="inlineStr">
        <is>
          <t>TA-25-929386</t>
        </is>
      </c>
      <c r="F169" t="inlineStr">
        <is>
          <t>3007080910</t>
        </is>
      </c>
      <c r="G169" t="inlineStr">
        <is>
          <t>APERTURA</t>
        </is>
      </c>
      <c r="H169" t="inlineStr">
        <is>
          <t>CB CRECIMIENTO - NUEVO</t>
        </is>
      </c>
      <c r="I169" t="inlineStr">
        <is>
          <t>ATLANTICO</t>
        </is>
      </c>
      <c r="J169" t="inlineStr">
        <is>
          <t>PONEDERA</t>
        </is>
      </c>
      <c r="K169" t="inlineStr">
        <is>
          <t>BARRIO CENTRO PONEDERA  4</t>
        </is>
      </c>
      <c r="L169" t="inlineStr">
        <is>
          <t>BANCOLOMBIA</t>
        </is>
      </c>
      <c r="M169" t="inlineStr">
        <is>
          <t>FO-25-1337541</t>
        </is>
      </c>
      <c r="N169" s="46" t="n">
        <v>45875.60208333333</v>
      </c>
      <c r="O169" s="46" t="n">
        <v>45881.39652777778</v>
      </c>
      <c r="P169" t="inlineStr">
        <is>
          <t>UNO A UNO</t>
        </is>
      </c>
      <c r="Q169" t="inlineStr">
        <is>
          <t>UNO A UNO</t>
        </is>
      </c>
      <c r="R169" t="inlineStr">
        <is>
          <t>EJECUTADO</t>
        </is>
      </c>
      <c r="S169" t="inlineStr">
        <is>
          <t>VISITA TECNICA</t>
        </is>
      </c>
      <c r="T169" t="inlineStr">
        <is>
          <t>FGZZZ882</t>
        </is>
      </c>
      <c r="U169" t="inlineStr">
        <is>
          <t>TIPO II</t>
        </is>
      </c>
      <c r="V169" t="inlineStr">
        <is>
          <t>TERRESTRE</t>
        </is>
      </c>
      <c r="W169" t="inlineStr">
        <is>
          <t>PEÑALOZA GUTIERREZ RAFAEL GUSTAVO</t>
        </is>
      </c>
      <c r="X169" t="inlineStr">
        <is>
          <t>Si</t>
        </is>
      </c>
      <c r="Y169" t="inlineStr">
        <is>
          <t>Si</t>
        </is>
      </c>
      <c r="Z169" s="45" t="n">
        <v>0</v>
      </c>
      <c r="AA169" t="inlineStr">
        <is>
          <t>0</t>
        </is>
      </c>
      <c r="AB169" s="45" t="n">
        <v>248376</v>
      </c>
      <c r="AC169" s="45" t="n">
        <v>0</v>
      </c>
    </row>
    <row r="170">
      <c r="A170" t="inlineStr">
        <is>
          <t>CUCUTA</t>
        </is>
      </c>
      <c r="B170" t="inlineStr">
        <is>
          <t>SANTANDERES</t>
        </is>
      </c>
      <c r="C170" t="inlineStr">
        <is>
          <t>0004-0008</t>
        </is>
      </c>
      <c r="D170" t="inlineStr">
        <is>
          <t>54874</t>
        </is>
      </c>
      <c r="E170" t="inlineStr">
        <is>
          <t>TA-25-929387</t>
        </is>
      </c>
      <c r="F170" t="inlineStr">
        <is>
          <t>3007080921</t>
        </is>
      </c>
      <c r="G170" t="inlineStr">
        <is>
          <t>APERTURA</t>
        </is>
      </c>
      <c r="H170" t="inlineStr">
        <is>
          <t>CB CRECIMIENTO - NUEVO</t>
        </is>
      </c>
      <c r="I170" t="inlineStr">
        <is>
          <t>NORTE DE SANTANDER</t>
        </is>
      </c>
      <c r="J170" t="inlineStr">
        <is>
          <t>VILLA DEL ROSARIO</t>
        </is>
      </c>
      <c r="K170" t="inlineStr">
        <is>
          <t>BARRIO GRANCOLOMBIA VILLA DEL ROSARIO 3</t>
        </is>
      </c>
      <c r="L170" t="inlineStr">
        <is>
          <t>BANCOLOMBIA</t>
        </is>
      </c>
      <c r="M170" t="inlineStr">
        <is>
          <t>FO-25-1337545</t>
        </is>
      </c>
      <c r="N170" s="46" t="n">
        <v>45875.61319444444</v>
      </c>
      <c r="O170" s="46" t="n">
        <v>45881.31875</v>
      </c>
      <c r="P170" t="inlineStr">
        <is>
          <t>UNO A UNO</t>
        </is>
      </c>
      <c r="Q170" t="inlineStr">
        <is>
          <t>UNO A UNO</t>
        </is>
      </c>
      <c r="R170" t="inlineStr">
        <is>
          <t>EJECUTADO</t>
        </is>
      </c>
      <c r="S170" t="inlineStr">
        <is>
          <t>VISITA TECNICA</t>
        </is>
      </c>
      <c r="T170" t="inlineStr">
        <is>
          <t>FGZZZ883</t>
        </is>
      </c>
      <c r="U170" t="inlineStr">
        <is>
          <t>TIPO I</t>
        </is>
      </c>
      <c r="V170" t="inlineStr">
        <is>
          <t>TERRESTRE</t>
        </is>
      </c>
      <c r="W170" t="inlineStr">
        <is>
          <t>PACHECO BUITRAGO JAVIER ALONSO</t>
        </is>
      </c>
      <c r="X170" t="inlineStr">
        <is>
          <t>Si</t>
        </is>
      </c>
      <c r="Y170" t="inlineStr">
        <is>
          <t>Si</t>
        </is>
      </c>
      <c r="Z170" s="45" t="n">
        <v>0</v>
      </c>
      <c r="AA170" t="inlineStr">
        <is>
          <t>0</t>
        </is>
      </c>
      <c r="AB170" s="45" t="n">
        <v>194983</v>
      </c>
      <c r="AC170" s="45" t="n">
        <v>0</v>
      </c>
    </row>
    <row r="171">
      <c r="A171" t="inlineStr">
        <is>
          <t>NEIVA</t>
        </is>
      </c>
      <c r="B171" t="inlineStr">
        <is>
          <t>REMOTAS</t>
        </is>
      </c>
      <c r="C171" t="inlineStr">
        <is>
          <t>0004-0007</t>
        </is>
      </c>
      <c r="D171" t="inlineStr">
        <is>
          <t>18247</t>
        </is>
      </c>
      <c r="E171" t="inlineStr">
        <is>
          <t>TA-25-929389</t>
        </is>
      </c>
      <c r="F171" t="inlineStr">
        <is>
          <t>3007080884</t>
        </is>
      </c>
      <c r="G171" t="inlineStr">
        <is>
          <t>APERTURA</t>
        </is>
      </c>
      <c r="H171" t="inlineStr">
        <is>
          <t>CB CRECIMIENTO - NUEVO</t>
        </is>
      </c>
      <c r="I171" t="inlineStr">
        <is>
          <t>CAQUETA</t>
        </is>
      </c>
      <c r="J171" t="inlineStr">
        <is>
          <t>EL DONCELLO</t>
        </is>
      </c>
      <c r="K171" t="inlineStr">
        <is>
          <t>BRR EL RECREO EL DONCELLO</t>
        </is>
      </c>
      <c r="L171" t="inlineStr">
        <is>
          <t>BANCOLOMBIA</t>
        </is>
      </c>
      <c r="M171" t="inlineStr">
        <is>
          <t>FO-25-1337553</t>
        </is>
      </c>
      <c r="N171" s="46" t="n">
        <v>45875.42013888889</v>
      </c>
      <c r="O171" s="46" t="n">
        <v>45880.59791666667</v>
      </c>
      <c r="P171" t="inlineStr">
        <is>
          <t>UNO A UNO</t>
        </is>
      </c>
      <c r="Q171" t="inlineStr">
        <is>
          <t>UNO A UNO</t>
        </is>
      </c>
      <c r="R171" t="inlineStr">
        <is>
          <t>EJECUTADO</t>
        </is>
      </c>
      <c r="S171" t="inlineStr">
        <is>
          <t>VISITA TECNICA</t>
        </is>
      </c>
      <c r="T171" t="inlineStr">
        <is>
          <t>FGZZZ884</t>
        </is>
      </c>
      <c r="U171" t="inlineStr">
        <is>
          <t>TIPO IV</t>
        </is>
      </c>
      <c r="V171" t="inlineStr">
        <is>
          <t>TERRESTRE</t>
        </is>
      </c>
      <c r="W171" t="inlineStr">
        <is>
          <t>BERMUDEZ SANCHEZ JOSE NEYBER</t>
        </is>
      </c>
      <c r="X171" t="inlineStr">
        <is>
          <t>Si</t>
        </is>
      </c>
      <c r="Y171" t="inlineStr">
        <is>
          <t>Si</t>
        </is>
      </c>
      <c r="Z171" s="45" t="n">
        <v>0</v>
      </c>
      <c r="AA171" t="inlineStr">
        <is>
          <t>0</t>
        </is>
      </c>
      <c r="AB171" s="45" t="n">
        <v>248376</v>
      </c>
      <c r="AC171" s="45" t="n">
        <v>0</v>
      </c>
    </row>
    <row r="172">
      <c r="A172" t="inlineStr">
        <is>
          <t>TUNJA</t>
        </is>
      </c>
      <c r="B172" t="inlineStr">
        <is>
          <t>SANTANDERES</t>
        </is>
      </c>
      <c r="C172" t="inlineStr">
        <is>
          <t>0004-0008</t>
        </is>
      </c>
      <c r="D172" t="inlineStr">
        <is>
          <t>15299</t>
        </is>
      </c>
      <c r="E172" t="inlineStr">
        <is>
          <t>TA-25-929390</t>
        </is>
      </c>
      <c r="F172" t="inlineStr">
        <is>
          <t>3007080886</t>
        </is>
      </c>
      <c r="G172" t="inlineStr">
        <is>
          <t>APERTURA</t>
        </is>
      </c>
      <c r="H172" t="inlineStr">
        <is>
          <t>CB CRECIMIENTO - NUEVO</t>
        </is>
      </c>
      <c r="I172" t="inlineStr">
        <is>
          <t>BOYACA</t>
        </is>
      </c>
      <c r="J172" t="inlineStr">
        <is>
          <t>GARAGOA</t>
        </is>
      </c>
      <c r="K172" t="inlineStr">
        <is>
          <t>BARRIO CIUDAD JARDIN GARAGOA 2</t>
        </is>
      </c>
      <c r="L172" t="inlineStr">
        <is>
          <t>BANCOLOMBIA</t>
        </is>
      </c>
      <c r="M172" t="inlineStr">
        <is>
          <t>FO-25-1337562</t>
        </is>
      </c>
      <c r="N172" s="46" t="n">
        <v>45875.61319444444</v>
      </c>
      <c r="O172" s="46" t="n">
        <v>45882.32291666666</v>
      </c>
      <c r="P172" t="inlineStr">
        <is>
          <t>UNO A UNO</t>
        </is>
      </c>
      <c r="Q172" t="inlineStr">
        <is>
          <t>UNO A UNO</t>
        </is>
      </c>
      <c r="R172" t="inlineStr">
        <is>
          <t>EJECUTADO</t>
        </is>
      </c>
      <c r="S172" t="inlineStr">
        <is>
          <t>VISITA TECNICA</t>
        </is>
      </c>
      <c r="T172" t="inlineStr">
        <is>
          <t>FGZZZ885</t>
        </is>
      </c>
      <c r="U172" t="inlineStr">
        <is>
          <t>TIPO III</t>
        </is>
      </c>
      <c r="V172" t="inlineStr">
        <is>
          <t>TERRESTRE</t>
        </is>
      </c>
      <c r="W172" t="inlineStr">
        <is>
          <t>SOLER HOYOS CRISTIAN LEONARDO</t>
        </is>
      </c>
      <c r="X172" t="inlineStr">
        <is>
          <t>Si</t>
        </is>
      </c>
      <c r="Y172" t="inlineStr">
        <is>
          <t>Si</t>
        </is>
      </c>
      <c r="Z172" s="45" t="n">
        <v>0</v>
      </c>
      <c r="AA172" t="inlineStr">
        <is>
          <t>0</t>
        </is>
      </c>
      <c r="AB172" s="45" t="n">
        <v>248376</v>
      </c>
      <c r="AC172" s="45" t="n">
        <v>0</v>
      </c>
    </row>
    <row r="173">
      <c r="A173" t="inlineStr">
        <is>
          <t>VILLAVICENCIO</t>
        </is>
      </c>
      <c r="B173" t="inlineStr">
        <is>
          <t>REMOTAS</t>
        </is>
      </c>
      <c r="C173" t="inlineStr">
        <is>
          <t>0004-0007</t>
        </is>
      </c>
      <c r="D173" t="inlineStr">
        <is>
          <t>50006</t>
        </is>
      </c>
      <c r="E173" t="inlineStr">
        <is>
          <t>TA-25-929391</t>
        </is>
      </c>
      <c r="F173" t="inlineStr">
        <is>
          <t>3007080861</t>
        </is>
      </c>
      <c r="G173" t="inlineStr">
        <is>
          <t>APERTURA</t>
        </is>
      </c>
      <c r="H173" t="inlineStr">
        <is>
          <t>CB CRECIMIENTO - NUEVO</t>
        </is>
      </c>
      <c r="I173" t="inlineStr">
        <is>
          <t>META</t>
        </is>
      </c>
      <c r="J173" t="inlineStr">
        <is>
          <t>ACACIAS</t>
        </is>
      </c>
      <c r="K173" t="inlineStr">
        <is>
          <t>BARRIO INDEPENDENCIA ACACIAS 1</t>
        </is>
      </c>
      <c r="L173" t="inlineStr">
        <is>
          <t>BANCOLOMBIA</t>
        </is>
      </c>
      <c r="M173" t="inlineStr">
        <is>
          <t>FO-25-1367708</t>
        </is>
      </c>
      <c r="N173" s="46" t="n">
        <v>45875.42013888889</v>
      </c>
      <c r="O173" s="46" t="n">
        <v>45884.62847222222</v>
      </c>
      <c r="P173" t="inlineStr">
        <is>
          <t>UNO A UNO</t>
        </is>
      </c>
      <c r="Q173" t="inlineStr">
        <is>
          <t>UNO A UNO</t>
        </is>
      </c>
      <c r="R173" t="inlineStr">
        <is>
          <t>EJECUTADO</t>
        </is>
      </c>
      <c r="S173" t="inlineStr">
        <is>
          <t>VISITA TECNICA</t>
        </is>
      </c>
      <c r="T173" t="inlineStr">
        <is>
          <t>FGZZZ886</t>
        </is>
      </c>
      <c r="U173" t="inlineStr">
        <is>
          <t>TIPO II</t>
        </is>
      </c>
      <c r="V173" t="inlineStr">
        <is>
          <t>TERRESTRE</t>
        </is>
      </c>
      <c r="W173" t="inlineStr">
        <is>
          <t>ROZO JIMENEZ EDGAR ARMANDO</t>
        </is>
      </c>
      <c r="X173" t="inlineStr">
        <is>
          <t>Si</t>
        </is>
      </c>
      <c r="Y173" t="inlineStr">
        <is>
          <t>Si</t>
        </is>
      </c>
      <c r="Z173" s="45" t="n">
        <v>134410</v>
      </c>
      <c r="AA173" t="inlineStr">
        <is>
          <t>0</t>
        </is>
      </c>
      <c r="AB173" s="45" t="n">
        <v>469992</v>
      </c>
      <c r="AC173" s="45" t="n">
        <v>0</v>
      </c>
    </row>
    <row r="174">
      <c r="A174" t="inlineStr">
        <is>
          <t>TUNJA</t>
        </is>
      </c>
      <c r="B174" t="inlineStr">
        <is>
          <t>SANTANDERES</t>
        </is>
      </c>
      <c r="C174" t="inlineStr">
        <is>
          <t>0004-0008</t>
        </is>
      </c>
      <c r="D174" t="inlineStr">
        <is>
          <t>15507</t>
        </is>
      </c>
      <c r="E174" t="inlineStr">
        <is>
          <t>TA-25-929392</t>
        </is>
      </c>
      <c r="F174" t="inlineStr">
        <is>
          <t>3007080904</t>
        </is>
      </c>
      <c r="G174" t="inlineStr">
        <is>
          <t>APERTURA</t>
        </is>
      </c>
      <c r="H174" t="inlineStr">
        <is>
          <t>CB CRECIMIENTO - NUEVO</t>
        </is>
      </c>
      <c r="I174" t="inlineStr">
        <is>
          <t>BOYACA</t>
        </is>
      </c>
      <c r="J174" t="inlineStr">
        <is>
          <t>OTANCHE</t>
        </is>
      </c>
      <c r="K174" t="inlineStr">
        <is>
          <t>BARRIO CENTRO OTANCHE 4</t>
        </is>
      </c>
      <c r="L174" t="inlineStr">
        <is>
          <t>BANCOLOMBIA</t>
        </is>
      </c>
      <c r="M174" t="inlineStr">
        <is>
          <t>FO-25-1337573</t>
        </is>
      </c>
      <c r="N174" s="46" t="n">
        <v>45875.61319444444</v>
      </c>
      <c r="O174" s="46" t="n">
        <v>45882.56666666667</v>
      </c>
      <c r="P174" t="inlineStr">
        <is>
          <t>UNO A UNO</t>
        </is>
      </c>
      <c r="Q174" t="inlineStr">
        <is>
          <t>UNO A UNO</t>
        </is>
      </c>
      <c r="R174" t="inlineStr">
        <is>
          <t>EJECUTADO</t>
        </is>
      </c>
      <c r="S174" t="inlineStr">
        <is>
          <t>VISITA TECNICA</t>
        </is>
      </c>
      <c r="T174" t="inlineStr">
        <is>
          <t>FGZZZ887</t>
        </is>
      </c>
      <c r="U174" t="inlineStr">
        <is>
          <t>TIPO IV</t>
        </is>
      </c>
      <c r="V174" t="inlineStr">
        <is>
          <t>TERRESTRE</t>
        </is>
      </c>
      <c r="W174" t="inlineStr">
        <is>
          <t>RODRIGUEZ MURCIA YERSON IVAN</t>
        </is>
      </c>
      <c r="X174" t="inlineStr">
        <is>
          <t>Si</t>
        </is>
      </c>
      <c r="Y174" t="inlineStr">
        <is>
          <t>Si</t>
        </is>
      </c>
      <c r="Z174" s="45" t="n">
        <v>0</v>
      </c>
      <c r="AA174" t="inlineStr">
        <is>
          <t>0</t>
        </is>
      </c>
      <c r="AB174" s="45" t="n">
        <v>248376</v>
      </c>
      <c r="AC174" s="45" t="n">
        <v>0</v>
      </c>
    </row>
    <row r="175">
      <c r="A175" t="inlineStr">
        <is>
          <t>BUCARAMANGA</t>
        </is>
      </c>
      <c r="B175" t="inlineStr">
        <is>
          <t>SANTANDERES</t>
        </is>
      </c>
      <c r="C175" t="inlineStr">
        <is>
          <t>0004-0008</t>
        </is>
      </c>
      <c r="D175" t="inlineStr">
        <is>
          <t>68755</t>
        </is>
      </c>
      <c r="E175" t="inlineStr">
        <is>
          <t>TA-25-929393</t>
        </is>
      </c>
      <c r="F175" t="inlineStr">
        <is>
          <t>3007080916</t>
        </is>
      </c>
      <c r="G175" t="inlineStr">
        <is>
          <t>APERTURA</t>
        </is>
      </c>
      <c r="H175" t="inlineStr">
        <is>
          <t>CB CRECIMIENTO - NUEVO</t>
        </is>
      </c>
      <c r="I175" t="inlineStr">
        <is>
          <t>SANTANDER</t>
        </is>
      </c>
      <c r="J175" t="inlineStr">
        <is>
          <t>SOCORRO</t>
        </is>
      </c>
      <c r="K175" t="inlineStr">
        <is>
          <t>BARRIO SOCORRO SOCORRO 2</t>
        </is>
      </c>
      <c r="L175" t="inlineStr">
        <is>
          <t>BANCOLOMBIA</t>
        </is>
      </c>
      <c r="M175" t="inlineStr">
        <is>
          <t>FO-25-1337580</t>
        </is>
      </c>
      <c r="N175" s="46" t="n">
        <v>45875.61319444444</v>
      </c>
      <c r="O175" s="46" t="n">
        <v>45881.29652777778</v>
      </c>
      <c r="P175" t="inlineStr">
        <is>
          <t>UNO A UNO</t>
        </is>
      </c>
      <c r="Q175" t="inlineStr">
        <is>
          <t>UNO A UNO</t>
        </is>
      </c>
      <c r="R175" t="inlineStr">
        <is>
          <t>EJECUTADO</t>
        </is>
      </c>
      <c r="S175" t="inlineStr">
        <is>
          <t>VISITA TECNICA</t>
        </is>
      </c>
      <c r="T175" t="inlineStr">
        <is>
          <t>FGZZZ888</t>
        </is>
      </c>
      <c r="U175" t="inlineStr">
        <is>
          <t>TIPO III</t>
        </is>
      </c>
      <c r="V175" t="inlineStr">
        <is>
          <t>TERRESTRE</t>
        </is>
      </c>
      <c r="W175" t="inlineStr">
        <is>
          <t>MARTINEZ FLOREZ DONIS ALBERTO</t>
        </is>
      </c>
      <c r="X175" t="inlineStr">
        <is>
          <t>Si</t>
        </is>
      </c>
      <c r="Y175" t="inlineStr">
        <is>
          <t>Si</t>
        </is>
      </c>
      <c r="Z175" s="45" t="n">
        <v>0</v>
      </c>
      <c r="AA175" t="inlineStr">
        <is>
          <t>0</t>
        </is>
      </c>
      <c r="AB175" s="45" t="n">
        <v>248376</v>
      </c>
      <c r="AC175" s="45" t="n">
        <v>0</v>
      </c>
    </row>
    <row r="176">
      <c r="A176" t="inlineStr">
        <is>
          <t>BUCARAMANGA</t>
        </is>
      </c>
      <c r="B176" t="inlineStr">
        <is>
          <t>SANTANDERES</t>
        </is>
      </c>
      <c r="C176" t="inlineStr">
        <is>
          <t>0004-0008</t>
        </is>
      </c>
      <c r="D176" t="inlineStr">
        <is>
          <t>68276</t>
        </is>
      </c>
      <c r="E176" t="inlineStr">
        <is>
          <t>TA-25-929394</t>
        </is>
      </c>
      <c r="F176" t="inlineStr">
        <is>
          <t>3007080885</t>
        </is>
      </c>
      <c r="G176" t="inlineStr">
        <is>
          <t>APERTURA</t>
        </is>
      </c>
      <c r="H176" t="inlineStr">
        <is>
          <t>CB CRECIMIENTO - NUEVO</t>
        </is>
      </c>
      <c r="I176" t="inlineStr">
        <is>
          <t>SANTANDER</t>
        </is>
      </c>
      <c r="J176" t="inlineStr">
        <is>
          <t>FLORIDABLANCA</t>
        </is>
      </c>
      <c r="K176" t="inlineStr">
        <is>
          <t>BARRIO LA ESMERALDA FLORIDABLANCA FLORIDABLANCA</t>
        </is>
      </c>
      <c r="L176" t="inlineStr">
        <is>
          <t>BANCOLOMBIA</t>
        </is>
      </c>
      <c r="M176" t="inlineStr">
        <is>
          <t>FO-25-1337588</t>
        </is>
      </c>
      <c r="N176" s="46" t="n">
        <v>45875.61319444444</v>
      </c>
      <c r="O176" s="46" t="n">
        <v>45881.39722222222</v>
      </c>
      <c r="P176" t="inlineStr">
        <is>
          <t>UNO A UNO</t>
        </is>
      </c>
      <c r="Q176" t="inlineStr">
        <is>
          <t>UNO A UNO</t>
        </is>
      </c>
      <c r="R176" t="inlineStr">
        <is>
          <t>EJECUTADO</t>
        </is>
      </c>
      <c r="S176" t="inlineStr">
        <is>
          <t>VISITA TECNICA</t>
        </is>
      </c>
      <c r="T176" t="inlineStr">
        <is>
          <t>FGZZZ889</t>
        </is>
      </c>
      <c r="U176" t="inlineStr">
        <is>
          <t>TIPO I</t>
        </is>
      </c>
      <c r="V176" t="inlineStr">
        <is>
          <t>TERRESTRE</t>
        </is>
      </c>
      <c r="W176" t="inlineStr">
        <is>
          <t>REYES RAMIREZ DIEGO ALEXANDER</t>
        </is>
      </c>
      <c r="X176" t="inlineStr">
        <is>
          <t>Si</t>
        </is>
      </c>
      <c r="Y176" t="inlineStr">
        <is>
          <t>Si</t>
        </is>
      </c>
      <c r="Z176" s="45" t="n">
        <v>0</v>
      </c>
      <c r="AA176" t="inlineStr">
        <is>
          <t>0</t>
        </is>
      </c>
      <c r="AB176" s="45" t="n">
        <v>194983</v>
      </c>
      <c r="AC176" s="45" t="n">
        <v>0</v>
      </c>
    </row>
    <row r="177">
      <c r="A177" t="inlineStr">
        <is>
          <t>CUCUTA</t>
        </is>
      </c>
      <c r="B177" t="inlineStr">
        <is>
          <t>SANTANDERES</t>
        </is>
      </c>
      <c r="C177" t="inlineStr">
        <is>
          <t>0004-0008</t>
        </is>
      </c>
      <c r="D177" t="inlineStr">
        <is>
          <t>54001</t>
        </is>
      </c>
      <c r="E177" t="inlineStr">
        <is>
          <t>TA-25-929395</t>
        </is>
      </c>
      <c r="F177" t="inlineStr">
        <is>
          <t>3007080879</t>
        </is>
      </c>
      <c r="G177" t="inlineStr">
        <is>
          <t>APERTURA</t>
        </is>
      </c>
      <c r="H177" t="inlineStr">
        <is>
          <t>CB CRECIMIENTO - NUEVO</t>
        </is>
      </c>
      <c r="I177" t="inlineStr">
        <is>
          <t>NORTE DE SANTANDER</t>
        </is>
      </c>
      <c r="J177" t="inlineStr">
        <is>
          <t>CUCUTA</t>
        </is>
      </c>
      <c r="K177" t="inlineStr">
        <is>
          <t>BARRIO SAN LUIS CUCUTA 31</t>
        </is>
      </c>
      <c r="L177" t="inlineStr">
        <is>
          <t>BANCOLOMBIA</t>
        </is>
      </c>
      <c r="M177" t="inlineStr">
        <is>
          <t>FO-25-1337593</t>
        </is>
      </c>
      <c r="N177" s="46" t="n">
        <v>45875.61319444444</v>
      </c>
      <c r="O177" s="46" t="n">
        <v>45879.65</v>
      </c>
      <c r="P177" t="inlineStr">
        <is>
          <t>UNO A UNO</t>
        </is>
      </c>
      <c r="Q177" t="inlineStr">
        <is>
          <t>UNO A UNO</t>
        </is>
      </c>
      <c r="R177" t="inlineStr">
        <is>
          <t>EJECUTADO</t>
        </is>
      </c>
      <c r="S177" t="inlineStr">
        <is>
          <t>VISITA TECNICA</t>
        </is>
      </c>
      <c r="T177" t="inlineStr">
        <is>
          <t>FGZZZ890</t>
        </is>
      </c>
      <c r="U177" t="inlineStr">
        <is>
          <t>TIPO I</t>
        </is>
      </c>
      <c r="V177" t="inlineStr">
        <is>
          <t>TERRESTRE</t>
        </is>
      </c>
      <c r="W177" t="inlineStr">
        <is>
          <t>PACHECO BUITRAGO JAVIER ALONSO</t>
        </is>
      </c>
      <c r="X177" t="inlineStr">
        <is>
          <t>Si</t>
        </is>
      </c>
      <c r="Y177" t="inlineStr">
        <is>
          <t>Si</t>
        </is>
      </c>
      <c r="Z177" s="45" t="n">
        <v>0</v>
      </c>
      <c r="AA177" t="inlineStr">
        <is>
          <t>0</t>
        </is>
      </c>
      <c r="AB177" s="45" t="n">
        <v>194983</v>
      </c>
      <c r="AC177" s="45" t="n">
        <v>0</v>
      </c>
    </row>
    <row r="178">
      <c r="A178" t="inlineStr">
        <is>
          <t>IBAGUE</t>
        </is>
      </c>
      <c r="B178" t="inlineStr">
        <is>
          <t>REMOTAS</t>
        </is>
      </c>
      <c r="C178" t="inlineStr">
        <is>
          <t>0004-0007</t>
        </is>
      </c>
      <c r="D178" t="inlineStr">
        <is>
          <t>73001</t>
        </is>
      </c>
      <c r="E178" t="inlineStr">
        <is>
          <t>TA-25-929396</t>
        </is>
      </c>
      <c r="F178" t="inlineStr">
        <is>
          <t>3007080887</t>
        </is>
      </c>
      <c r="G178" t="inlineStr">
        <is>
          <t>APERTURA</t>
        </is>
      </c>
      <c r="H178" t="inlineStr">
        <is>
          <t>CB CRECIMIENTO - NUEVO</t>
        </is>
      </c>
      <c r="I178" t="inlineStr">
        <is>
          <t>TOLIMA</t>
        </is>
      </c>
      <c r="J178" t="inlineStr">
        <is>
          <t>IBAGUE</t>
        </is>
      </c>
      <c r="K178" t="inlineStr">
        <is>
          <t>BARRIO LA GAVIOTA IBAGUE 9</t>
        </is>
      </c>
      <c r="L178" t="inlineStr">
        <is>
          <t>BANCOLOMBIA</t>
        </is>
      </c>
      <c r="M178" t="inlineStr">
        <is>
          <t>FO-25-1337597</t>
        </is>
      </c>
      <c r="N178" s="46" t="n">
        <v>45875.42013888889</v>
      </c>
      <c r="O178" s="46" t="n">
        <v>45879.62013888889</v>
      </c>
      <c r="P178" t="inlineStr">
        <is>
          <t>UNO A UNO</t>
        </is>
      </c>
      <c r="Q178" t="inlineStr">
        <is>
          <t>UNO A UNO</t>
        </is>
      </c>
      <c r="R178" t="inlineStr">
        <is>
          <t>EJECUTADO</t>
        </is>
      </c>
      <c r="S178" t="inlineStr">
        <is>
          <t>VISITA TECNICA</t>
        </is>
      </c>
      <c r="T178" t="inlineStr">
        <is>
          <t>FGZZZ891</t>
        </is>
      </c>
      <c r="U178" t="inlineStr">
        <is>
          <t>TIPO I</t>
        </is>
      </c>
      <c r="V178" t="inlineStr">
        <is>
          <t>TERRESTRE</t>
        </is>
      </c>
      <c r="W178" t="inlineStr">
        <is>
          <t>GUTIERREZ  CAMILO ANDRES</t>
        </is>
      </c>
      <c r="X178" t="inlineStr">
        <is>
          <t>Si</t>
        </is>
      </c>
      <c r="Y178" t="inlineStr">
        <is>
          <t>Si</t>
        </is>
      </c>
      <c r="Z178" s="45" t="n">
        <v>0</v>
      </c>
      <c r="AA178" t="inlineStr">
        <is>
          <t>0</t>
        </is>
      </c>
      <c r="AB178" s="45" t="n">
        <v>194983</v>
      </c>
      <c r="AC178" s="45" t="n">
        <v>0</v>
      </c>
    </row>
    <row r="179">
      <c r="A179" t="inlineStr">
        <is>
          <t>IBAGUE</t>
        </is>
      </c>
      <c r="B179" t="inlineStr">
        <is>
          <t>REMOTAS</t>
        </is>
      </c>
      <c r="C179" t="inlineStr">
        <is>
          <t>0004-0007</t>
        </is>
      </c>
      <c r="D179" t="inlineStr">
        <is>
          <t>73001</t>
        </is>
      </c>
      <c r="E179" t="inlineStr">
        <is>
          <t>TA-25-929397</t>
        </is>
      </c>
      <c r="F179" t="inlineStr">
        <is>
          <t>3007080890</t>
        </is>
      </c>
      <c r="G179" t="inlineStr">
        <is>
          <t>APERTURA</t>
        </is>
      </c>
      <c r="H179" t="inlineStr">
        <is>
          <t>CB CRECIMIENTO - NUEVO</t>
        </is>
      </c>
      <c r="I179" t="inlineStr">
        <is>
          <t>TOLIMA</t>
        </is>
      </c>
      <c r="J179" t="inlineStr">
        <is>
          <t>IBAGUE</t>
        </is>
      </c>
      <c r="K179" t="inlineStr">
        <is>
          <t>BARRIO VERGEL IBAGUE</t>
        </is>
      </c>
      <c r="L179" t="inlineStr">
        <is>
          <t>BANCOLOMBIA</t>
        </is>
      </c>
      <c r="M179" t="inlineStr">
        <is>
          <t>FO-25-1337605</t>
        </is>
      </c>
      <c r="N179" s="46" t="n">
        <v>45875.42013888889</v>
      </c>
      <c r="O179" s="46" t="n">
        <v>45880.6</v>
      </c>
      <c r="P179" t="inlineStr">
        <is>
          <t>UNO A UNO</t>
        </is>
      </c>
      <c r="Q179" t="inlineStr">
        <is>
          <t>UNO A UNO</t>
        </is>
      </c>
      <c r="R179" t="inlineStr">
        <is>
          <t>EJECUTADO</t>
        </is>
      </c>
      <c r="S179" t="inlineStr">
        <is>
          <t>VISITA TECNICA</t>
        </is>
      </c>
      <c r="T179" t="inlineStr">
        <is>
          <t>FGZZZ892</t>
        </is>
      </c>
      <c r="U179" t="inlineStr">
        <is>
          <t>TIPO I</t>
        </is>
      </c>
      <c r="V179" t="inlineStr">
        <is>
          <t>TERRESTRE</t>
        </is>
      </c>
      <c r="W179" t="inlineStr">
        <is>
          <t>GUTIERREZ  CAMILO ANDRES</t>
        </is>
      </c>
      <c r="X179" t="inlineStr">
        <is>
          <t>Si</t>
        </is>
      </c>
      <c r="Y179" t="inlineStr">
        <is>
          <t>Si</t>
        </is>
      </c>
      <c r="Z179" s="45" t="n">
        <v>0</v>
      </c>
      <c r="AA179" t="inlineStr">
        <is>
          <t>0</t>
        </is>
      </c>
      <c r="AB179" s="45" t="n">
        <v>194983</v>
      </c>
      <c r="AC179" s="45" t="n">
        <v>0</v>
      </c>
    </row>
    <row r="180">
      <c r="A180" t="inlineStr">
        <is>
          <t>YOPAL</t>
        </is>
      </c>
      <c r="B180" t="inlineStr">
        <is>
          <t>REMOTAS</t>
        </is>
      </c>
      <c r="C180" t="inlineStr">
        <is>
          <t>0004-0007</t>
        </is>
      </c>
      <c r="D180" t="inlineStr">
        <is>
          <t>85250</t>
        </is>
      </c>
      <c r="E180" t="inlineStr">
        <is>
          <t>TA-25-929399</t>
        </is>
      </c>
      <c r="F180" t="inlineStr">
        <is>
          <t>3007080905</t>
        </is>
      </c>
      <c r="G180" t="inlineStr">
        <is>
          <t>APERTURA</t>
        </is>
      </c>
      <c r="H180" t="inlineStr">
        <is>
          <t>CB CRECIMIENTO - NUEVO</t>
        </is>
      </c>
      <c r="I180" t="inlineStr">
        <is>
          <t>CASANARE</t>
        </is>
      </c>
      <c r="J180" t="inlineStr">
        <is>
          <t>PAZ DE ARIPORO</t>
        </is>
      </c>
      <c r="K180" t="inlineStr">
        <is>
          <t>BARRIO CENTRO PAZ DE ARIPORO 10</t>
        </is>
      </c>
      <c r="L180" t="inlineStr">
        <is>
          <t>BANCOLOMBIA</t>
        </is>
      </c>
      <c r="M180" t="inlineStr">
        <is>
          <t>FO-25-1337610</t>
        </is>
      </c>
      <c r="N180" s="46" t="n">
        <v>45875.42013888889</v>
      </c>
      <c r="O180" s="46" t="n">
        <v>45880.60208333333</v>
      </c>
      <c r="P180" t="inlineStr">
        <is>
          <t>UNO A UNO</t>
        </is>
      </c>
      <c r="Q180" t="inlineStr">
        <is>
          <t>UNO A UNO</t>
        </is>
      </c>
      <c r="R180" t="inlineStr">
        <is>
          <t>EJECUTADO</t>
        </is>
      </c>
      <c r="S180" t="inlineStr">
        <is>
          <t>VISITA TECNICA</t>
        </is>
      </c>
      <c r="T180" t="inlineStr">
        <is>
          <t>FGZZZ893</t>
        </is>
      </c>
      <c r="U180" t="inlineStr">
        <is>
          <t>TIPO II</t>
        </is>
      </c>
      <c r="V180" t="inlineStr">
        <is>
          <t>TERRESTRE</t>
        </is>
      </c>
      <c r="W180" t="inlineStr">
        <is>
          <t>BERNAL ELAICA EDGAR ALEXIS</t>
        </is>
      </c>
      <c r="X180" t="inlineStr">
        <is>
          <t>Si</t>
        </is>
      </c>
      <c r="Y180" t="inlineStr">
        <is>
          <t>Si</t>
        </is>
      </c>
      <c r="Z180" s="45" t="n">
        <v>0</v>
      </c>
      <c r="AA180" t="inlineStr">
        <is>
          <t>0</t>
        </is>
      </c>
      <c r="AB180" s="45" t="n">
        <v>248376</v>
      </c>
      <c r="AC180" s="45" t="n">
        <v>0</v>
      </c>
    </row>
    <row r="181">
      <c r="A181" t="inlineStr">
        <is>
          <t>VALLEDUPAR</t>
        </is>
      </c>
      <c r="B181" t="inlineStr">
        <is>
          <t>COSTA</t>
        </is>
      </c>
      <c r="C181" t="inlineStr">
        <is>
          <t>0004-0001</t>
        </is>
      </c>
      <c r="D181" t="inlineStr">
        <is>
          <t>20011</t>
        </is>
      </c>
      <c r="E181" t="inlineStr">
        <is>
          <t>TA-25-929402</t>
        </is>
      </c>
      <c r="F181" t="inlineStr">
        <is>
          <t>3007080925</t>
        </is>
      </c>
      <c r="G181" t="inlineStr">
        <is>
          <t>APERTURA</t>
        </is>
      </c>
      <c r="H181" t="inlineStr">
        <is>
          <t>CB CRECIMIENTO - NUEVO</t>
        </is>
      </c>
      <c r="I181" t="inlineStr">
        <is>
          <t>CESAR</t>
        </is>
      </c>
      <c r="J181" t="inlineStr">
        <is>
          <t>AGUACHICA</t>
        </is>
      </c>
      <c r="K181" t="inlineStr">
        <is>
          <t>BARRIO VRD EL JUNCAL AGUACHICA</t>
        </is>
      </c>
      <c r="L181" t="inlineStr">
        <is>
          <t>BANCOLOMBIA</t>
        </is>
      </c>
      <c r="M181" t="inlineStr">
        <is>
          <t>FO-25-1337616</t>
        </is>
      </c>
      <c r="N181" s="46" t="n">
        <v>45875.60902777778</v>
      </c>
      <c r="O181" s="46" t="n">
        <v>45877.55277777778</v>
      </c>
      <c r="P181" t="inlineStr">
        <is>
          <t>UNO A UNO</t>
        </is>
      </c>
      <c r="Q181" t="inlineStr">
        <is>
          <t>UNO A UNO</t>
        </is>
      </c>
      <c r="R181" t="inlineStr">
        <is>
          <t>EJECUTADO</t>
        </is>
      </c>
      <c r="S181" t="inlineStr">
        <is>
          <t>VISITA TECNICA</t>
        </is>
      </c>
      <c r="T181" t="inlineStr">
        <is>
          <t>FGZZZ894</t>
        </is>
      </c>
      <c r="U181" t="inlineStr">
        <is>
          <t>TIPO IV</t>
        </is>
      </c>
      <c r="V181" t="inlineStr">
        <is>
          <t>TERRESTRE</t>
        </is>
      </c>
      <c r="W181" t="inlineStr">
        <is>
          <t>MAESTRE MENGUAL EDGAR ENRIQUE</t>
        </is>
      </c>
      <c r="X181" t="inlineStr">
        <is>
          <t>Si</t>
        </is>
      </c>
      <c r="Y181" t="inlineStr">
        <is>
          <t>Si</t>
        </is>
      </c>
      <c r="Z181" s="45" t="n">
        <v>0</v>
      </c>
      <c r="AA181" t="inlineStr">
        <is>
          <t>0</t>
        </is>
      </c>
      <c r="AB181" s="45" t="n">
        <v>248376</v>
      </c>
      <c r="AC181" s="45" t="n">
        <v>0</v>
      </c>
    </row>
    <row r="182">
      <c r="A182" t="inlineStr">
        <is>
          <t>BUCARAMANGA</t>
        </is>
      </c>
      <c r="B182" t="inlineStr">
        <is>
          <t>SANTANDERES</t>
        </is>
      </c>
      <c r="C182" t="inlineStr">
        <is>
          <t>0004-0008</t>
        </is>
      </c>
      <c r="D182" t="inlineStr">
        <is>
          <t>68547</t>
        </is>
      </c>
      <c r="E182" t="inlineStr">
        <is>
          <t>TA-25-929404</t>
        </is>
      </c>
      <c r="F182" t="inlineStr">
        <is>
          <t>3007080908</t>
        </is>
      </c>
      <c r="G182" t="inlineStr">
        <is>
          <t>APERTURA</t>
        </is>
      </c>
      <c r="H182" t="inlineStr">
        <is>
          <t>CB CRECIMIENTO - NUEVO</t>
        </is>
      </c>
      <c r="I182" t="inlineStr">
        <is>
          <t>SANTANDER</t>
        </is>
      </c>
      <c r="J182" t="inlineStr">
        <is>
          <t>PIEDECUESTA</t>
        </is>
      </c>
      <c r="K182" t="inlineStr">
        <is>
          <t>BARRIO CABECERA 2 PIEDECUESTA PIEDECUESTA</t>
        </is>
      </c>
      <c r="L182" t="inlineStr">
        <is>
          <t>BANCOLOMBIA</t>
        </is>
      </c>
      <c r="M182" t="inlineStr">
        <is>
          <t>FO-25-1337624</t>
        </is>
      </c>
      <c r="N182" s="46" t="n">
        <v>45875.61388888889</v>
      </c>
      <c r="O182" s="46" t="n">
        <v>45881.39791666667</v>
      </c>
      <c r="P182" t="inlineStr">
        <is>
          <t>UNO A UNO</t>
        </is>
      </c>
      <c r="Q182" t="inlineStr">
        <is>
          <t>UNO A UNO</t>
        </is>
      </c>
      <c r="R182" t="inlineStr">
        <is>
          <t>EJECUTADO</t>
        </is>
      </c>
      <c r="S182" t="inlineStr">
        <is>
          <t>VISITA TECNICA</t>
        </is>
      </c>
      <c r="T182" t="inlineStr">
        <is>
          <t>FGZZZ895</t>
        </is>
      </c>
      <c r="U182" t="inlineStr">
        <is>
          <t>TIPO II</t>
        </is>
      </c>
      <c r="V182" t="inlineStr">
        <is>
          <t>TERRESTRE</t>
        </is>
      </c>
      <c r="W182" t="inlineStr">
        <is>
          <t>PEÑA DIAZ IVAN YESID</t>
        </is>
      </c>
      <c r="X182" t="inlineStr">
        <is>
          <t>Si</t>
        </is>
      </c>
      <c r="Y182" t="inlineStr">
        <is>
          <t>Si</t>
        </is>
      </c>
      <c r="Z182" s="45" t="n">
        <v>0</v>
      </c>
      <c r="AA182" t="inlineStr">
        <is>
          <t>0</t>
        </is>
      </c>
      <c r="AB182" s="45" t="n">
        <v>248376</v>
      </c>
      <c r="AC182" s="45" t="n">
        <v>0</v>
      </c>
    </row>
    <row r="183">
      <c r="A183" t="inlineStr">
        <is>
          <t>MONTERIA</t>
        </is>
      </c>
      <c r="B183" t="inlineStr">
        <is>
          <t>COSTA</t>
        </is>
      </c>
      <c r="C183" t="inlineStr">
        <is>
          <t>0004-0001</t>
        </is>
      </c>
      <c r="D183" t="inlineStr">
        <is>
          <t>23001</t>
        </is>
      </c>
      <c r="E183" t="inlineStr">
        <is>
          <t>TA-25-929405</t>
        </is>
      </c>
      <c r="F183" t="inlineStr">
        <is>
          <t>3007080897</t>
        </is>
      </c>
      <c r="G183" t="inlineStr">
        <is>
          <t>APERTURA</t>
        </is>
      </c>
      <c r="H183" t="inlineStr">
        <is>
          <t>CB CRECIMIENTO - NUEVO</t>
        </is>
      </c>
      <c r="I183" t="inlineStr">
        <is>
          <t>CORDOBA</t>
        </is>
      </c>
      <c r="J183" t="inlineStr">
        <is>
          <t>MONTERIA</t>
        </is>
      </c>
      <c r="K183" t="inlineStr">
        <is>
          <t>BARRIO CANTA CLARO MONTERIA 4</t>
        </is>
      </c>
      <c r="L183" t="inlineStr">
        <is>
          <t>BANCOLOMBIA</t>
        </is>
      </c>
      <c r="M183" t="inlineStr">
        <is>
          <t>FO-25-1337629</t>
        </is>
      </c>
      <c r="N183" s="46" t="n">
        <v>45875.59027777778</v>
      </c>
      <c r="O183" s="46" t="n">
        <v>45879.65416666667</v>
      </c>
      <c r="P183" t="inlineStr">
        <is>
          <t>UNO A UNO</t>
        </is>
      </c>
      <c r="Q183" t="inlineStr">
        <is>
          <t>UNO A UNO</t>
        </is>
      </c>
      <c r="R183" t="inlineStr">
        <is>
          <t>EJECUTADO</t>
        </is>
      </c>
      <c r="S183" t="inlineStr">
        <is>
          <t>VISITA TECNICA</t>
        </is>
      </c>
      <c r="T183" t="inlineStr">
        <is>
          <t>FGZZZ896</t>
        </is>
      </c>
      <c r="U183" t="inlineStr">
        <is>
          <t>TIPO I</t>
        </is>
      </c>
      <c r="V183" t="inlineStr">
        <is>
          <t>TERRESTRE</t>
        </is>
      </c>
      <c r="W183" t="inlineStr">
        <is>
          <t>GONZALEZ FERRER JESUS ALEXANDER</t>
        </is>
      </c>
      <c r="X183" t="inlineStr">
        <is>
          <t>Si</t>
        </is>
      </c>
      <c r="Y183" t="inlineStr">
        <is>
          <t>Si</t>
        </is>
      </c>
      <c r="Z183" s="45" t="n">
        <v>0</v>
      </c>
      <c r="AA183" t="inlineStr">
        <is>
          <t>0</t>
        </is>
      </c>
      <c r="AB183" s="45" t="n">
        <v>194983</v>
      </c>
      <c r="AC183" s="45" t="n">
        <v>0</v>
      </c>
    </row>
    <row r="184">
      <c r="A184" t="inlineStr">
        <is>
          <t>MONTERIA</t>
        </is>
      </c>
      <c r="B184" t="inlineStr">
        <is>
          <t>COSTA</t>
        </is>
      </c>
      <c r="C184" t="inlineStr">
        <is>
          <t>0004-0001</t>
        </is>
      </c>
      <c r="D184" t="inlineStr">
        <is>
          <t>23001</t>
        </is>
      </c>
      <c r="E184" t="inlineStr">
        <is>
          <t>TA-25-929407</t>
        </is>
      </c>
      <c r="F184" t="inlineStr">
        <is>
          <t>3007080898</t>
        </is>
      </c>
      <c r="G184" t="inlineStr">
        <is>
          <t>APERTURA</t>
        </is>
      </c>
      <c r="H184" t="inlineStr">
        <is>
          <t>CB CRECIMIENTO - NUEVO</t>
        </is>
      </c>
      <c r="I184" t="inlineStr">
        <is>
          <t>CORDOBA</t>
        </is>
      </c>
      <c r="J184" t="inlineStr">
        <is>
          <t>MONTERIA</t>
        </is>
      </c>
      <c r="K184" t="inlineStr">
        <is>
          <t>BARRIO CHUCHURUBI MONTERIA 9</t>
        </is>
      </c>
      <c r="L184" t="inlineStr">
        <is>
          <t>BANCOLOMBIA</t>
        </is>
      </c>
      <c r="M184" t="inlineStr">
        <is>
          <t>FO-25-1337634</t>
        </is>
      </c>
      <c r="N184" s="46" t="n">
        <v>45875.59027777778</v>
      </c>
      <c r="O184" s="46" t="n">
        <v>45879.66875</v>
      </c>
      <c r="P184" t="inlineStr">
        <is>
          <t>UNO A UNO</t>
        </is>
      </c>
      <c r="Q184" t="inlineStr">
        <is>
          <t>UNO A UNO</t>
        </is>
      </c>
      <c r="R184" t="inlineStr">
        <is>
          <t>EJECUTADO</t>
        </is>
      </c>
      <c r="S184" t="inlineStr">
        <is>
          <t>VISITA TECNICA</t>
        </is>
      </c>
      <c r="T184" t="inlineStr">
        <is>
          <t>FGZZZ897</t>
        </is>
      </c>
      <c r="U184" t="inlineStr">
        <is>
          <t>TIPO I</t>
        </is>
      </c>
      <c r="V184" t="inlineStr">
        <is>
          <t>TERRESTRE</t>
        </is>
      </c>
      <c r="W184" t="inlineStr">
        <is>
          <t>GONZALEZ FERRER JESUS ALEXANDER</t>
        </is>
      </c>
      <c r="X184" t="inlineStr">
        <is>
          <t>Si</t>
        </is>
      </c>
      <c r="Y184" t="inlineStr">
        <is>
          <t>Si</t>
        </is>
      </c>
      <c r="Z184" s="45" t="n">
        <v>0</v>
      </c>
      <c r="AA184" t="inlineStr">
        <is>
          <t>0</t>
        </is>
      </c>
      <c r="AB184" s="45" t="n">
        <v>194983</v>
      </c>
      <c r="AC184" s="45" t="n">
        <v>0</v>
      </c>
    </row>
    <row r="185">
      <c r="A185" t="inlineStr">
        <is>
          <t>MONTERIA</t>
        </is>
      </c>
      <c r="B185" t="inlineStr">
        <is>
          <t>COSTA</t>
        </is>
      </c>
      <c r="C185" t="inlineStr">
        <is>
          <t>0004-0001</t>
        </is>
      </c>
      <c r="D185" t="inlineStr">
        <is>
          <t>23001</t>
        </is>
      </c>
      <c r="E185" t="inlineStr">
        <is>
          <t>TA-25-929408</t>
        </is>
      </c>
      <c r="F185" t="inlineStr">
        <is>
          <t>3007080899</t>
        </is>
      </c>
      <c r="G185" t="inlineStr">
        <is>
          <t>APERTURA</t>
        </is>
      </c>
      <c r="H185" t="inlineStr">
        <is>
          <t>CB CRECIMIENTO - NUEVO</t>
        </is>
      </c>
      <c r="I185" t="inlineStr">
        <is>
          <t>CORDOBA</t>
        </is>
      </c>
      <c r="J185" t="inlineStr">
        <is>
          <t>MONTERIA</t>
        </is>
      </c>
      <c r="K185" t="inlineStr">
        <is>
          <t>BARRIO URB LOS ARAUJOS MONTERIA 1</t>
        </is>
      </c>
      <c r="L185" t="inlineStr">
        <is>
          <t>BANCOLOMBIA</t>
        </is>
      </c>
      <c r="M185" t="inlineStr">
        <is>
          <t>FO-25-1337642</t>
        </is>
      </c>
      <c r="N185" s="46" t="n">
        <v>45875.59027777778</v>
      </c>
      <c r="O185" s="46" t="n">
        <v>45879.67361111111</v>
      </c>
      <c r="P185" t="inlineStr">
        <is>
          <t>UNO A UNO</t>
        </is>
      </c>
      <c r="Q185" t="inlineStr">
        <is>
          <t>UNO A UNO</t>
        </is>
      </c>
      <c r="R185" t="inlineStr">
        <is>
          <t>EJECUTADO</t>
        </is>
      </c>
      <c r="S185" t="inlineStr">
        <is>
          <t>VISITA TECNICA</t>
        </is>
      </c>
      <c r="T185" t="inlineStr">
        <is>
          <t>FGZZZ898</t>
        </is>
      </c>
      <c r="U185" t="inlineStr">
        <is>
          <t>TIPO I</t>
        </is>
      </c>
      <c r="V185" t="inlineStr">
        <is>
          <t>TERRESTRE</t>
        </is>
      </c>
      <c r="W185" t="inlineStr">
        <is>
          <t>GONZALEZ FERRER JESUS ALEXANDER</t>
        </is>
      </c>
      <c r="X185" t="inlineStr">
        <is>
          <t>Si</t>
        </is>
      </c>
      <c r="Y185" t="inlineStr">
        <is>
          <t>Si</t>
        </is>
      </c>
      <c r="Z185" s="45" t="n">
        <v>0</v>
      </c>
      <c r="AA185" t="inlineStr">
        <is>
          <t>0</t>
        </is>
      </c>
      <c r="AB185" s="45" t="n">
        <v>194983</v>
      </c>
      <c r="AC185" s="45" t="n">
        <v>0</v>
      </c>
    </row>
    <row r="186">
      <c r="A186" t="inlineStr">
        <is>
          <t>CUCUTA</t>
        </is>
      </c>
      <c r="B186" t="inlineStr">
        <is>
          <t>SANTANDERES</t>
        </is>
      </c>
      <c r="C186" t="inlineStr">
        <is>
          <t>0004-0008</t>
        </is>
      </c>
      <c r="D186" t="inlineStr">
        <is>
          <t>54001</t>
        </is>
      </c>
      <c r="E186" t="inlineStr">
        <is>
          <t>TA-25-929409</t>
        </is>
      </c>
      <c r="F186" t="inlineStr">
        <is>
          <t>3007080880</t>
        </is>
      </c>
      <c r="G186" t="inlineStr">
        <is>
          <t>APERTURA</t>
        </is>
      </c>
      <c r="H186" t="inlineStr">
        <is>
          <t>CB CRECIMIENTO - NUEVO</t>
        </is>
      </c>
      <c r="I186" t="inlineStr">
        <is>
          <t>NORTE DE SANTANDER</t>
        </is>
      </c>
      <c r="J186" t="inlineStr">
        <is>
          <t>CUCUTA</t>
        </is>
      </c>
      <c r="K186" t="inlineStr">
        <is>
          <t>BARRIO URB PRADOS DEL ESTE CUCUTA 8</t>
        </is>
      </c>
      <c r="L186" t="inlineStr">
        <is>
          <t>BANCOLOMBIA</t>
        </is>
      </c>
      <c r="M186" t="inlineStr">
        <is>
          <t>FO-25-1337647</t>
        </is>
      </c>
      <c r="N186" s="46" t="n">
        <v>45875.61388888889</v>
      </c>
      <c r="O186" s="46" t="n">
        <v>45879.65625</v>
      </c>
      <c r="P186" t="inlineStr">
        <is>
          <t>UNO A UNO</t>
        </is>
      </c>
      <c r="Q186" t="inlineStr">
        <is>
          <t>UNO A UNO</t>
        </is>
      </c>
      <c r="R186" t="inlineStr">
        <is>
          <t>EJECUTADO</t>
        </is>
      </c>
      <c r="S186" t="inlineStr">
        <is>
          <t>VISITA TECNICA</t>
        </is>
      </c>
      <c r="T186" t="inlineStr">
        <is>
          <t>FGZZZ899</t>
        </is>
      </c>
      <c r="U186" t="inlineStr">
        <is>
          <t>TIPO I</t>
        </is>
      </c>
      <c r="V186" t="inlineStr">
        <is>
          <t>TERRESTRE</t>
        </is>
      </c>
      <c r="W186" t="inlineStr">
        <is>
          <t>DURAN ACOSTA FRANK YONNY</t>
        </is>
      </c>
      <c r="X186" t="inlineStr">
        <is>
          <t>Si</t>
        </is>
      </c>
      <c r="Y186" t="inlineStr">
        <is>
          <t>Si</t>
        </is>
      </c>
      <c r="Z186" s="45" t="n">
        <v>0</v>
      </c>
      <c r="AA186" t="inlineStr">
        <is>
          <t>0</t>
        </is>
      </c>
      <c r="AB186" s="45" t="n">
        <v>194983</v>
      </c>
      <c r="AC186" s="45" t="n">
        <v>0</v>
      </c>
    </row>
    <row r="187">
      <c r="A187" t="inlineStr">
        <is>
          <t>BUCARAMANGA</t>
        </is>
      </c>
      <c r="B187" t="inlineStr">
        <is>
          <t>SANTANDERES</t>
        </is>
      </c>
      <c r="C187" t="inlineStr">
        <is>
          <t>0004-0008</t>
        </is>
      </c>
      <c r="D187" t="inlineStr">
        <is>
          <t>68001</t>
        </is>
      </c>
      <c r="E187" t="inlineStr">
        <is>
          <t>TA-25-929410</t>
        </is>
      </c>
      <c r="F187" t="inlineStr">
        <is>
          <t>3007080867</t>
        </is>
      </c>
      <c r="G187" t="inlineStr">
        <is>
          <t>APERTURA</t>
        </is>
      </c>
      <c r="H187" t="inlineStr">
        <is>
          <t>CB CRECIMIENTO - NUEVO</t>
        </is>
      </c>
      <c r="I187" t="inlineStr">
        <is>
          <t>SANTANDER</t>
        </is>
      </c>
      <c r="J187" t="inlineStr">
        <is>
          <t>BUCARAMANGA</t>
        </is>
      </c>
      <c r="K187" t="inlineStr">
        <is>
          <t>BARRIO KENNEDY BUCARAMANGA 2</t>
        </is>
      </c>
      <c r="L187" t="inlineStr">
        <is>
          <t>BANCOLOMBIA</t>
        </is>
      </c>
      <c r="M187" t="inlineStr">
        <is>
          <t>FO-25-1337654</t>
        </is>
      </c>
      <c r="N187" s="46" t="n">
        <v>45875.61388888889</v>
      </c>
      <c r="O187" s="46" t="n">
        <v>45877.62986111111</v>
      </c>
      <c r="P187" t="inlineStr">
        <is>
          <t>UNO A UNO</t>
        </is>
      </c>
      <c r="Q187" t="inlineStr">
        <is>
          <t>UNO A UNO</t>
        </is>
      </c>
      <c r="R187" t="inlineStr">
        <is>
          <t>EJECUTADO</t>
        </is>
      </c>
      <c r="S187" t="inlineStr">
        <is>
          <t>VISITA TECNICA</t>
        </is>
      </c>
      <c r="T187" t="inlineStr">
        <is>
          <t>FGZZZ900</t>
        </is>
      </c>
      <c r="U187" t="inlineStr">
        <is>
          <t>TIPO I</t>
        </is>
      </c>
      <c r="V187" t="inlineStr">
        <is>
          <t>TERRESTRE</t>
        </is>
      </c>
      <c r="W187" t="inlineStr">
        <is>
          <t>HERRERA LUQUE SAUL JAVIER</t>
        </is>
      </c>
      <c r="X187" t="inlineStr">
        <is>
          <t>Si</t>
        </is>
      </c>
      <c r="Y187" t="inlineStr">
        <is>
          <t>Si</t>
        </is>
      </c>
      <c r="Z187" s="45" t="n">
        <v>0</v>
      </c>
      <c r="AA187" t="inlineStr">
        <is>
          <t>0</t>
        </is>
      </c>
      <c r="AB187" s="45" t="n">
        <v>194983</v>
      </c>
      <c r="AC187" s="45" t="n">
        <v>0</v>
      </c>
    </row>
    <row r="188">
      <c r="A188" t="inlineStr">
        <is>
          <t>VILLAVICENCIO</t>
        </is>
      </c>
      <c r="B188" t="inlineStr">
        <is>
          <t>REMOTAS</t>
        </is>
      </c>
      <c r="C188" t="inlineStr">
        <is>
          <t>0004-0007</t>
        </is>
      </c>
      <c r="D188" t="inlineStr">
        <is>
          <t>50223</t>
        </is>
      </c>
      <c r="E188" t="inlineStr">
        <is>
          <t>TA-25-929418</t>
        </is>
      </c>
      <c r="F188" t="inlineStr">
        <is>
          <t>3007080878</t>
        </is>
      </c>
      <c r="G188" t="inlineStr">
        <is>
          <t>APERTURA</t>
        </is>
      </c>
      <c r="H188" t="inlineStr">
        <is>
          <t>CB CRECIMIENTO - NUEVO</t>
        </is>
      </c>
      <c r="I188" t="inlineStr">
        <is>
          <t>META</t>
        </is>
      </c>
      <c r="J188" t="inlineStr">
        <is>
          <t>CUBARRAL</t>
        </is>
      </c>
      <c r="K188" t="inlineStr">
        <is>
          <t>BARRIO ZONA RURAL CUBARRAL</t>
        </is>
      </c>
      <c r="L188" t="inlineStr">
        <is>
          <t>BANCOLOMBIA</t>
        </is>
      </c>
      <c r="M188" t="inlineStr">
        <is>
          <t>FO-25-1337663</t>
        </is>
      </c>
      <c r="N188" s="46" t="n">
        <v>45875.42013888889</v>
      </c>
      <c r="O188" s="46" t="n">
        <v>45877.66597222222</v>
      </c>
      <c r="P188" t="inlineStr">
        <is>
          <t>UNO A UNO</t>
        </is>
      </c>
      <c r="Q188" t="inlineStr">
        <is>
          <t>UNO A UNO</t>
        </is>
      </c>
      <c r="R188" t="inlineStr">
        <is>
          <t>EJECUTADO</t>
        </is>
      </c>
      <c r="S188" t="inlineStr">
        <is>
          <t>VISITA TECNICA</t>
        </is>
      </c>
      <c r="T188" t="inlineStr">
        <is>
          <t>FGZZZ901</t>
        </is>
      </c>
      <c r="U188" t="inlineStr">
        <is>
          <t>TIPO II</t>
        </is>
      </c>
      <c r="V188" t="inlineStr">
        <is>
          <t>TERRESTRE</t>
        </is>
      </c>
      <c r="W188" t="inlineStr">
        <is>
          <t>ROZO JIMENEZ EDGAR ARMANDO</t>
        </is>
      </c>
      <c r="X188" t="inlineStr">
        <is>
          <t>Si</t>
        </is>
      </c>
      <c r="Y188" t="inlineStr">
        <is>
          <t>Si</t>
        </is>
      </c>
      <c r="Z188" s="45" t="n">
        <v>0</v>
      </c>
      <c r="AA188" t="inlineStr">
        <is>
          <t>0</t>
        </is>
      </c>
      <c r="AB188" s="45" t="n">
        <v>248376</v>
      </c>
      <c r="AC188" s="45" t="n">
        <v>0</v>
      </c>
    </row>
    <row r="189">
      <c r="A189" t="inlineStr">
        <is>
          <t>BOGOTA</t>
        </is>
      </c>
      <c r="B189" t="inlineStr">
        <is>
          <t>CUNDINAMARCA</t>
        </is>
      </c>
      <c r="C189" t="inlineStr">
        <is>
          <t>0004-0004</t>
        </is>
      </c>
      <c r="D189" t="inlineStr">
        <is>
          <t>25899</t>
        </is>
      </c>
      <c r="E189" t="inlineStr">
        <is>
          <t>TA-25-929430</t>
        </is>
      </c>
      <c r="F189" t="inlineStr">
        <is>
          <t>3007080924</t>
        </is>
      </c>
      <c r="G189" t="inlineStr">
        <is>
          <t>APERTURA</t>
        </is>
      </c>
      <c r="H189" t="inlineStr">
        <is>
          <t>CB CRECIMIENTO - NUEVO</t>
        </is>
      </c>
      <c r="I189" t="inlineStr">
        <is>
          <t>CUNDINAMARCA</t>
        </is>
      </c>
      <c r="J189" t="inlineStr">
        <is>
          <t>ZIPAQUIRA</t>
        </is>
      </c>
      <c r="K189" t="inlineStr">
        <is>
          <t>BARRIO LA CONCEPCION ZIPAQUIRA</t>
        </is>
      </c>
      <c r="L189" t="inlineStr">
        <is>
          <t>BANCOLOMBIA</t>
        </is>
      </c>
      <c r="M189" t="inlineStr">
        <is>
          <t>FO-25-1337678</t>
        </is>
      </c>
      <c r="N189" s="46" t="n">
        <v>45875.75208333333</v>
      </c>
      <c r="O189" s="46" t="n">
        <v>45881.30416666667</v>
      </c>
      <c r="P189" t="inlineStr">
        <is>
          <t>UNO A UNO</t>
        </is>
      </c>
      <c r="Q189" t="inlineStr">
        <is>
          <t>UNO A UNO</t>
        </is>
      </c>
      <c r="R189" t="inlineStr">
        <is>
          <t>EJECUTADO</t>
        </is>
      </c>
      <c r="S189" t="inlineStr">
        <is>
          <t>VISITA TECNICA</t>
        </is>
      </c>
      <c r="T189" t="inlineStr">
        <is>
          <t>FGZZZ902</t>
        </is>
      </c>
      <c r="U189" t="inlineStr">
        <is>
          <t>TIPO II</t>
        </is>
      </c>
      <c r="V189" t="inlineStr">
        <is>
          <t>TERRESTRE</t>
        </is>
      </c>
      <c r="W189" t="inlineStr">
        <is>
          <t>LOZADA ROJAS CHRISTIAN ANDRES</t>
        </is>
      </c>
      <c r="X189" t="inlineStr">
        <is>
          <t>Si</t>
        </is>
      </c>
      <c r="Y189" t="inlineStr">
        <is>
          <t>Si</t>
        </is>
      </c>
      <c r="Z189" s="45" t="n">
        <v>0</v>
      </c>
      <c r="AA189" t="inlineStr">
        <is>
          <t>0</t>
        </is>
      </c>
      <c r="AB189" s="45" t="n">
        <v>248376</v>
      </c>
      <c r="AC189" s="45" t="n">
        <v>0</v>
      </c>
    </row>
    <row r="190">
      <c r="A190" t="inlineStr">
        <is>
          <t>BOGOTA</t>
        </is>
      </c>
      <c r="B190" t="inlineStr">
        <is>
          <t>CUNDINAMARCA</t>
        </is>
      </c>
      <c r="C190" t="inlineStr">
        <is>
          <t>0004-0004</t>
        </is>
      </c>
      <c r="D190" t="inlineStr">
        <is>
          <t>25436</t>
        </is>
      </c>
      <c r="E190" t="inlineStr">
        <is>
          <t>TA-25-929449</t>
        </is>
      </c>
      <c r="F190" t="inlineStr">
        <is>
          <t>3007080900</t>
        </is>
      </c>
      <c r="G190" t="inlineStr">
        <is>
          <t>APERTURA</t>
        </is>
      </c>
      <c r="H190" t="inlineStr">
        <is>
          <t>CB CRECIMIENTO - NUEVO</t>
        </is>
      </c>
      <c r="I190" t="inlineStr">
        <is>
          <t>CUNDINAMARCA</t>
        </is>
      </c>
      <c r="J190" t="inlineStr">
        <is>
          <t>MANTA</t>
        </is>
      </c>
      <c r="K190" t="inlineStr">
        <is>
          <t>BARRIO CENTRO MANTA 2</t>
        </is>
      </c>
      <c r="L190" t="inlineStr">
        <is>
          <t>BANCOLOMBIA</t>
        </is>
      </c>
      <c r="M190" t="inlineStr">
        <is>
          <t>FO-25-1337685</t>
        </is>
      </c>
      <c r="N190" s="46" t="n">
        <v>45875.52152777778</v>
      </c>
      <c r="O190" s="46" t="n">
        <v>45880.60555555556</v>
      </c>
      <c r="P190" t="inlineStr">
        <is>
          <t>UNO A UNO</t>
        </is>
      </c>
      <c r="Q190" t="inlineStr">
        <is>
          <t>UNO A UNO</t>
        </is>
      </c>
      <c r="R190" t="inlineStr">
        <is>
          <t>EJECUTADO</t>
        </is>
      </c>
      <c r="S190" t="inlineStr">
        <is>
          <t>VISITA TECNICA</t>
        </is>
      </c>
      <c r="T190" t="inlineStr">
        <is>
          <t>FGZZZ903</t>
        </is>
      </c>
      <c r="U190" t="inlineStr">
        <is>
          <t>TIPO III</t>
        </is>
      </c>
      <c r="V190" t="inlineStr">
        <is>
          <t>TERRESTRE</t>
        </is>
      </c>
      <c r="W190" t="inlineStr">
        <is>
          <t>MURCIA HERNANDEZ HARVEY IGNACIO</t>
        </is>
      </c>
      <c r="X190" t="inlineStr">
        <is>
          <t>Si</t>
        </is>
      </c>
      <c r="Y190" t="inlineStr">
        <is>
          <t>Si</t>
        </is>
      </c>
      <c r="Z190" s="45" t="n">
        <v>0</v>
      </c>
      <c r="AA190" t="inlineStr">
        <is>
          <t>0</t>
        </is>
      </c>
      <c r="AB190" s="45" t="n">
        <v>248376</v>
      </c>
      <c r="AC190" s="45" t="n">
        <v>0</v>
      </c>
    </row>
    <row r="191">
      <c r="A191" t="inlineStr">
        <is>
          <t>BOGOTA</t>
        </is>
      </c>
      <c r="B191" t="inlineStr">
        <is>
          <t>CUNDINAMARCA</t>
        </is>
      </c>
      <c r="C191" t="inlineStr">
        <is>
          <t>0004-0004</t>
        </is>
      </c>
      <c r="D191" t="inlineStr">
        <is>
          <t>25843</t>
        </is>
      </c>
      <c r="E191" t="inlineStr">
        <is>
          <t>TA-25-929451</t>
        </is>
      </c>
      <c r="F191" t="inlineStr">
        <is>
          <t>3007080920</t>
        </is>
      </c>
      <c r="G191" t="inlineStr">
        <is>
          <t>APERTURA</t>
        </is>
      </c>
      <c r="H191" t="inlineStr">
        <is>
          <t>CB CRECIMIENTO - NUEVO</t>
        </is>
      </c>
      <c r="I191" t="inlineStr">
        <is>
          <t>CUNDINAMARCA</t>
        </is>
      </c>
      <c r="J191" t="inlineStr">
        <is>
          <t>VILLA DE SAN DIEGO DE UBATE</t>
        </is>
      </c>
      <c r="K191" t="inlineStr">
        <is>
          <t>BARRIO VEREDA LA ESPERANZA VILLA DE SAN DIEGO DE UBATE</t>
        </is>
      </c>
      <c r="L191" t="inlineStr">
        <is>
          <t>BANCOLOMBIA</t>
        </is>
      </c>
      <c r="M191" t="inlineStr">
        <is>
          <t>FO-25-1337691</t>
        </is>
      </c>
      <c r="N191" s="46" t="n">
        <v>45875.75208333333</v>
      </c>
      <c r="O191" s="46" t="n">
        <v>45881.29166666666</v>
      </c>
      <c r="P191" t="inlineStr">
        <is>
          <t>UNO A UNO</t>
        </is>
      </c>
      <c r="Q191" t="inlineStr">
        <is>
          <t>UNO A UNO</t>
        </is>
      </c>
      <c r="R191" t="inlineStr">
        <is>
          <t>EJECUTADO</t>
        </is>
      </c>
      <c r="S191" t="inlineStr">
        <is>
          <t>VISITA TECNICA</t>
        </is>
      </c>
      <c r="T191" t="inlineStr">
        <is>
          <t>FGZZZ904</t>
        </is>
      </c>
      <c r="U191" t="inlineStr">
        <is>
          <t>TIPO II</t>
        </is>
      </c>
      <c r="V191" t="inlineStr">
        <is>
          <t>TERRESTRE</t>
        </is>
      </c>
      <c r="W191" t="inlineStr">
        <is>
          <t>LOZADA ROJAS CHRISTIAN ANDRES</t>
        </is>
      </c>
      <c r="X191" t="inlineStr">
        <is>
          <t>Si</t>
        </is>
      </c>
      <c r="Y191" t="inlineStr">
        <is>
          <t>Si</t>
        </is>
      </c>
      <c r="Z191" s="45" t="n">
        <v>0</v>
      </c>
      <c r="AA191" t="inlineStr">
        <is>
          <t>0</t>
        </is>
      </c>
      <c r="AB191" s="45" t="n">
        <v>248376</v>
      </c>
      <c r="AC191" s="45" t="n">
        <v>0</v>
      </c>
    </row>
    <row r="192">
      <c r="A192" t="inlineStr">
        <is>
          <t>BUCARAMANGA</t>
        </is>
      </c>
      <c r="B192" t="inlineStr">
        <is>
          <t>SANTANDERES</t>
        </is>
      </c>
      <c r="C192" t="inlineStr">
        <is>
          <t>0004-0008</t>
        </is>
      </c>
      <c r="D192" t="inlineStr">
        <is>
          <t>68500</t>
        </is>
      </c>
      <c r="E192" t="inlineStr">
        <is>
          <t>TA-25-929453</t>
        </is>
      </c>
      <c r="F192" t="inlineStr">
        <is>
          <t>3007080902</t>
        </is>
      </c>
      <c r="G192" t="inlineStr">
        <is>
          <t>APERTURA</t>
        </is>
      </c>
      <c r="H192" t="inlineStr">
        <is>
          <t>CB CRECIMIENTO - NUEVO</t>
        </is>
      </c>
      <c r="I192" t="inlineStr">
        <is>
          <t>SANTANDER</t>
        </is>
      </c>
      <c r="J192" t="inlineStr">
        <is>
          <t>OIBA</t>
        </is>
      </c>
      <c r="K192" t="inlineStr">
        <is>
          <t>BARRIO LA VARIABLE OIBA OIBA</t>
        </is>
      </c>
      <c r="L192" t="inlineStr">
        <is>
          <t>BANCOLOMBIA</t>
        </is>
      </c>
      <c r="M192" t="inlineStr">
        <is>
          <t>FO-25-1337696</t>
        </is>
      </c>
      <c r="N192" s="46" t="n">
        <v>45875.61388888889</v>
      </c>
      <c r="O192" s="46" t="n">
        <v>45881.59513888889</v>
      </c>
      <c r="P192" t="inlineStr">
        <is>
          <t>UNO A UNO</t>
        </is>
      </c>
      <c r="Q192" t="inlineStr">
        <is>
          <t>UNO A UNO</t>
        </is>
      </c>
      <c r="R192" t="inlineStr">
        <is>
          <t>EJECUTADO</t>
        </is>
      </c>
      <c r="S192" t="inlineStr">
        <is>
          <t>VISITA TECNICA</t>
        </is>
      </c>
      <c r="T192" t="inlineStr">
        <is>
          <t>FGZZZ905</t>
        </is>
      </c>
      <c r="U192" t="inlineStr">
        <is>
          <t>TIPO III</t>
        </is>
      </c>
      <c r="V192" t="inlineStr">
        <is>
          <t>TERRESTRE</t>
        </is>
      </c>
      <c r="W192" t="inlineStr">
        <is>
          <t>MARTINEZ FLOREZ DONIS ALBERTO</t>
        </is>
      </c>
      <c r="X192" t="inlineStr">
        <is>
          <t>Si</t>
        </is>
      </c>
      <c r="Y192" t="inlineStr">
        <is>
          <t>Si</t>
        </is>
      </c>
      <c r="Z192" s="45" t="n">
        <v>0</v>
      </c>
      <c r="AA192" t="inlineStr">
        <is>
          <t>0</t>
        </is>
      </c>
      <c r="AB192" s="45" t="n">
        <v>248376</v>
      </c>
      <c r="AC192" s="45" t="n">
        <v>0</v>
      </c>
    </row>
    <row r="193">
      <c r="A193" t="inlineStr">
        <is>
          <t>CALI</t>
        </is>
      </c>
      <c r="B193" t="inlineStr">
        <is>
          <t>SUROCCIDENTE Y EJE CAFETERO</t>
        </is>
      </c>
      <c r="C193" t="inlineStr">
        <is>
          <t>0004-0003</t>
        </is>
      </c>
      <c r="D193" t="inlineStr">
        <is>
          <t>76001</t>
        </is>
      </c>
      <c r="E193" t="inlineStr">
        <is>
          <t>TA-25-929470</t>
        </is>
      </c>
      <c r="F193" t="inlineStr">
        <is>
          <t>3007080871</t>
        </is>
      </c>
      <c r="G193" t="inlineStr">
        <is>
          <t>APERTURA</t>
        </is>
      </c>
      <c r="H193" t="inlineStr">
        <is>
          <t>CB CRECIMIENTO - NUEVO</t>
        </is>
      </c>
      <c r="I193" t="inlineStr">
        <is>
          <t>VALLE DEL CAUCA</t>
        </is>
      </c>
      <c r="J193" t="inlineStr">
        <is>
          <t>CALI</t>
        </is>
      </c>
      <c r="K193" t="inlineStr">
        <is>
          <t>BARRIO TERRON COLORADO CALI 2</t>
        </is>
      </c>
      <c r="L193" t="inlineStr">
        <is>
          <t>BANCOLOMBIA</t>
        </is>
      </c>
      <c r="M193" t="inlineStr">
        <is>
          <t>FO-25-1337707</t>
        </is>
      </c>
      <c r="N193" s="46" t="n">
        <v>45875.72361111111</v>
      </c>
      <c r="O193" s="46" t="n">
        <v>45879.65833333333</v>
      </c>
      <c r="P193" t="inlineStr">
        <is>
          <t>UNO A UNO</t>
        </is>
      </c>
      <c r="Q193" t="inlineStr">
        <is>
          <t>UNO A UNO</t>
        </is>
      </c>
      <c r="R193" t="inlineStr">
        <is>
          <t>EJECUTADO</t>
        </is>
      </c>
      <c r="S193" t="inlineStr">
        <is>
          <t>VISITA TECNICA</t>
        </is>
      </c>
      <c r="T193" t="inlineStr">
        <is>
          <t>FGZZZ906</t>
        </is>
      </c>
      <c r="U193" t="inlineStr">
        <is>
          <t>TIPO I</t>
        </is>
      </c>
      <c r="V193" t="inlineStr">
        <is>
          <t>TERRESTRE</t>
        </is>
      </c>
      <c r="W193" t="inlineStr">
        <is>
          <t>BOLAÑOS TABORDA JORGE ENRIQUE</t>
        </is>
      </c>
      <c r="X193" t="inlineStr">
        <is>
          <t>Si</t>
        </is>
      </c>
      <c r="Y193" t="inlineStr">
        <is>
          <t>Si</t>
        </is>
      </c>
      <c r="Z193" s="45" t="n">
        <v>0</v>
      </c>
      <c r="AA193" t="inlineStr">
        <is>
          <t>0</t>
        </is>
      </c>
      <c r="AB193" s="45" t="n">
        <v>194983</v>
      </c>
      <c r="AC193" s="45" t="n">
        <v>0</v>
      </c>
    </row>
    <row r="194">
      <c r="A194" t="inlineStr">
        <is>
          <t>MEDELLIN</t>
        </is>
      </c>
      <c r="B194" t="inlineStr">
        <is>
          <t>NOROCCIDENTE</t>
        </is>
      </c>
      <c r="C194" t="inlineStr">
        <is>
          <t>0004-0005</t>
        </is>
      </c>
      <c r="D194" t="inlineStr">
        <is>
          <t>5686</t>
        </is>
      </c>
      <c r="E194" t="inlineStr">
        <is>
          <t>TA-25-929484</t>
        </is>
      </c>
      <c r="F194" t="inlineStr">
        <is>
          <t>3007080883</t>
        </is>
      </c>
      <c r="G194" t="inlineStr">
        <is>
          <t>APERTURA</t>
        </is>
      </c>
      <c r="H194" t="inlineStr">
        <is>
          <t>CB CRECIMIENTO - NUEVO</t>
        </is>
      </c>
      <c r="I194" t="inlineStr">
        <is>
          <t>ANTIOQUIA</t>
        </is>
      </c>
      <c r="J194" t="inlineStr">
        <is>
          <t>SANTA ROSA DE OSOS</t>
        </is>
      </c>
      <c r="K194" t="inlineStr">
        <is>
          <t>BARRIO VEREDA EL CANEY SANTA ROSA DE OSOS 1</t>
        </is>
      </c>
      <c r="L194" t="inlineStr">
        <is>
          <t>BANCOLOMBIA</t>
        </is>
      </c>
      <c r="M194" t="inlineStr">
        <is>
          <t>FO-25-1337717</t>
        </is>
      </c>
      <c r="N194" s="46" t="n">
        <v>45875.42569444444</v>
      </c>
      <c r="O194" s="46" t="n">
        <v>45880.60763888889</v>
      </c>
      <c r="P194" t="inlineStr">
        <is>
          <t>UNO A UNO</t>
        </is>
      </c>
      <c r="Q194" t="inlineStr">
        <is>
          <t>UNO A UNO</t>
        </is>
      </c>
      <c r="R194" t="inlineStr">
        <is>
          <t>EJECUTADO</t>
        </is>
      </c>
      <c r="S194" t="inlineStr">
        <is>
          <t>VISITA TECNICA</t>
        </is>
      </c>
      <c r="T194" t="inlineStr">
        <is>
          <t>FGZZZ907</t>
        </is>
      </c>
      <c r="U194" t="inlineStr">
        <is>
          <t>TIPO II</t>
        </is>
      </c>
      <c r="V194" t="inlineStr">
        <is>
          <t>TERRESTRE</t>
        </is>
      </c>
      <c r="W194" t="inlineStr">
        <is>
          <t>DIAZ ZABALA FRANCIS DUBAN</t>
        </is>
      </c>
      <c r="X194" t="inlineStr">
        <is>
          <t>Si</t>
        </is>
      </c>
      <c r="Y194" t="inlineStr">
        <is>
          <t>Si</t>
        </is>
      </c>
      <c r="Z194" s="45" t="n">
        <v>0</v>
      </c>
      <c r="AA194" t="inlineStr">
        <is>
          <t>0</t>
        </is>
      </c>
      <c r="AB194" s="45" t="n">
        <v>248376</v>
      </c>
      <c r="AC194" s="45" t="n">
        <v>0</v>
      </c>
    </row>
    <row r="195">
      <c r="A195" t="inlineStr">
        <is>
          <t>CALI</t>
        </is>
      </c>
      <c r="B195" t="inlineStr">
        <is>
          <t>SUROCCIDENTE Y EJE CAFETERO</t>
        </is>
      </c>
      <c r="C195" t="inlineStr">
        <is>
          <t>0004-0003</t>
        </is>
      </c>
      <c r="D195" t="inlineStr">
        <is>
          <t>76001</t>
        </is>
      </c>
      <c r="E195" t="inlineStr">
        <is>
          <t>TA-25-929495</t>
        </is>
      </c>
      <c r="F195" t="inlineStr">
        <is>
          <t>3007080872</t>
        </is>
      </c>
      <c r="G195" t="inlineStr">
        <is>
          <t>APERTURA</t>
        </is>
      </c>
      <c r="H195" t="inlineStr">
        <is>
          <t>CB CRECIMIENTO - NUEVO</t>
        </is>
      </c>
      <c r="I195" t="inlineStr">
        <is>
          <t>VALLE DEL CAUCA</t>
        </is>
      </c>
      <c r="J195" t="inlineStr">
        <is>
          <t>CALI</t>
        </is>
      </c>
      <c r="K195" t="inlineStr">
        <is>
          <t>BARRIO  EL INGENIO CALI</t>
        </is>
      </c>
      <c r="L195" t="inlineStr">
        <is>
          <t>BANCOLOMBIA</t>
        </is>
      </c>
      <c r="M195" t="inlineStr">
        <is>
          <t>FO-25-1337724</t>
        </is>
      </c>
      <c r="N195" s="46" t="n">
        <v>45875.725</v>
      </c>
      <c r="O195" s="46" t="n">
        <v>45877.66875</v>
      </c>
      <c r="P195" t="inlineStr">
        <is>
          <t>UNO A UNO</t>
        </is>
      </c>
      <c r="Q195" t="inlineStr">
        <is>
          <t>UNO A UNO</t>
        </is>
      </c>
      <c r="R195" t="inlineStr">
        <is>
          <t>EJECUTADO</t>
        </is>
      </c>
      <c r="S195" t="inlineStr">
        <is>
          <t>VISITA TECNICA</t>
        </is>
      </c>
      <c r="T195" t="inlineStr">
        <is>
          <t>FGZZZ908</t>
        </is>
      </c>
      <c r="U195" t="inlineStr">
        <is>
          <t>TIPO I</t>
        </is>
      </c>
      <c r="V195" t="inlineStr">
        <is>
          <t>TERRESTRE</t>
        </is>
      </c>
      <c r="W195" t="inlineStr">
        <is>
          <t>HERRERA MONAR GEOVANNY</t>
        </is>
      </c>
      <c r="X195" t="inlineStr">
        <is>
          <t>Si</t>
        </is>
      </c>
      <c r="Y195" t="inlineStr">
        <is>
          <t>Si</t>
        </is>
      </c>
      <c r="Z195" s="45" t="n">
        <v>0</v>
      </c>
      <c r="AA195" t="inlineStr">
        <is>
          <t>0</t>
        </is>
      </c>
      <c r="AB195" s="45" t="n">
        <v>194983</v>
      </c>
      <c r="AC195" s="45" t="n">
        <v>0</v>
      </c>
    </row>
    <row r="196">
      <c r="A196" t="inlineStr">
        <is>
          <t>TUNJA</t>
        </is>
      </c>
      <c r="B196" t="inlineStr">
        <is>
          <t>SANTANDERES</t>
        </is>
      </c>
      <c r="C196" t="inlineStr">
        <is>
          <t>0004-0008</t>
        </is>
      </c>
      <c r="D196" t="inlineStr">
        <is>
          <t>15776</t>
        </is>
      </c>
      <c r="E196" t="inlineStr">
        <is>
          <t>TA-25-929577</t>
        </is>
      </c>
      <c r="F196" t="inlineStr">
        <is>
          <t>3007080912</t>
        </is>
      </c>
      <c r="G196" t="inlineStr">
        <is>
          <t>APERTURA</t>
        </is>
      </c>
      <c r="H196" t="inlineStr">
        <is>
          <t>CB CRECIMIENTO - NUEVO</t>
        </is>
      </c>
      <c r="I196" t="inlineStr">
        <is>
          <t>BOYACA</t>
        </is>
      </c>
      <c r="J196" t="inlineStr">
        <is>
          <t>SUTAMARCHAN</t>
        </is>
      </c>
      <c r="K196" t="inlineStr">
        <is>
          <t>BARRIO CENTRO SUTAMARCHAN 4</t>
        </is>
      </c>
      <c r="L196" t="inlineStr">
        <is>
          <t>BANCOLOMBIA</t>
        </is>
      </c>
      <c r="M196" t="inlineStr">
        <is>
          <t>FO-25-1337775</t>
        </is>
      </c>
      <c r="N196" s="46" t="n">
        <v>45875.61388888889</v>
      </c>
      <c r="O196" s="46" t="n">
        <v>45881.49444444444</v>
      </c>
      <c r="P196" t="inlineStr">
        <is>
          <t>UNO A UNO</t>
        </is>
      </c>
      <c r="Q196" t="inlineStr">
        <is>
          <t>UNO A UNO</t>
        </is>
      </c>
      <c r="R196" t="inlineStr">
        <is>
          <t>EJECUTADO</t>
        </is>
      </c>
      <c r="S196" t="inlineStr">
        <is>
          <t>VISITA TECNICA</t>
        </is>
      </c>
      <c r="T196" t="inlineStr">
        <is>
          <t>FGZZZ909</t>
        </is>
      </c>
      <c r="U196" t="inlineStr">
        <is>
          <t>TIPO II</t>
        </is>
      </c>
      <c r="V196" t="inlineStr">
        <is>
          <t>TERRESTRE</t>
        </is>
      </c>
      <c r="W196" t="inlineStr">
        <is>
          <t>RODRIGUEZ MURCIA YERSON IVAN</t>
        </is>
      </c>
      <c r="X196" t="inlineStr">
        <is>
          <t>Si</t>
        </is>
      </c>
      <c r="Y196" t="inlineStr">
        <is>
          <t>Si</t>
        </is>
      </c>
      <c r="Z196" s="45" t="n">
        <v>0</v>
      </c>
      <c r="AA196" t="inlineStr">
        <is>
          <t>0</t>
        </is>
      </c>
      <c r="AB196" s="45" t="n">
        <v>248376</v>
      </c>
      <c r="AC196" s="45" t="n">
        <v>0</v>
      </c>
    </row>
    <row r="197">
      <c r="A197" t="inlineStr">
        <is>
          <t>MEDELLIN</t>
        </is>
      </c>
      <c r="B197" t="inlineStr">
        <is>
          <t>NOROCCIDENTE</t>
        </is>
      </c>
      <c r="C197" t="inlineStr">
        <is>
          <t>0004-0005</t>
        </is>
      </c>
      <c r="D197" t="inlineStr">
        <is>
          <t>5001</t>
        </is>
      </c>
      <c r="E197" t="inlineStr">
        <is>
          <t>TA-25-930967</t>
        </is>
      </c>
      <c r="F197" t="inlineStr">
        <is>
          <t>3007080856</t>
        </is>
      </c>
      <c r="G197" t="inlineStr">
        <is>
          <t>APERTURA</t>
        </is>
      </c>
      <c r="H197" t="inlineStr">
        <is>
          <t>CB CRECIMIENTO ALIANZA - NUEVO</t>
        </is>
      </c>
      <c r="I197" t="inlineStr">
        <is>
          <t>ANTIOQUIA</t>
        </is>
      </c>
      <c r="J197" t="inlineStr">
        <is>
          <t>MEDELLIN</t>
        </is>
      </c>
      <c r="K197" t="inlineStr">
        <is>
          <t>PTM MEDELLIN AMALINA MULTISERV</t>
        </is>
      </c>
      <c r="L197" t="inlineStr">
        <is>
          <t>BANCOLOMBIA</t>
        </is>
      </c>
      <c r="M197" t="inlineStr">
        <is>
          <t>FO-25-1338727</t>
        </is>
      </c>
      <c r="N197" s="46" t="n">
        <v>45875.42569444444</v>
      </c>
      <c r="O197" s="46" t="n">
        <v>45880.57777777778</v>
      </c>
      <c r="P197" t="inlineStr">
        <is>
          <t>AGREGADOR</t>
        </is>
      </c>
      <c r="Q197" t="inlineStr">
        <is>
          <t>COMCARD - PTM</t>
        </is>
      </c>
      <c r="R197" t="inlineStr">
        <is>
          <t>EJECUTADO</t>
        </is>
      </c>
      <c r="S197" t="inlineStr">
        <is>
          <t>VISITA TECNICA</t>
        </is>
      </c>
      <c r="T197" t="inlineStr">
        <is>
          <t>FGZZZ974-FGZZZ992</t>
        </is>
      </c>
      <c r="U197" t="inlineStr">
        <is>
          <t>TIPO I</t>
        </is>
      </c>
      <c r="V197" t="inlineStr">
        <is>
          <t>TERRESTRE</t>
        </is>
      </c>
      <c r="W197" t="inlineStr">
        <is>
          <t>PAREJA ECHAVARRIA JHON DAVID</t>
        </is>
      </c>
      <c r="X197" t="inlineStr">
        <is>
          <t>Si</t>
        </is>
      </c>
      <c r="Y197" t="inlineStr">
        <is>
          <t>Si</t>
        </is>
      </c>
      <c r="Z197" s="45" t="n">
        <v>0</v>
      </c>
      <c r="AA197" t="inlineStr">
        <is>
          <t>0</t>
        </is>
      </c>
      <c r="AB197" s="45" t="n">
        <v>194983</v>
      </c>
      <c r="AC197" s="45" t="n">
        <v>0</v>
      </c>
    </row>
    <row r="198">
      <c r="A198" t="inlineStr">
        <is>
          <t>MEDELLIN</t>
        </is>
      </c>
      <c r="B198" t="inlineStr">
        <is>
          <t>NOROCCIDENTE</t>
        </is>
      </c>
      <c r="C198" t="inlineStr">
        <is>
          <t>0004-0005</t>
        </is>
      </c>
      <c r="D198" t="inlineStr">
        <is>
          <t>5001</t>
        </is>
      </c>
      <c r="E198" t="inlineStr">
        <is>
          <t>TA-25-930968</t>
        </is>
      </c>
      <c r="F198" t="inlineStr">
        <is>
          <t>3007080857</t>
        </is>
      </c>
      <c r="G198" t="inlineStr">
        <is>
          <t>APERTURA</t>
        </is>
      </c>
      <c r="H198" t="inlineStr">
        <is>
          <t>CB CRECIMIENTO ALIANZA - NUEVO</t>
        </is>
      </c>
      <c r="I198" t="inlineStr">
        <is>
          <t>ANTIOQUIA</t>
        </is>
      </c>
      <c r="J198" t="inlineStr">
        <is>
          <t>MEDELLIN</t>
        </is>
      </c>
      <c r="K198" t="inlineStr">
        <is>
          <t>PTM MEDELLIN VARIEDADES LA CHI</t>
        </is>
      </c>
      <c r="L198" t="inlineStr">
        <is>
          <t>BANCOLOMBIA</t>
        </is>
      </c>
      <c r="M198" t="inlineStr">
        <is>
          <t>FO-25-1338736</t>
        </is>
      </c>
      <c r="N198" s="46" t="n">
        <v>45875.42569444444</v>
      </c>
      <c r="O198" s="46" t="n">
        <v>45880.57986111111</v>
      </c>
      <c r="P198" t="inlineStr">
        <is>
          <t>AGREGADOR</t>
        </is>
      </c>
      <c r="Q198" t="inlineStr">
        <is>
          <t>COMCARD - PTM</t>
        </is>
      </c>
      <c r="R198" t="inlineStr">
        <is>
          <t>EJECUTADO</t>
        </is>
      </c>
      <c r="S198" t="inlineStr">
        <is>
          <t>VISITA TECNICA</t>
        </is>
      </c>
      <c r="T198" t="inlineStr">
        <is>
          <t>FGZZZ993- F9ZZZ975</t>
        </is>
      </c>
      <c r="U198" t="inlineStr">
        <is>
          <t>TIPO I</t>
        </is>
      </c>
      <c r="V198" t="inlineStr">
        <is>
          <t>TERRESTRE</t>
        </is>
      </c>
      <c r="W198" t="inlineStr">
        <is>
          <t>MARTINEZ TOVAR OSCAR DAVID</t>
        </is>
      </c>
      <c r="X198" t="inlineStr">
        <is>
          <t>Si</t>
        </is>
      </c>
      <c r="Y198" t="inlineStr">
        <is>
          <t>Si</t>
        </is>
      </c>
      <c r="Z198" s="45" t="n">
        <v>0</v>
      </c>
      <c r="AA198" t="inlineStr">
        <is>
          <t>0</t>
        </is>
      </c>
      <c r="AB198" s="45" t="n">
        <v>194983</v>
      </c>
      <c r="AC198" s="45" t="n">
        <v>0</v>
      </c>
    </row>
    <row r="199">
      <c r="A199" t="inlineStr">
        <is>
          <t>MEDELLIN</t>
        </is>
      </c>
      <c r="B199" t="inlineStr">
        <is>
          <t>NOROCCIDENTE</t>
        </is>
      </c>
      <c r="C199" t="inlineStr">
        <is>
          <t>0004-0005</t>
        </is>
      </c>
      <c r="D199" t="inlineStr">
        <is>
          <t>5001</t>
        </is>
      </c>
      <c r="E199" t="inlineStr">
        <is>
          <t>TA-25-930969</t>
        </is>
      </c>
      <c r="F199" t="inlineStr">
        <is>
          <t>3007080858</t>
        </is>
      </c>
      <c r="G199" t="inlineStr">
        <is>
          <t>APERTURA</t>
        </is>
      </c>
      <c r="H199" t="inlineStr">
        <is>
          <t>CB CRECIMIENTO ALIANZA - NUEVO</t>
        </is>
      </c>
      <c r="I199" t="inlineStr">
        <is>
          <t>ANTIOQUIA</t>
        </is>
      </c>
      <c r="J199" t="inlineStr">
        <is>
          <t>MEDELLIN</t>
        </is>
      </c>
      <c r="K199" t="inlineStr">
        <is>
          <t>PTM MEDELLIN DEPOSITO ELFERRET</t>
        </is>
      </c>
      <c r="L199" t="inlineStr">
        <is>
          <t>BANCOLOMBIA</t>
        </is>
      </c>
      <c r="M199" t="inlineStr">
        <is>
          <t>FO-25-1338743</t>
        </is>
      </c>
      <c r="N199" s="46" t="n">
        <v>45875.42569444444</v>
      </c>
      <c r="O199" s="46" t="n">
        <v>45881.30138888889</v>
      </c>
      <c r="P199" t="inlineStr">
        <is>
          <t>AGREGADOR</t>
        </is>
      </c>
      <c r="Q199" t="inlineStr">
        <is>
          <t>COMCARD - PTM</t>
        </is>
      </c>
      <c r="R199" t="inlineStr">
        <is>
          <t>EJECUTADO</t>
        </is>
      </c>
      <c r="S199" t="inlineStr">
        <is>
          <t>VISITA TECNICA</t>
        </is>
      </c>
      <c r="T199" t="inlineStr">
        <is>
          <t>F9ZZZ976- FGZZZ994</t>
        </is>
      </c>
      <c r="U199" t="inlineStr">
        <is>
          <t>TIPO I</t>
        </is>
      </c>
      <c r="V199" t="inlineStr">
        <is>
          <t>TERRESTRE</t>
        </is>
      </c>
      <c r="W199" t="inlineStr">
        <is>
          <t>MARTINEZ TOVAR OSCAR DAVID</t>
        </is>
      </c>
      <c r="X199" t="inlineStr">
        <is>
          <t>Si</t>
        </is>
      </c>
      <c r="Y199" t="inlineStr">
        <is>
          <t>Si</t>
        </is>
      </c>
      <c r="Z199" s="45" t="n">
        <v>0</v>
      </c>
      <c r="AA199" t="inlineStr">
        <is>
          <t>0</t>
        </is>
      </c>
      <c r="AB199" s="45" t="n">
        <v>194983</v>
      </c>
      <c r="AC199" s="45" t="n">
        <v>0</v>
      </c>
    </row>
    <row r="200">
      <c r="A200" t="inlineStr">
        <is>
          <t>MEDELLIN</t>
        </is>
      </c>
      <c r="B200" t="inlineStr">
        <is>
          <t>NOROCCIDENTE</t>
        </is>
      </c>
      <c r="C200" t="inlineStr">
        <is>
          <t>0004-0005</t>
        </is>
      </c>
      <c r="D200" t="inlineStr">
        <is>
          <t>5001</t>
        </is>
      </c>
      <c r="E200" t="inlineStr">
        <is>
          <t>TA-25-930972</t>
        </is>
      </c>
      <c r="F200" t="inlineStr">
        <is>
          <t>3007080859</t>
        </is>
      </c>
      <c r="G200" t="inlineStr">
        <is>
          <t>APERTURA</t>
        </is>
      </c>
      <c r="H200" t="inlineStr">
        <is>
          <t>CB CRECIMIENTO ALIANZA - NUEVO</t>
        </is>
      </c>
      <c r="I200" t="inlineStr">
        <is>
          <t>ANTIOQUIA</t>
        </is>
      </c>
      <c r="J200" t="inlineStr">
        <is>
          <t>MEDELLIN</t>
        </is>
      </c>
      <c r="K200" t="inlineStr">
        <is>
          <t>PTM MEDELLIN DROGUERIA FARMA 2</t>
        </is>
      </c>
      <c r="L200" t="inlineStr">
        <is>
          <t>BANCOLOMBIA</t>
        </is>
      </c>
      <c r="M200" t="inlineStr">
        <is>
          <t>FO-25-1338750</t>
        </is>
      </c>
      <c r="N200" s="46" t="n">
        <v>45875.42638888889</v>
      </c>
      <c r="O200" s="46" t="n">
        <v>45880.68125</v>
      </c>
      <c r="P200" t="inlineStr">
        <is>
          <t>AGREGADOR</t>
        </is>
      </c>
      <c r="Q200" t="inlineStr">
        <is>
          <t>COMCARD - PTM</t>
        </is>
      </c>
      <c r="R200" t="inlineStr">
        <is>
          <t>EJECUTADO</t>
        </is>
      </c>
      <c r="S200" t="inlineStr">
        <is>
          <t>VISITA TECNICA</t>
        </is>
      </c>
      <c r="T200" t="inlineStr">
        <is>
          <t>FGZZZ995-F9ZZZ977</t>
        </is>
      </c>
      <c r="U200" t="inlineStr">
        <is>
          <t>TIPO I</t>
        </is>
      </c>
      <c r="V200" t="inlineStr">
        <is>
          <t>TERRESTRE</t>
        </is>
      </c>
      <c r="W200" t="inlineStr">
        <is>
          <t>PAREJA ECHAVARRIA JHON DAVID</t>
        </is>
      </c>
      <c r="X200" t="inlineStr">
        <is>
          <t>Si</t>
        </is>
      </c>
      <c r="Y200" t="inlineStr">
        <is>
          <t>Si</t>
        </is>
      </c>
      <c r="Z200" s="45" t="n">
        <v>0</v>
      </c>
      <c r="AA200" t="inlineStr">
        <is>
          <t>0</t>
        </is>
      </c>
      <c r="AB200" s="45" t="n">
        <v>194983</v>
      </c>
      <c r="AC200" s="45" t="n">
        <v>0</v>
      </c>
    </row>
    <row r="201">
      <c r="A201" t="inlineStr">
        <is>
          <t>MEDELLIN</t>
        </is>
      </c>
      <c r="B201" t="inlineStr">
        <is>
          <t>NOROCCIDENTE</t>
        </is>
      </c>
      <c r="C201" t="inlineStr">
        <is>
          <t>0004-0005</t>
        </is>
      </c>
      <c r="D201" t="inlineStr">
        <is>
          <t>5088</t>
        </is>
      </c>
      <c r="E201" t="inlineStr">
        <is>
          <t>TA-25-930974</t>
        </is>
      </c>
      <c r="F201" t="inlineStr">
        <is>
          <t>3007080853</t>
        </is>
      </c>
      <c r="G201" t="inlineStr">
        <is>
          <t>APERTURA</t>
        </is>
      </c>
      <c r="H201" t="inlineStr">
        <is>
          <t>CB CRECIMIENTO ALIANZA - NUEVO</t>
        </is>
      </c>
      <c r="I201" t="inlineStr">
        <is>
          <t>ANTIOQUIA</t>
        </is>
      </c>
      <c r="J201" t="inlineStr">
        <is>
          <t>BELLO</t>
        </is>
      </c>
      <c r="K201" t="inlineStr">
        <is>
          <t>PTM BELLO CRIPTOFUA</t>
        </is>
      </c>
      <c r="L201" t="inlineStr">
        <is>
          <t>BANCOLOMBIA</t>
        </is>
      </c>
      <c r="M201" t="inlineStr">
        <is>
          <t>FO-25-1338756</t>
        </is>
      </c>
      <c r="N201" s="46" t="n">
        <v>45875.66458333333</v>
      </c>
      <c r="O201" s="46" t="n">
        <v>45879.64097222222</v>
      </c>
      <c r="P201" t="inlineStr">
        <is>
          <t>AGREGADOR</t>
        </is>
      </c>
      <c r="Q201" t="inlineStr">
        <is>
          <t>COMCARD - PTM</t>
        </is>
      </c>
      <c r="R201" t="inlineStr">
        <is>
          <t>EJECUTADO</t>
        </is>
      </c>
      <c r="S201" t="inlineStr">
        <is>
          <t>VISITA TECNICA</t>
        </is>
      </c>
      <c r="T201" t="inlineStr">
        <is>
          <t>FGZZZ996-F9ZZZ978</t>
        </is>
      </c>
      <c r="U201" t="inlineStr">
        <is>
          <t>TIPO I</t>
        </is>
      </c>
      <c r="V201" t="inlineStr">
        <is>
          <t>TERRESTRE</t>
        </is>
      </c>
      <c r="W201" t="inlineStr">
        <is>
          <t>BADEL ACUÑA LUIS ALBERTO</t>
        </is>
      </c>
      <c r="X201" t="inlineStr">
        <is>
          <t>Si</t>
        </is>
      </c>
      <c r="Y201" t="inlineStr">
        <is>
          <t>Si</t>
        </is>
      </c>
      <c r="Z201" s="45" t="n">
        <v>0</v>
      </c>
      <c r="AA201" t="inlineStr">
        <is>
          <t>0</t>
        </is>
      </c>
      <c r="AB201" s="45" t="n">
        <v>194983</v>
      </c>
      <c r="AC201" s="45" t="n">
        <v>0</v>
      </c>
    </row>
    <row r="202">
      <c r="A202" t="inlineStr">
        <is>
          <t>MEDELLIN</t>
        </is>
      </c>
      <c r="B202" t="inlineStr">
        <is>
          <t>NOROCCIDENTE</t>
        </is>
      </c>
      <c r="C202" t="inlineStr">
        <is>
          <t>0004-0005</t>
        </is>
      </c>
      <c r="D202" t="inlineStr">
        <is>
          <t>5088</t>
        </is>
      </c>
      <c r="E202" t="inlineStr">
        <is>
          <t>TA-25-930975</t>
        </is>
      </c>
      <c r="F202" t="inlineStr">
        <is>
          <t>3007080854</t>
        </is>
      </c>
      <c r="G202" t="inlineStr">
        <is>
          <t>APERTURA</t>
        </is>
      </c>
      <c r="H202" t="inlineStr">
        <is>
          <t>CB CRECIMIENTO ALIANZA - NUEVO</t>
        </is>
      </c>
      <c r="I202" t="inlineStr">
        <is>
          <t>ANTIOQUIA</t>
        </is>
      </c>
      <c r="J202" t="inlineStr">
        <is>
          <t>BELLO</t>
        </is>
      </c>
      <c r="K202" t="inlineStr">
        <is>
          <t>PTM BELLO UNIVERSO CONSTRUCTOR</t>
        </is>
      </c>
      <c r="L202" t="inlineStr">
        <is>
          <t>BANCOLOMBIA</t>
        </is>
      </c>
      <c r="M202" t="inlineStr">
        <is>
          <t>FO-25-1338762</t>
        </is>
      </c>
      <c r="N202" s="46" t="n">
        <v>45875.66458333333</v>
      </c>
      <c r="O202" s="46" t="n">
        <v>45877.6625</v>
      </c>
      <c r="P202" t="inlineStr">
        <is>
          <t>AGREGADOR</t>
        </is>
      </c>
      <c r="Q202" t="inlineStr">
        <is>
          <t>COMCARD - PTM</t>
        </is>
      </c>
      <c r="R202" t="inlineStr">
        <is>
          <t>EJECUTADO</t>
        </is>
      </c>
      <c r="S202" t="inlineStr">
        <is>
          <t>VISITA TECNICA</t>
        </is>
      </c>
      <c r="T202" t="inlineStr">
        <is>
          <t>FGZZZ997-F9ZZZ979</t>
        </is>
      </c>
      <c r="U202" t="inlineStr">
        <is>
          <t>TIPO I</t>
        </is>
      </c>
      <c r="V202" t="inlineStr">
        <is>
          <t>TERRESTRE</t>
        </is>
      </c>
      <c r="W202" t="inlineStr">
        <is>
          <t>BADEL ACUÑA LUIS ALBERTO</t>
        </is>
      </c>
      <c r="X202" t="inlineStr">
        <is>
          <t>Si</t>
        </is>
      </c>
      <c r="Y202" t="inlineStr">
        <is>
          <t>Si</t>
        </is>
      </c>
      <c r="Z202" s="45" t="n">
        <v>0</v>
      </c>
      <c r="AA202" t="inlineStr">
        <is>
          <t>0</t>
        </is>
      </c>
      <c r="AB202" s="45" t="n">
        <v>194983</v>
      </c>
      <c r="AC202" s="45" t="n">
        <v>0</v>
      </c>
    </row>
    <row r="203">
      <c r="A203" t="inlineStr">
        <is>
          <t>MEDELLIN</t>
        </is>
      </c>
      <c r="B203" t="inlineStr">
        <is>
          <t>NOROCCIDENTE</t>
        </is>
      </c>
      <c r="C203" t="inlineStr">
        <is>
          <t>0004-0005</t>
        </is>
      </c>
      <c r="D203" t="inlineStr">
        <is>
          <t>5113</t>
        </is>
      </c>
      <c r="E203" t="inlineStr">
        <is>
          <t>TA-25-930976</t>
        </is>
      </c>
      <c r="F203" t="inlineStr">
        <is>
          <t>3007080848</t>
        </is>
      </c>
      <c r="G203" t="inlineStr">
        <is>
          <t>APERTURA</t>
        </is>
      </c>
      <c r="H203" t="inlineStr">
        <is>
          <t>CB CRECIMIENTO ALIANZA - NUEVO</t>
        </is>
      </c>
      <c r="I203" t="inlineStr">
        <is>
          <t>ANTIOQUIA</t>
        </is>
      </c>
      <c r="J203" t="inlineStr">
        <is>
          <t>BURITICA</t>
        </is>
      </c>
      <c r="K203" t="inlineStr">
        <is>
          <t>PTM BURITICA VARIEDADES EL CAR</t>
        </is>
      </c>
      <c r="L203" t="inlineStr">
        <is>
          <t>BANCOLOMBIA</t>
        </is>
      </c>
      <c r="M203" t="inlineStr">
        <is>
          <t>FO-25-1338770</t>
        </is>
      </c>
      <c r="N203" s="46" t="n">
        <v>45875.66458333333</v>
      </c>
      <c r="O203" s="46" t="n">
        <v>45879.61666666667</v>
      </c>
      <c r="P203" t="inlineStr">
        <is>
          <t>AGREGADOR</t>
        </is>
      </c>
      <c r="Q203" t="inlineStr">
        <is>
          <t>COMCARD - PTM</t>
        </is>
      </c>
      <c r="R203" t="inlineStr">
        <is>
          <t>EJECUTADO</t>
        </is>
      </c>
      <c r="S203" t="inlineStr">
        <is>
          <t>VISITA TECNICA</t>
        </is>
      </c>
      <c r="T203" t="inlineStr">
        <is>
          <t>FGZZZ998</t>
        </is>
      </c>
      <c r="U203" t="inlineStr">
        <is>
          <t>TIPO IV</t>
        </is>
      </c>
      <c r="V203" t="inlineStr">
        <is>
          <t>TERRESTRE</t>
        </is>
      </c>
      <c r="W203" t="inlineStr">
        <is>
          <t>MARTINEZ TOVAR OSCAR DAVID</t>
        </is>
      </c>
      <c r="X203" t="inlineStr">
        <is>
          <t>Si</t>
        </is>
      </c>
      <c r="Y203" t="inlineStr">
        <is>
          <t>Si</t>
        </is>
      </c>
      <c r="Z203" s="45" t="n">
        <v>0</v>
      </c>
      <c r="AA203" t="inlineStr">
        <is>
          <t>0</t>
        </is>
      </c>
      <c r="AB203" s="45" t="n">
        <v>248376</v>
      </c>
      <c r="AC203" s="45" t="n">
        <v>0</v>
      </c>
    </row>
    <row r="204">
      <c r="A204" t="inlineStr">
        <is>
          <t>MEDELLIN</t>
        </is>
      </c>
      <c r="B204" t="inlineStr">
        <is>
          <t>NOROCCIDENTE</t>
        </is>
      </c>
      <c r="C204" t="inlineStr">
        <is>
          <t>0004-0005</t>
        </is>
      </c>
      <c r="D204" t="inlineStr">
        <is>
          <t>5120</t>
        </is>
      </c>
      <c r="E204" t="inlineStr">
        <is>
          <t>TA-25-930977</t>
        </is>
      </c>
      <c r="F204" t="inlineStr">
        <is>
          <t>3007080849</t>
        </is>
      </c>
      <c r="G204" t="inlineStr">
        <is>
          <t>APERTURA</t>
        </is>
      </c>
      <c r="H204" t="inlineStr">
        <is>
          <t>CB CRECIMIENTO ALIANZA - NUEVO</t>
        </is>
      </c>
      <c r="I204" t="inlineStr">
        <is>
          <t>ANTIOQUIA</t>
        </is>
      </c>
      <c r="J204" t="inlineStr">
        <is>
          <t>CACERES</t>
        </is>
      </c>
      <c r="K204" t="inlineStr">
        <is>
          <t>PTM CACERES DROGUERIA GALENO Y</t>
        </is>
      </c>
      <c r="L204" t="inlineStr">
        <is>
          <t>BANCOLOMBIA</t>
        </is>
      </c>
      <c r="M204" t="inlineStr">
        <is>
          <t>FO-25-1338778</t>
        </is>
      </c>
      <c r="N204" s="46" t="n">
        <v>45875.42569444444</v>
      </c>
      <c r="O204" s="46" t="n">
        <v>45881.59097222222</v>
      </c>
      <c r="P204" t="inlineStr">
        <is>
          <t>AGREGADOR</t>
        </is>
      </c>
      <c r="Q204" t="inlineStr">
        <is>
          <t>COMCARD - PTM</t>
        </is>
      </c>
      <c r="R204" t="inlineStr">
        <is>
          <t>EJECUTADO</t>
        </is>
      </c>
      <c r="S204" t="inlineStr">
        <is>
          <t>VISITA TECNICA</t>
        </is>
      </c>
      <c r="T204" t="inlineStr">
        <is>
          <t>FGZZZ999-F9ZZZ980</t>
        </is>
      </c>
      <c r="U204" t="inlineStr">
        <is>
          <t>TIPO IV</t>
        </is>
      </c>
      <c r="V204" t="inlineStr">
        <is>
          <t>TERRESTRE</t>
        </is>
      </c>
      <c r="W204" t="inlineStr">
        <is>
          <t>BADEL ACUÑA LUIS ALBERTO</t>
        </is>
      </c>
      <c r="X204" t="inlineStr">
        <is>
          <t>Si</t>
        </is>
      </c>
      <c r="Y204" t="inlineStr">
        <is>
          <t>Si</t>
        </is>
      </c>
      <c r="Z204" s="45" t="n">
        <v>0</v>
      </c>
      <c r="AA204" t="inlineStr">
        <is>
          <t>0</t>
        </is>
      </c>
      <c r="AB204" s="45" t="n">
        <v>248376</v>
      </c>
      <c r="AC204" s="45" t="n">
        <v>0</v>
      </c>
    </row>
    <row r="205">
      <c r="A205" t="inlineStr">
        <is>
          <t>MONTERIA</t>
        </is>
      </c>
      <c r="B205" t="inlineStr">
        <is>
          <t>COSTA</t>
        </is>
      </c>
      <c r="C205" t="inlineStr">
        <is>
          <t>0004-0001</t>
        </is>
      </c>
      <c r="D205" t="inlineStr">
        <is>
          <t>5154</t>
        </is>
      </c>
      <c r="E205" t="inlineStr">
        <is>
          <t>TA-25-930978</t>
        </is>
      </c>
      <c r="F205" t="inlineStr">
        <is>
          <t>3007080840</t>
        </is>
      </c>
      <c r="G205" t="inlineStr">
        <is>
          <t>APERTURA</t>
        </is>
      </c>
      <c r="H205" t="inlineStr">
        <is>
          <t>CB CRECIMIENTO ALIANZA - NUEVO</t>
        </is>
      </c>
      <c r="I205" t="inlineStr">
        <is>
          <t>ANTIOQUIA</t>
        </is>
      </c>
      <c r="J205" t="inlineStr">
        <is>
          <t>CAUCASIA</t>
        </is>
      </c>
      <c r="K205" t="inlineStr">
        <is>
          <t>PTM CAUCASIA VARIEDADES LERS</t>
        </is>
      </c>
      <c r="L205" t="inlineStr">
        <is>
          <t>BANCOLOMBIA</t>
        </is>
      </c>
      <c r="M205" t="inlineStr">
        <is>
          <t>FO-25-1338785</t>
        </is>
      </c>
      <c r="N205" s="46" t="n">
        <v>45875.59236111111</v>
      </c>
      <c r="O205" s="46" t="n">
        <v>45879.62916666667</v>
      </c>
      <c r="P205" t="inlineStr">
        <is>
          <t>AGREGADOR</t>
        </is>
      </c>
      <c r="Q205" t="inlineStr">
        <is>
          <t>COMCARD - PTM</t>
        </is>
      </c>
      <c r="R205" t="inlineStr">
        <is>
          <t>EJECUTADO</t>
        </is>
      </c>
      <c r="S205" t="inlineStr">
        <is>
          <t>VISITA TECNICA</t>
        </is>
      </c>
      <c r="T205" t="inlineStr">
        <is>
          <t>FHZZZ000 - FHZZZ465</t>
        </is>
      </c>
      <c r="U205" t="inlineStr">
        <is>
          <t>TIPO II</t>
        </is>
      </c>
      <c r="V205" t="inlineStr">
        <is>
          <t>TERRESTRE</t>
        </is>
      </c>
      <c r="W205" t="inlineStr">
        <is>
          <t>CASSIANI PEREZ RAUL RAMIRO</t>
        </is>
      </c>
      <c r="X205" t="inlineStr">
        <is>
          <t>Si</t>
        </is>
      </c>
      <c r="Y205" t="inlineStr">
        <is>
          <t>Si</t>
        </is>
      </c>
      <c r="Z205" s="45" t="n">
        <v>0</v>
      </c>
      <c r="AA205" t="inlineStr">
        <is>
          <t>0</t>
        </is>
      </c>
      <c r="AB205" s="45" t="n">
        <v>248376</v>
      </c>
      <c r="AC205" s="45" t="n">
        <v>0</v>
      </c>
    </row>
    <row r="206">
      <c r="A206" t="inlineStr">
        <is>
          <t>MEDELLIN</t>
        </is>
      </c>
      <c r="B206" t="inlineStr">
        <is>
          <t>NOROCCIDENTE</t>
        </is>
      </c>
      <c r="C206" t="inlineStr">
        <is>
          <t>0004-0005</t>
        </is>
      </c>
      <c r="D206" t="inlineStr">
        <is>
          <t>5440</t>
        </is>
      </c>
      <c r="E206" t="inlineStr">
        <is>
          <t>TA-25-930980</t>
        </is>
      </c>
      <c r="F206" t="inlineStr">
        <is>
          <t>3007080855</t>
        </is>
      </c>
      <c r="G206" t="inlineStr">
        <is>
          <t>APERTURA</t>
        </is>
      </c>
      <c r="H206" t="inlineStr">
        <is>
          <t>CB CRECIMIENTO ALIANZA - NUEVO</t>
        </is>
      </c>
      <c r="I206" t="inlineStr">
        <is>
          <t>ANTIOQUIA</t>
        </is>
      </c>
      <c r="J206" t="inlineStr">
        <is>
          <t>MARINILLA</t>
        </is>
      </c>
      <c r="K206" t="inlineStr">
        <is>
          <t>PTM MARINILLA PAPELERIA Y VARI</t>
        </is>
      </c>
      <c r="L206" t="inlineStr">
        <is>
          <t>BANCOLOMBIA</t>
        </is>
      </c>
      <c r="M206" t="inlineStr">
        <is>
          <t>FO-25-1338794</t>
        </is>
      </c>
      <c r="N206" s="46" t="n">
        <v>45875.66458333333</v>
      </c>
      <c r="O206" s="46" t="n">
        <v>45877.67569444444</v>
      </c>
      <c r="P206" t="inlineStr">
        <is>
          <t>AGREGADOR</t>
        </is>
      </c>
      <c r="Q206" t="inlineStr">
        <is>
          <t>COMCARD - PTM</t>
        </is>
      </c>
      <c r="R206" t="inlineStr">
        <is>
          <t>EJECUTADO</t>
        </is>
      </c>
      <c r="S206" t="inlineStr">
        <is>
          <t>VISITA TECNICA</t>
        </is>
      </c>
      <c r="T206" t="inlineStr">
        <is>
          <t>FHZZZ001-A104Z922</t>
        </is>
      </c>
      <c r="U206" t="inlineStr">
        <is>
          <t>TIPO II</t>
        </is>
      </c>
      <c r="V206" t="inlineStr">
        <is>
          <t>TERRESTRE</t>
        </is>
      </c>
      <c r="W206" t="inlineStr">
        <is>
          <t>DIAZ ZABALA FRANCIS DUBAN</t>
        </is>
      </c>
      <c r="X206" t="inlineStr">
        <is>
          <t>Si</t>
        </is>
      </c>
      <c r="Y206" t="inlineStr">
        <is>
          <t>Si</t>
        </is>
      </c>
      <c r="Z206" s="45" t="n">
        <v>0</v>
      </c>
      <c r="AA206" t="inlineStr">
        <is>
          <t>0</t>
        </is>
      </c>
      <c r="AB206" s="45" t="n">
        <v>248376</v>
      </c>
      <c r="AC206" s="45" t="n">
        <v>0</v>
      </c>
    </row>
    <row r="207">
      <c r="A207" t="inlineStr">
        <is>
          <t>APARTADO</t>
        </is>
      </c>
      <c r="B207" t="inlineStr">
        <is>
          <t>NOROCCIDENTE</t>
        </is>
      </c>
      <c r="C207" t="inlineStr">
        <is>
          <t>0004-0005</t>
        </is>
      </c>
      <c r="D207" t="inlineStr">
        <is>
          <t>5837</t>
        </is>
      </c>
      <c r="E207" t="inlineStr">
        <is>
          <t>TA-25-930983</t>
        </is>
      </c>
      <c r="F207" t="inlineStr">
        <is>
          <t>3007080844</t>
        </is>
      </c>
      <c r="G207" t="inlineStr">
        <is>
          <t>APERTURA</t>
        </is>
      </c>
      <c r="H207" t="inlineStr">
        <is>
          <t>CB CRECIMIENTO ALIANZA - NUEVO</t>
        </is>
      </c>
      <c r="I207" t="inlineStr">
        <is>
          <t>ANTIOQUIA</t>
        </is>
      </c>
      <c r="J207" t="inlineStr">
        <is>
          <t>TURBO</t>
        </is>
      </c>
      <c r="K207" t="inlineStr">
        <is>
          <t>PTM TURBO MICELANIA Y PAPELERI</t>
        </is>
      </c>
      <c r="L207" t="inlineStr">
        <is>
          <t>BANCOLOMBIA</t>
        </is>
      </c>
      <c r="M207" t="inlineStr">
        <is>
          <t>FO-25-1338808</t>
        </is>
      </c>
      <c r="N207" s="46" t="n">
        <v>45875.66527777778</v>
      </c>
      <c r="O207" s="46" t="n">
        <v>45881.59375</v>
      </c>
      <c r="P207" t="inlineStr">
        <is>
          <t>AGREGADOR</t>
        </is>
      </c>
      <c r="Q207" t="inlineStr">
        <is>
          <t>COMCARD - PTM</t>
        </is>
      </c>
      <c r="R207" t="inlineStr">
        <is>
          <t>EJECUTADO</t>
        </is>
      </c>
      <c r="S207" t="inlineStr">
        <is>
          <t>VISITA TECNICA</t>
        </is>
      </c>
      <c r="T207" t="inlineStr">
        <is>
          <t>FHZZZ003-II0BZ500</t>
        </is>
      </c>
      <c r="U207" t="inlineStr">
        <is>
          <t>TIPO II</t>
        </is>
      </c>
      <c r="V207" t="inlineStr">
        <is>
          <t>TERRESTRE</t>
        </is>
      </c>
      <c r="W207" t="inlineStr">
        <is>
          <t>SALDARRIAGA MIRANDA SANTIAGO</t>
        </is>
      </c>
      <c r="X207" t="inlineStr">
        <is>
          <t>Si</t>
        </is>
      </c>
      <c r="Y207" t="inlineStr">
        <is>
          <t>Si</t>
        </is>
      </c>
      <c r="Z207" s="45" t="n">
        <v>0</v>
      </c>
      <c r="AA207" t="inlineStr">
        <is>
          <t>0</t>
        </is>
      </c>
      <c r="AB207" s="45" t="n">
        <v>248376</v>
      </c>
      <c r="AC207" s="45" t="n">
        <v>0</v>
      </c>
    </row>
    <row r="208">
      <c r="A208" t="inlineStr">
        <is>
          <t>APARTADO</t>
        </is>
      </c>
      <c r="B208" t="inlineStr">
        <is>
          <t>NOROCCIDENTE</t>
        </is>
      </c>
      <c r="C208" t="inlineStr">
        <is>
          <t>0004-0005</t>
        </is>
      </c>
      <c r="D208" t="inlineStr">
        <is>
          <t>5837</t>
        </is>
      </c>
      <c r="E208" t="inlineStr">
        <is>
          <t>TA-25-930985</t>
        </is>
      </c>
      <c r="F208" t="inlineStr">
        <is>
          <t>3007080845</t>
        </is>
      </c>
      <c r="G208" t="inlineStr">
        <is>
          <t>APERTURA</t>
        </is>
      </c>
      <c r="H208" t="inlineStr">
        <is>
          <t>CB CRECIMIENTO ALIANZA - NUEVO</t>
        </is>
      </c>
      <c r="I208" t="inlineStr">
        <is>
          <t>ANTIOQUIA</t>
        </is>
      </c>
      <c r="J208" t="inlineStr">
        <is>
          <t>TURBO</t>
        </is>
      </c>
      <c r="K208" t="inlineStr">
        <is>
          <t>PTM TURBO SERVIDOGAS FLOREZ</t>
        </is>
      </c>
      <c r="L208" t="inlineStr">
        <is>
          <t>BANCOLOMBIA</t>
        </is>
      </c>
      <c r="M208" t="inlineStr">
        <is>
          <t>FO-25-1338816</t>
        </is>
      </c>
      <c r="N208" s="46" t="n">
        <v>45875.42638888889</v>
      </c>
      <c r="O208" s="46" t="n">
        <v>45883.25902777778</v>
      </c>
      <c r="P208" t="inlineStr">
        <is>
          <t>AGREGADOR</t>
        </is>
      </c>
      <c r="Q208" t="inlineStr">
        <is>
          <t>COMCARD - PTM</t>
        </is>
      </c>
      <c r="R208" t="inlineStr">
        <is>
          <t>EJECUTADO</t>
        </is>
      </c>
      <c r="S208" t="inlineStr">
        <is>
          <t>VISITA TECNICA</t>
        </is>
      </c>
      <c r="T208" t="inlineStr">
        <is>
          <t>FHZZZ004-II0BZ502</t>
        </is>
      </c>
      <c r="U208" t="inlineStr">
        <is>
          <t>TIPO II</t>
        </is>
      </c>
      <c r="V208" t="inlineStr">
        <is>
          <t>TERRESTRE</t>
        </is>
      </c>
      <c r="W208" t="inlineStr">
        <is>
          <t>SALDARRIAGA MIRANDA SANTIAGO</t>
        </is>
      </c>
      <c r="X208" t="inlineStr">
        <is>
          <t>Si</t>
        </is>
      </c>
      <c r="Y208" t="inlineStr">
        <is>
          <t>Si</t>
        </is>
      </c>
      <c r="Z208" s="45" t="n">
        <v>0</v>
      </c>
      <c r="AA208" t="inlineStr">
        <is>
          <t>0</t>
        </is>
      </c>
      <c r="AB208" s="45" t="n">
        <v>248376</v>
      </c>
      <c r="AC208" s="45" t="n">
        <v>0</v>
      </c>
    </row>
    <row r="209">
      <c r="A209" t="inlineStr">
        <is>
          <t>BARRANQUILLA</t>
        </is>
      </c>
      <c r="B209" t="inlineStr">
        <is>
          <t>COSTA</t>
        </is>
      </c>
      <c r="C209" t="inlineStr">
        <is>
          <t>0004-0001</t>
        </is>
      </c>
      <c r="D209" t="inlineStr">
        <is>
          <t>8001</t>
        </is>
      </c>
      <c r="E209" t="inlineStr">
        <is>
          <t>TA-25-930986</t>
        </is>
      </c>
      <c r="F209" t="inlineStr">
        <is>
          <t>3007080826</t>
        </is>
      </c>
      <c r="G209" t="inlineStr">
        <is>
          <t>APERTURA</t>
        </is>
      </c>
      <c r="H209" t="inlineStr">
        <is>
          <t>CB CRECIMIENTO ALIANZA - NUEVO</t>
        </is>
      </c>
      <c r="I209" t="inlineStr">
        <is>
          <t>ATLANTICO</t>
        </is>
      </c>
      <c r="J209" t="inlineStr">
        <is>
          <t>BARRANQUILLA</t>
        </is>
      </c>
      <c r="K209" t="inlineStr">
        <is>
          <t>PTM BARRANQUILLA VARIEDADES Y</t>
        </is>
      </c>
      <c r="L209" t="inlineStr">
        <is>
          <t>BANCOLOMBIA</t>
        </is>
      </c>
      <c r="M209" t="inlineStr">
        <is>
          <t>FO-25-1338823</t>
        </is>
      </c>
      <c r="N209" s="46" t="n">
        <v>45875.59722222222</v>
      </c>
      <c r="O209" s="46" t="n">
        <v>45880.66875</v>
      </c>
      <c r="P209" t="inlineStr">
        <is>
          <t>AGREGADOR</t>
        </is>
      </c>
      <c r="Q209" t="inlineStr">
        <is>
          <t>COMCARD - PTM</t>
        </is>
      </c>
      <c r="R209" t="inlineStr">
        <is>
          <t>EJECUTADO</t>
        </is>
      </c>
      <c r="S209" t="inlineStr">
        <is>
          <t>VISITA TECNICA</t>
        </is>
      </c>
      <c r="T209" t="inlineStr">
        <is>
          <t>FHZZZ005- F9ZZZ992</t>
        </is>
      </c>
      <c r="U209" t="inlineStr">
        <is>
          <t>TIPO I</t>
        </is>
      </c>
      <c r="V209" t="inlineStr">
        <is>
          <t>TERRESTRE</t>
        </is>
      </c>
      <c r="W209" t="inlineStr">
        <is>
          <t>DE AVILA SIADES ALBERTO ENRIQUE</t>
        </is>
      </c>
      <c r="X209" t="inlineStr">
        <is>
          <t>Si</t>
        </is>
      </c>
      <c r="Y209" t="inlineStr">
        <is>
          <t>Si</t>
        </is>
      </c>
      <c r="Z209" s="45" t="n">
        <v>0</v>
      </c>
      <c r="AA209" t="inlineStr">
        <is>
          <t>0</t>
        </is>
      </c>
      <c r="AB209" s="45" t="n">
        <v>194983</v>
      </c>
      <c r="AC209" s="45" t="n">
        <v>0</v>
      </c>
    </row>
    <row r="210">
      <c r="A210" t="inlineStr">
        <is>
          <t>CARTAGENA</t>
        </is>
      </c>
      <c r="B210" t="inlineStr">
        <is>
          <t>COSTA</t>
        </is>
      </c>
      <c r="C210" t="inlineStr">
        <is>
          <t>0004-0001</t>
        </is>
      </c>
      <c r="D210" t="inlineStr">
        <is>
          <t>13001</t>
        </is>
      </c>
      <c r="E210" t="inlineStr">
        <is>
          <t>TA-25-930991</t>
        </is>
      </c>
      <c r="F210" t="inlineStr">
        <is>
          <t>3007080839</t>
        </is>
      </c>
      <c r="G210" t="inlineStr">
        <is>
          <t>APERTURA</t>
        </is>
      </c>
      <c r="H210" t="inlineStr">
        <is>
          <t>CB CRECIMIENTO ALIANZA - NUEVO</t>
        </is>
      </c>
      <c r="I210" t="inlineStr">
        <is>
          <t>BOLIVAR</t>
        </is>
      </c>
      <c r="J210" t="inlineStr">
        <is>
          <t>CARTAGENA</t>
        </is>
      </c>
      <c r="K210" t="inlineStr">
        <is>
          <t>PTM CARTAGENA DROGUERIA Y FARM</t>
        </is>
      </c>
      <c r="L210" t="inlineStr">
        <is>
          <t>BANCOLOMBIA</t>
        </is>
      </c>
      <c r="M210" t="inlineStr">
        <is>
          <t>FO-25-1338829</t>
        </is>
      </c>
      <c r="N210" s="46" t="n">
        <v>45875.60625</v>
      </c>
      <c r="O210" s="46" t="n">
        <v>45879.62222222222</v>
      </c>
      <c r="P210" t="inlineStr">
        <is>
          <t>AGREGADOR</t>
        </is>
      </c>
      <c r="Q210" t="inlineStr">
        <is>
          <t>COMCARD - PTM</t>
        </is>
      </c>
      <c r="R210" t="inlineStr">
        <is>
          <t>EJECUTADO</t>
        </is>
      </c>
      <c r="S210" t="inlineStr">
        <is>
          <t>VISITA TECNICA</t>
        </is>
      </c>
      <c r="T210" t="inlineStr">
        <is>
          <t>FHZZZ006 -F9ZZZ993</t>
        </is>
      </c>
      <c r="U210" t="inlineStr">
        <is>
          <t>TIPO I</t>
        </is>
      </c>
      <c r="V210" t="inlineStr">
        <is>
          <t>TERRESTRE</t>
        </is>
      </c>
      <c r="W210" t="inlineStr">
        <is>
          <t>CANEDO HERRERA ALEXANDER</t>
        </is>
      </c>
      <c r="X210" t="inlineStr">
        <is>
          <t>Si</t>
        </is>
      </c>
      <c r="Y210" t="inlineStr">
        <is>
          <t>Si</t>
        </is>
      </c>
      <c r="Z210" s="45" t="n">
        <v>0</v>
      </c>
      <c r="AA210" t="inlineStr">
        <is>
          <t>0</t>
        </is>
      </c>
      <c r="AB210" s="45" t="n">
        <v>194983</v>
      </c>
      <c r="AC210" s="45" t="n">
        <v>0</v>
      </c>
    </row>
    <row r="211">
      <c r="A211" t="inlineStr">
        <is>
          <t>PEREIRA</t>
        </is>
      </c>
      <c r="B211" t="inlineStr">
        <is>
          <t>SUROCCIDENTE Y EJE CAFETERO</t>
        </is>
      </c>
      <c r="C211" t="inlineStr">
        <is>
          <t>0004-0002</t>
        </is>
      </c>
      <c r="D211" t="inlineStr">
        <is>
          <t>63190</t>
        </is>
      </c>
      <c r="E211" t="inlineStr">
        <is>
          <t>TA-25-931004</t>
        </is>
      </c>
      <c r="F211" t="inlineStr">
        <is>
          <t>3007080841</t>
        </is>
      </c>
      <c r="G211" t="inlineStr">
        <is>
          <t>APERTURA</t>
        </is>
      </c>
      <c r="H211" t="inlineStr">
        <is>
          <t>CB CRECIMIENTO ALIANZA - NUEVO</t>
        </is>
      </c>
      <c r="I211" t="inlineStr">
        <is>
          <t>QUINDIO</t>
        </is>
      </c>
      <c r="J211" t="inlineStr">
        <is>
          <t>CIRCASIA</t>
        </is>
      </c>
      <c r="K211" t="inlineStr">
        <is>
          <t>PTM CIRCASIA CREDIPLAN VENTA D</t>
        </is>
      </c>
      <c r="L211" t="inlineStr">
        <is>
          <t>BANCOLOMBIA</t>
        </is>
      </c>
      <c r="M211" t="inlineStr">
        <is>
          <t>FO-25-1338842</t>
        </is>
      </c>
      <c r="N211" s="46" t="n">
        <v>45875.43888888889</v>
      </c>
      <c r="O211" s="46" t="n">
        <v>45880.58958333333</v>
      </c>
      <c r="P211" t="inlineStr">
        <is>
          <t>AGREGADOR</t>
        </is>
      </c>
      <c r="Q211" t="inlineStr">
        <is>
          <t>COMCARD - PTM</t>
        </is>
      </c>
      <c r="R211" t="inlineStr">
        <is>
          <t>EJECUTADO</t>
        </is>
      </c>
      <c r="S211" t="inlineStr">
        <is>
          <t>VISITA TECNICA</t>
        </is>
      </c>
      <c r="T211" t="inlineStr">
        <is>
          <t>FHZZZ007</t>
        </is>
      </c>
      <c r="U211" t="inlineStr">
        <is>
          <t>TIPO II</t>
        </is>
      </c>
      <c r="V211" t="inlineStr">
        <is>
          <t>TERRESTRE</t>
        </is>
      </c>
      <c r="W211" t="inlineStr">
        <is>
          <t>SANCHEZ SOLORZANO JUAN SEBASTIAN</t>
        </is>
      </c>
      <c r="X211" t="inlineStr">
        <is>
          <t>Si</t>
        </is>
      </c>
      <c r="Y211" t="inlineStr">
        <is>
          <t>Si</t>
        </is>
      </c>
      <c r="Z211" s="45" t="n">
        <v>0</v>
      </c>
      <c r="AA211" t="inlineStr">
        <is>
          <t>0</t>
        </is>
      </c>
      <c r="AB211" s="45" t="n">
        <v>248376</v>
      </c>
      <c r="AC211" s="45" t="n">
        <v>0</v>
      </c>
    </row>
    <row r="212">
      <c r="A212" t="inlineStr">
        <is>
          <t>PEREIRA</t>
        </is>
      </c>
      <c r="B212" t="inlineStr">
        <is>
          <t>SUROCCIDENTE Y EJE CAFETERO</t>
        </is>
      </c>
      <c r="C212" t="inlineStr">
        <is>
          <t>0004-0002</t>
        </is>
      </c>
      <c r="D212" t="inlineStr">
        <is>
          <t>66001</t>
        </is>
      </c>
      <c r="E212" t="inlineStr">
        <is>
          <t>TA-25-931026</t>
        </is>
      </c>
      <c r="F212" t="inlineStr">
        <is>
          <t>3007080851</t>
        </is>
      </c>
      <c r="G212" t="inlineStr">
        <is>
          <t>APERTURA</t>
        </is>
      </c>
      <c r="H212" t="inlineStr">
        <is>
          <t>CB CRECIMIENTO ALIANZA - NUEVO</t>
        </is>
      </c>
      <c r="I212" t="inlineStr">
        <is>
          <t>RISARALDA</t>
        </is>
      </c>
      <c r="J212" t="inlineStr">
        <is>
          <t>PEREIRA</t>
        </is>
      </c>
      <c r="K212" t="inlineStr">
        <is>
          <t>PTM PEREIRA YOUR NEW LOOK</t>
        </is>
      </c>
      <c r="L212" t="inlineStr">
        <is>
          <t>BANCOLOMBIA</t>
        </is>
      </c>
      <c r="M212" t="inlineStr">
        <is>
          <t>FO-25-1338850</t>
        </is>
      </c>
      <c r="N212" s="46" t="n">
        <v>45875.44513888889</v>
      </c>
      <c r="O212" s="46" t="n">
        <v>45881.29861111111</v>
      </c>
      <c r="P212" t="inlineStr">
        <is>
          <t>AGREGADOR</t>
        </is>
      </c>
      <c r="Q212" t="inlineStr">
        <is>
          <t>COMCARD - PTM</t>
        </is>
      </c>
      <c r="R212" t="inlineStr">
        <is>
          <t>EJECUTADO</t>
        </is>
      </c>
      <c r="S212" t="inlineStr">
        <is>
          <t>VISITA TECNICA</t>
        </is>
      </c>
      <c r="T212" t="inlineStr">
        <is>
          <t>F9ZZZ995-FHZZZ008</t>
        </is>
      </c>
      <c r="U212" t="inlineStr">
        <is>
          <t>TIPO I</t>
        </is>
      </c>
      <c r="V212" t="inlineStr">
        <is>
          <t>TERRESTRE</t>
        </is>
      </c>
      <c r="W212" t="inlineStr">
        <is>
          <t>FRANCO CAÑAVERAL YAMID RAUL</t>
        </is>
      </c>
      <c r="X212" t="inlineStr">
        <is>
          <t>Si</t>
        </is>
      </c>
      <c r="Y212" t="inlineStr">
        <is>
          <t>Si</t>
        </is>
      </c>
      <c r="Z212" s="45" t="n">
        <v>0</v>
      </c>
      <c r="AA212" t="inlineStr">
        <is>
          <t>0</t>
        </is>
      </c>
      <c r="AB212" s="45" t="n">
        <v>194983</v>
      </c>
      <c r="AC212" s="45" t="n">
        <v>0</v>
      </c>
    </row>
    <row r="213">
      <c r="A213" t="inlineStr">
        <is>
          <t>PEREIRA</t>
        </is>
      </c>
      <c r="B213" t="inlineStr">
        <is>
          <t>SUROCCIDENTE Y EJE CAFETERO</t>
        </is>
      </c>
      <c r="C213" t="inlineStr">
        <is>
          <t>0004-0002</t>
        </is>
      </c>
      <c r="D213" t="inlineStr">
        <is>
          <t>66170</t>
        </is>
      </c>
      <c r="E213" t="inlineStr">
        <is>
          <t>TA-25-931034</t>
        </is>
      </c>
      <c r="F213" t="inlineStr">
        <is>
          <t>3007080843</t>
        </is>
      </c>
      <c r="G213" t="inlineStr">
        <is>
          <t>APERTURA</t>
        </is>
      </c>
      <c r="H213" t="inlineStr">
        <is>
          <t>CB CRECIMIENTO ALIANZA - NUEVO</t>
        </is>
      </c>
      <c r="I213" t="inlineStr">
        <is>
          <t>RISARALDA</t>
        </is>
      </c>
      <c r="J213" t="inlineStr">
        <is>
          <t>DOSQUEBRADAS</t>
        </is>
      </c>
      <c r="K213" t="inlineStr">
        <is>
          <t>PTM DOSQUEBRADAS APOTEOSICA PE</t>
        </is>
      </c>
      <c r="L213" t="inlineStr">
        <is>
          <t>BANCOLOMBIA</t>
        </is>
      </c>
      <c r="M213" t="inlineStr">
        <is>
          <t>FO-25-1338859</t>
        </is>
      </c>
      <c r="N213" s="46" t="n">
        <v>45875.44513888889</v>
      </c>
      <c r="O213" s="46" t="n">
        <v>45880.58194444444</v>
      </c>
      <c r="P213" t="inlineStr">
        <is>
          <t>AGREGADOR</t>
        </is>
      </c>
      <c r="Q213" t="inlineStr">
        <is>
          <t>COMCARD - PTM</t>
        </is>
      </c>
      <c r="R213" t="inlineStr">
        <is>
          <t>EJECUTADO</t>
        </is>
      </c>
      <c r="S213" t="inlineStr">
        <is>
          <t>VISITA TECNICA</t>
        </is>
      </c>
      <c r="T213" t="inlineStr">
        <is>
          <t>F9ZZZ996-FHZZZ009</t>
        </is>
      </c>
      <c r="U213" t="inlineStr">
        <is>
          <t>TIPO I</t>
        </is>
      </c>
      <c r="V213" t="inlineStr">
        <is>
          <t>TERRESTRE</t>
        </is>
      </c>
      <c r="W213" t="inlineStr">
        <is>
          <t>FRANCO CAÑAVERAL YAMID RAUL</t>
        </is>
      </c>
      <c r="X213" t="inlineStr">
        <is>
          <t>Si</t>
        </is>
      </c>
      <c r="Y213" t="inlineStr">
        <is>
          <t>Si</t>
        </is>
      </c>
      <c r="Z213" s="45" t="n">
        <v>0</v>
      </c>
      <c r="AA213" t="inlineStr">
        <is>
          <t>0</t>
        </is>
      </c>
      <c r="AB213" s="45" t="n">
        <v>194983</v>
      </c>
      <c r="AC213" s="45" t="n">
        <v>0</v>
      </c>
    </row>
    <row r="214">
      <c r="A214" t="inlineStr">
        <is>
          <t>BUCARAMANGA</t>
        </is>
      </c>
      <c r="B214" t="inlineStr">
        <is>
          <t>SANTANDERES</t>
        </is>
      </c>
      <c r="C214" t="inlineStr">
        <is>
          <t>0004-0008</t>
        </is>
      </c>
      <c r="D214" t="inlineStr">
        <is>
          <t>68001</t>
        </is>
      </c>
      <c r="E214" t="inlineStr">
        <is>
          <t>TA-25-931044</t>
        </is>
      </c>
      <c r="F214" t="inlineStr">
        <is>
          <t>3007080833</t>
        </is>
      </c>
      <c r="G214" t="inlineStr">
        <is>
          <t>APERTURA</t>
        </is>
      </c>
      <c r="H214" t="inlineStr">
        <is>
          <t>CB CRECIMIENTO ALIANZA - NUEVO</t>
        </is>
      </c>
      <c r="I214" t="inlineStr">
        <is>
          <t>SANTANDER</t>
        </is>
      </c>
      <c r="J214" t="inlineStr">
        <is>
          <t>BUCARAMANGA</t>
        </is>
      </c>
      <c r="K214" t="inlineStr">
        <is>
          <t>PTM BUCARAMANGA TIENDA NINO MA</t>
        </is>
      </c>
      <c r="L214" t="inlineStr">
        <is>
          <t>BANCOLOMBIA</t>
        </is>
      </c>
      <c r="M214" t="inlineStr">
        <is>
          <t>FO-25-1338872</t>
        </is>
      </c>
      <c r="N214" s="46" t="n">
        <v>45875.6125</v>
      </c>
      <c r="O214" s="46" t="n">
        <v>45879.63680555556</v>
      </c>
      <c r="P214" t="inlineStr">
        <is>
          <t>AGREGADOR</t>
        </is>
      </c>
      <c r="Q214" t="inlineStr">
        <is>
          <t>COMCARD - PTM</t>
        </is>
      </c>
      <c r="R214" t="inlineStr">
        <is>
          <t>EJECUTADO</t>
        </is>
      </c>
      <c r="S214" t="inlineStr">
        <is>
          <t>VISITA TECNICA</t>
        </is>
      </c>
      <c r="T214" t="inlineStr">
        <is>
          <t>FHZZZ010 - F9ZZZ997</t>
        </is>
      </c>
      <c r="U214" t="inlineStr">
        <is>
          <t>TIPO I</t>
        </is>
      </c>
      <c r="V214" t="inlineStr">
        <is>
          <t>TERRESTRE</t>
        </is>
      </c>
      <c r="W214" t="inlineStr">
        <is>
          <t>GELVEZ MOGOLLON JOSE ELISEO</t>
        </is>
      </c>
      <c r="X214" t="inlineStr">
        <is>
          <t>Si</t>
        </is>
      </c>
      <c r="Y214" t="inlineStr">
        <is>
          <t>Si</t>
        </is>
      </c>
      <c r="Z214" s="45" t="n">
        <v>0</v>
      </c>
      <c r="AA214" t="inlineStr">
        <is>
          <t>0</t>
        </is>
      </c>
      <c r="AB214" s="45" t="n">
        <v>194983</v>
      </c>
      <c r="AC214" s="45" t="n">
        <v>0</v>
      </c>
    </row>
    <row r="215">
      <c r="A215" t="inlineStr">
        <is>
          <t>BUCARAMANGA</t>
        </is>
      </c>
      <c r="B215" t="inlineStr">
        <is>
          <t>SANTANDERES</t>
        </is>
      </c>
      <c r="C215" t="inlineStr">
        <is>
          <t>0004-0008</t>
        </is>
      </c>
      <c r="D215" t="inlineStr">
        <is>
          <t>68001</t>
        </is>
      </c>
      <c r="E215" t="inlineStr">
        <is>
          <t>TA-25-931065</t>
        </is>
      </c>
      <c r="F215" t="inlineStr">
        <is>
          <t>3007080834</t>
        </is>
      </c>
      <c r="G215" t="inlineStr">
        <is>
          <t>APERTURA</t>
        </is>
      </c>
      <c r="H215" t="inlineStr">
        <is>
          <t>CB CRECIMIENTO ALIANZA - NUEVO</t>
        </is>
      </c>
      <c r="I215" t="inlineStr">
        <is>
          <t>SANTANDER</t>
        </is>
      </c>
      <c r="J215" t="inlineStr">
        <is>
          <t>BUCARAMANGA</t>
        </is>
      </c>
      <c r="K215" t="inlineStr">
        <is>
          <t>PTM BUCARAMANGA TERRAZEO FRESH</t>
        </is>
      </c>
      <c r="L215" t="inlineStr">
        <is>
          <t>BANCOLOMBIA</t>
        </is>
      </c>
      <c r="M215" t="inlineStr">
        <is>
          <t>FO-25-1338883</t>
        </is>
      </c>
      <c r="N215" s="46" t="n">
        <v>45875.6125</v>
      </c>
      <c r="O215" s="46" t="n">
        <v>45879.63541666666</v>
      </c>
      <c r="P215" t="inlineStr">
        <is>
          <t>AGREGADOR</t>
        </is>
      </c>
      <c r="Q215" t="inlineStr">
        <is>
          <t>COMCARD - PTM</t>
        </is>
      </c>
      <c r="R215" t="inlineStr">
        <is>
          <t>EJECUTADO</t>
        </is>
      </c>
      <c r="S215" t="inlineStr">
        <is>
          <t>VISITA TECNICA</t>
        </is>
      </c>
      <c r="T215" t="inlineStr">
        <is>
          <t>FAZZZ137-FHZZZ011</t>
        </is>
      </c>
      <c r="U215" t="inlineStr">
        <is>
          <t>TIPO I</t>
        </is>
      </c>
      <c r="V215" t="inlineStr">
        <is>
          <t>TERRESTRE</t>
        </is>
      </c>
      <c r="W215" t="inlineStr">
        <is>
          <t>GELVEZ MOGOLLON JOSE ELISEO</t>
        </is>
      </c>
      <c r="X215" t="inlineStr">
        <is>
          <t>Si</t>
        </is>
      </c>
      <c r="Y215" t="inlineStr">
        <is>
          <t>Si</t>
        </is>
      </c>
      <c r="Z215" s="45" t="n">
        <v>0</v>
      </c>
      <c r="AA215" t="inlineStr">
        <is>
          <t>0</t>
        </is>
      </c>
      <c r="AB215" s="45" t="n">
        <v>194983</v>
      </c>
      <c r="AC215" s="45" t="n">
        <v>0</v>
      </c>
    </row>
    <row r="216">
      <c r="A216" t="inlineStr">
        <is>
          <t>BUCARAMANGA</t>
        </is>
      </c>
      <c r="B216" t="inlineStr">
        <is>
          <t>SANTANDERES</t>
        </is>
      </c>
      <c r="C216" t="inlineStr">
        <is>
          <t>0004-0008</t>
        </is>
      </c>
      <c r="D216" t="inlineStr">
        <is>
          <t>68081</t>
        </is>
      </c>
      <c r="E216" t="inlineStr">
        <is>
          <t>TA-25-931066</t>
        </is>
      </c>
      <c r="F216" t="inlineStr">
        <is>
          <t>3007080825</t>
        </is>
      </c>
      <c r="G216" t="inlineStr">
        <is>
          <t>APERTURA</t>
        </is>
      </c>
      <c r="H216" t="inlineStr">
        <is>
          <t>CB CRECIMIENTO ALIANZA - NUEVO</t>
        </is>
      </c>
      <c r="I216" t="inlineStr">
        <is>
          <t>SANTANDER</t>
        </is>
      </c>
      <c r="J216" t="inlineStr">
        <is>
          <t>BARRANCABERMEJA</t>
        </is>
      </c>
      <c r="K216" t="inlineStr">
        <is>
          <t>PTM BARRANCABERMEJA PAPELERIA</t>
        </is>
      </c>
      <c r="L216" t="inlineStr">
        <is>
          <t>BANCOLOMBIA</t>
        </is>
      </c>
      <c r="M216" t="inlineStr">
        <is>
          <t>FO-25-1338890</t>
        </is>
      </c>
      <c r="N216" s="46" t="n">
        <v>45875.6125</v>
      </c>
      <c r="O216" s="46" t="n">
        <v>45881.31666666667</v>
      </c>
      <c r="P216" t="inlineStr">
        <is>
          <t>AGREGADOR</t>
        </is>
      </c>
      <c r="Q216" t="inlineStr">
        <is>
          <t>COMCARD - PTM</t>
        </is>
      </c>
      <c r="R216" t="inlineStr">
        <is>
          <t>EJECUTADO</t>
        </is>
      </c>
      <c r="S216" t="inlineStr">
        <is>
          <t>VISITA TECNICA</t>
        </is>
      </c>
      <c r="T216" t="inlineStr">
        <is>
          <t>FHZZZ012-FAZZZ138</t>
        </is>
      </c>
      <c r="U216" t="inlineStr">
        <is>
          <t>TIPO III</t>
        </is>
      </c>
      <c r="V216" t="inlineStr">
        <is>
          <t>TERRESTRE</t>
        </is>
      </c>
      <c r="W216" t="inlineStr">
        <is>
          <t>GELVEZ MOGOLLON JOSE ELISEO</t>
        </is>
      </c>
      <c r="X216" t="inlineStr">
        <is>
          <t>Si</t>
        </is>
      </c>
      <c r="Y216" t="inlineStr">
        <is>
          <t>Si</t>
        </is>
      </c>
      <c r="Z216" s="45" t="n">
        <v>0</v>
      </c>
      <c r="AA216" t="inlineStr">
        <is>
          <t>0</t>
        </is>
      </c>
      <c r="AB216" s="45" t="n">
        <v>248376</v>
      </c>
      <c r="AC216" s="45" t="n">
        <v>0</v>
      </c>
    </row>
    <row r="217">
      <c r="A217" t="inlineStr">
        <is>
          <t>BUCARAMANGA</t>
        </is>
      </c>
      <c r="B217" t="inlineStr">
        <is>
          <t>SANTANDERES</t>
        </is>
      </c>
      <c r="C217" t="inlineStr">
        <is>
          <t>0004-0008</t>
        </is>
      </c>
      <c r="D217" t="inlineStr">
        <is>
          <t>68307</t>
        </is>
      </c>
      <c r="E217" t="inlineStr">
        <is>
          <t>TA-25-931067</t>
        </is>
      </c>
      <c r="F217" t="inlineStr">
        <is>
          <t>3007080846</t>
        </is>
      </c>
      <c r="G217" t="inlineStr">
        <is>
          <t>APERTURA</t>
        </is>
      </c>
      <c r="H217" t="inlineStr">
        <is>
          <t>CB CRECIMIENTO ALIANZA - NUEVO</t>
        </is>
      </c>
      <c r="I217" t="inlineStr">
        <is>
          <t>SANTANDER</t>
        </is>
      </c>
      <c r="J217" t="inlineStr">
        <is>
          <t>GIRON</t>
        </is>
      </c>
      <c r="K217" t="inlineStr">
        <is>
          <t>PTM GIRON VARIEDADES ANDINAS</t>
        </is>
      </c>
      <c r="L217" t="inlineStr">
        <is>
          <t>BANCOLOMBIA</t>
        </is>
      </c>
      <c r="M217" t="inlineStr">
        <is>
          <t>FO-25-1338899</t>
        </is>
      </c>
      <c r="N217" s="46" t="n">
        <v>45875.6125</v>
      </c>
      <c r="O217" s="46" t="n">
        <v>45879.62430555555</v>
      </c>
      <c r="P217" t="inlineStr">
        <is>
          <t>AGREGADOR</t>
        </is>
      </c>
      <c r="Q217" t="inlineStr">
        <is>
          <t>COMCARD - PTM</t>
        </is>
      </c>
      <c r="R217" t="inlineStr">
        <is>
          <t>EJECUTADO</t>
        </is>
      </c>
      <c r="S217" t="inlineStr">
        <is>
          <t>VISITA TECNICA</t>
        </is>
      </c>
      <c r="T217" t="inlineStr">
        <is>
          <t>106ZZ078-FHZZZ013</t>
        </is>
      </c>
      <c r="U217" t="inlineStr">
        <is>
          <t>TIPO I</t>
        </is>
      </c>
      <c r="V217" t="inlineStr">
        <is>
          <t>TERRESTRE</t>
        </is>
      </c>
      <c r="W217" t="inlineStr">
        <is>
          <t>SANTOS GONZALEZ JOHAN FABIAN</t>
        </is>
      </c>
      <c r="X217" t="inlineStr">
        <is>
          <t>Si</t>
        </is>
      </c>
      <c r="Y217" t="inlineStr">
        <is>
          <t>Si</t>
        </is>
      </c>
      <c r="Z217" s="45" t="n">
        <v>0</v>
      </c>
      <c r="AA217" t="inlineStr">
        <is>
          <t>0</t>
        </is>
      </c>
      <c r="AB217" s="45" t="n">
        <v>194983</v>
      </c>
      <c r="AC217" s="45" t="n">
        <v>0</v>
      </c>
    </row>
    <row r="218">
      <c r="A218" t="inlineStr">
        <is>
          <t>BUCARAMANGA</t>
        </is>
      </c>
      <c r="B218" t="inlineStr">
        <is>
          <t>SANTANDERES</t>
        </is>
      </c>
      <c r="C218" t="inlineStr">
        <is>
          <t>0004-0008</t>
        </is>
      </c>
      <c r="D218" t="inlineStr">
        <is>
          <t>68307</t>
        </is>
      </c>
      <c r="E218" t="inlineStr">
        <is>
          <t>TA-25-931068</t>
        </is>
      </c>
      <c r="F218" t="inlineStr">
        <is>
          <t>3007080847</t>
        </is>
      </c>
      <c r="G218" t="inlineStr">
        <is>
          <t>APERTURA</t>
        </is>
      </c>
      <c r="H218" t="inlineStr">
        <is>
          <t>CB CRECIMIENTO ALIANZA - NUEVO</t>
        </is>
      </c>
      <c r="I218" t="inlineStr">
        <is>
          <t>SANTANDER</t>
        </is>
      </c>
      <c r="J218" t="inlineStr">
        <is>
          <t>GIRON</t>
        </is>
      </c>
      <c r="K218" t="inlineStr">
        <is>
          <t>PTM GIRON KYOMU DISTRIBUCIONES</t>
        </is>
      </c>
      <c r="L218" t="inlineStr">
        <is>
          <t>BANCOLOMBIA</t>
        </is>
      </c>
      <c r="M218" t="inlineStr">
        <is>
          <t>FO-25-1338907</t>
        </is>
      </c>
      <c r="N218" s="46" t="n">
        <v>45875.61319444444</v>
      </c>
      <c r="O218" s="46" t="n">
        <v>45879.63888888889</v>
      </c>
      <c r="P218" t="inlineStr">
        <is>
          <t>AGREGADOR</t>
        </is>
      </c>
      <c r="Q218" t="inlineStr">
        <is>
          <t>COMCARD - PTM</t>
        </is>
      </c>
      <c r="R218" t="inlineStr">
        <is>
          <t>EJECUTADO</t>
        </is>
      </c>
      <c r="S218" t="inlineStr">
        <is>
          <t>VISITA TECNICA</t>
        </is>
      </c>
      <c r="T218" t="inlineStr">
        <is>
          <t>17833419-FHZZZ014</t>
        </is>
      </c>
      <c r="U218" t="inlineStr">
        <is>
          <t>TIPO I</t>
        </is>
      </c>
      <c r="V218" t="inlineStr">
        <is>
          <t>TERRESTRE</t>
        </is>
      </c>
      <c r="W218" t="inlineStr">
        <is>
          <t>SANTOS GONZALEZ JOHAN FABIAN</t>
        </is>
      </c>
      <c r="X218" t="inlineStr">
        <is>
          <t>Si</t>
        </is>
      </c>
      <c r="Y218" t="inlineStr">
        <is>
          <t>Si</t>
        </is>
      </c>
      <c r="Z218" s="45" t="n">
        <v>0</v>
      </c>
      <c r="AA218" t="inlineStr">
        <is>
          <t>0</t>
        </is>
      </c>
      <c r="AB218" s="45" t="n">
        <v>194983</v>
      </c>
      <c r="AC218" s="45" t="n">
        <v>0</v>
      </c>
    </row>
    <row r="219">
      <c r="A219" t="inlineStr">
        <is>
          <t>BUCARAMANGA</t>
        </is>
      </c>
      <c r="B219" t="inlineStr">
        <is>
          <t>SANTANDERES</t>
        </is>
      </c>
      <c r="C219" t="inlineStr">
        <is>
          <t>0004-0008</t>
        </is>
      </c>
      <c r="D219" t="inlineStr">
        <is>
          <t>68547</t>
        </is>
      </c>
      <c r="E219" t="inlineStr">
        <is>
          <t>TA-25-931069</t>
        </is>
      </c>
      <c r="F219" t="inlineStr">
        <is>
          <t>3007080852</t>
        </is>
      </c>
      <c r="G219" t="inlineStr">
        <is>
          <t>APERTURA</t>
        </is>
      </c>
      <c r="H219" t="inlineStr">
        <is>
          <t>CB CRECIMIENTO ALIANZA - NUEVO</t>
        </is>
      </c>
      <c r="I219" t="inlineStr">
        <is>
          <t>SANTANDER</t>
        </is>
      </c>
      <c r="J219" t="inlineStr">
        <is>
          <t>PIEDECUESTA</t>
        </is>
      </c>
      <c r="K219" t="inlineStr">
        <is>
          <t>PTM PIEDECUESTA PLANET SCHOOLL</t>
        </is>
      </c>
      <c r="L219" t="inlineStr">
        <is>
          <t>BANCOLOMBIA</t>
        </is>
      </c>
      <c r="M219" t="inlineStr">
        <is>
          <t>FO-25-1338916</t>
        </is>
      </c>
      <c r="N219" s="46" t="n">
        <v>45875.61319444444</v>
      </c>
      <c r="O219" s="46" t="n">
        <v>45879.64375</v>
      </c>
      <c r="P219" t="inlineStr">
        <is>
          <t>AGREGADOR</t>
        </is>
      </c>
      <c r="Q219" t="inlineStr">
        <is>
          <t>COMCARD - PTM</t>
        </is>
      </c>
      <c r="R219" t="inlineStr">
        <is>
          <t>EJECUTADO</t>
        </is>
      </c>
      <c r="S219" t="inlineStr">
        <is>
          <t>VISITA TECNICA</t>
        </is>
      </c>
      <c r="T219" t="inlineStr">
        <is>
          <t>FHZZZ015-FAZZZ290</t>
        </is>
      </c>
      <c r="U219" t="inlineStr">
        <is>
          <t>TIPO II</t>
        </is>
      </c>
      <c r="V219" t="inlineStr">
        <is>
          <t>TERRESTRE</t>
        </is>
      </c>
      <c r="W219" t="inlineStr">
        <is>
          <t>PEÑA DIAZ IVAN YESID</t>
        </is>
      </c>
      <c r="X219" t="inlineStr">
        <is>
          <t>Si</t>
        </is>
      </c>
      <c r="Y219" t="inlineStr">
        <is>
          <t>Si</t>
        </is>
      </c>
      <c r="Z219" s="45" t="n">
        <v>0</v>
      </c>
      <c r="AA219" t="inlineStr">
        <is>
          <t>0</t>
        </is>
      </c>
      <c r="AB219" s="45" t="n">
        <v>248376</v>
      </c>
      <c r="AC219" s="45" t="n">
        <v>0</v>
      </c>
    </row>
    <row r="220">
      <c r="A220" t="inlineStr">
        <is>
          <t>IBAGUE</t>
        </is>
      </c>
      <c r="B220" t="inlineStr">
        <is>
          <t>REMOTAS</t>
        </is>
      </c>
      <c r="C220" t="inlineStr">
        <is>
          <t>0004-0007</t>
        </is>
      </c>
      <c r="D220" t="inlineStr">
        <is>
          <t>73001</t>
        </is>
      </c>
      <c r="E220" t="inlineStr">
        <is>
          <t>TA-25-931070</t>
        </is>
      </c>
      <c r="F220" t="inlineStr">
        <is>
          <t>3007080850</t>
        </is>
      </c>
      <c r="G220" t="inlineStr">
        <is>
          <t>APERTURA</t>
        </is>
      </c>
      <c r="H220" t="inlineStr">
        <is>
          <t>CB CRECIMIENTO ALIANZA - NUEVO</t>
        </is>
      </c>
      <c r="I220" t="inlineStr">
        <is>
          <t>TOLIMA</t>
        </is>
      </c>
      <c r="J220" t="inlineStr">
        <is>
          <t>IBAGUE</t>
        </is>
      </c>
      <c r="K220" t="inlineStr">
        <is>
          <t>PTM IBAGUE TIENDA DONDE PITA</t>
        </is>
      </c>
      <c r="L220" t="inlineStr">
        <is>
          <t>BANCOLOMBIA</t>
        </is>
      </c>
      <c r="M220" t="inlineStr">
        <is>
          <t>FO-25-1338925</t>
        </is>
      </c>
      <c r="N220" s="46" t="n">
        <v>45875.41944444444</v>
      </c>
      <c r="O220" s="46" t="n">
        <v>45879.61597222222</v>
      </c>
      <c r="P220" t="inlineStr">
        <is>
          <t>AGREGADOR</t>
        </is>
      </c>
      <c r="Q220" t="inlineStr">
        <is>
          <t>COMCARD - PTM</t>
        </is>
      </c>
      <c r="R220" t="inlineStr">
        <is>
          <t>EJECUTADO</t>
        </is>
      </c>
      <c r="S220" t="inlineStr">
        <is>
          <t>VISITA TECNICA</t>
        </is>
      </c>
      <c r="T220" t="inlineStr">
        <is>
          <t>FHZZZ016-FAZZZ822</t>
        </is>
      </c>
      <c r="U220" t="inlineStr">
        <is>
          <t>TIPO I</t>
        </is>
      </c>
      <c r="V220" t="inlineStr">
        <is>
          <t>TERRESTRE</t>
        </is>
      </c>
      <c r="W220" t="inlineStr">
        <is>
          <t>BARRAGAN TAFUR EDWIN ESTEBAN</t>
        </is>
      </c>
      <c r="X220" t="inlineStr">
        <is>
          <t>Si</t>
        </is>
      </c>
      <c r="Y220" t="inlineStr">
        <is>
          <t>Si</t>
        </is>
      </c>
      <c r="Z220" s="45" t="n">
        <v>0</v>
      </c>
      <c r="AA220" t="inlineStr">
        <is>
          <t>0</t>
        </is>
      </c>
      <c r="AB220" s="45" t="n">
        <v>194983</v>
      </c>
      <c r="AC220" s="45" t="n">
        <v>0</v>
      </c>
    </row>
    <row r="221">
      <c r="A221" t="inlineStr">
        <is>
          <t>CALI</t>
        </is>
      </c>
      <c r="B221" t="inlineStr">
        <is>
          <t>SUROCCIDENTE Y EJE CAFETERO</t>
        </is>
      </c>
      <c r="C221" t="inlineStr">
        <is>
          <t>0004-0003</t>
        </is>
      </c>
      <c r="D221" t="inlineStr">
        <is>
          <t>76001</t>
        </is>
      </c>
      <c r="E221" t="inlineStr">
        <is>
          <t>TA-25-931072</t>
        </is>
      </c>
      <c r="F221" t="inlineStr">
        <is>
          <t>3007080835</t>
        </is>
      </c>
      <c r="G221" t="inlineStr">
        <is>
          <t>APERTURA</t>
        </is>
      </c>
      <c r="H221" t="inlineStr">
        <is>
          <t>CB CRECIMIENTO ALIANZA - NUEVO</t>
        </is>
      </c>
      <c r="I221" t="inlineStr">
        <is>
          <t>VALLE DEL CAUCA</t>
        </is>
      </c>
      <c r="J221" t="inlineStr">
        <is>
          <t>CALI</t>
        </is>
      </c>
      <c r="K221" t="inlineStr">
        <is>
          <t>PTM CALI CELURAIGOZA S.A.S.</t>
        </is>
      </c>
      <c r="L221" t="inlineStr">
        <is>
          <t>BANCOLOMBIA</t>
        </is>
      </c>
      <c r="M221" t="inlineStr">
        <is>
          <t>FO-25-1338933</t>
        </is>
      </c>
      <c r="N221" s="46" t="n">
        <v>45875.27847222222</v>
      </c>
      <c r="O221" s="46" t="n">
        <v>45880.69236111111</v>
      </c>
      <c r="P221" t="inlineStr">
        <is>
          <t>AGREGADOR</t>
        </is>
      </c>
      <c r="Q221" t="inlineStr">
        <is>
          <t>COMCARD - PTM</t>
        </is>
      </c>
      <c r="R221" t="inlineStr">
        <is>
          <t>EJECUTADO</t>
        </is>
      </c>
      <c r="S221" t="inlineStr">
        <is>
          <t>VISITA TECNICA</t>
        </is>
      </c>
      <c r="T221" t="inlineStr">
        <is>
          <t>FHZZZ017 - EF03Z177</t>
        </is>
      </c>
      <c r="U221" t="inlineStr">
        <is>
          <t>TIPO I</t>
        </is>
      </c>
      <c r="V221" t="inlineStr">
        <is>
          <t>TERRESTRE</t>
        </is>
      </c>
      <c r="W221" t="inlineStr">
        <is>
          <t>PAREDES CASTILLO DIEGO</t>
        </is>
      </c>
      <c r="X221" t="inlineStr">
        <is>
          <t>Si</t>
        </is>
      </c>
      <c r="Y221" t="inlineStr">
        <is>
          <t>Si</t>
        </is>
      </c>
      <c r="Z221" s="45" t="n">
        <v>0</v>
      </c>
      <c r="AA221" t="inlineStr">
        <is>
          <t>0</t>
        </is>
      </c>
      <c r="AB221" s="45" t="n">
        <v>194983</v>
      </c>
      <c r="AC221" s="45" t="n">
        <v>0</v>
      </c>
    </row>
    <row r="222">
      <c r="A222" t="inlineStr">
        <is>
          <t>CALI</t>
        </is>
      </c>
      <c r="B222" t="inlineStr">
        <is>
          <t>SUROCCIDENTE Y EJE CAFETERO</t>
        </is>
      </c>
      <c r="C222" t="inlineStr">
        <is>
          <t>0004-0003</t>
        </is>
      </c>
      <c r="D222" t="inlineStr">
        <is>
          <t>76001</t>
        </is>
      </c>
      <c r="E222" t="inlineStr">
        <is>
          <t>TA-25-931084</t>
        </is>
      </c>
      <c r="F222" t="inlineStr">
        <is>
          <t>3007080836</t>
        </is>
      </c>
      <c r="G222" t="inlineStr">
        <is>
          <t>APERTURA</t>
        </is>
      </c>
      <c r="H222" t="inlineStr">
        <is>
          <t>CB CRECIMIENTO ALIANZA - NUEVO</t>
        </is>
      </c>
      <c r="I222" t="inlineStr">
        <is>
          <t>VALLE DEL CAUCA</t>
        </is>
      </c>
      <c r="J222" t="inlineStr">
        <is>
          <t>CALI</t>
        </is>
      </c>
      <c r="K222" t="inlineStr">
        <is>
          <t>PTM CALI POLLOS COLORADO</t>
        </is>
      </c>
      <c r="L222" t="inlineStr">
        <is>
          <t>BANCOLOMBIA</t>
        </is>
      </c>
      <c r="M222" t="inlineStr">
        <is>
          <t>FO-25-1338945</t>
        </is>
      </c>
      <c r="N222" s="46" t="n">
        <v>45875.2875</v>
      </c>
      <c r="O222" s="46" t="n">
        <v>45880.66944444444</v>
      </c>
      <c r="P222" t="inlineStr">
        <is>
          <t>AGREGADOR</t>
        </is>
      </c>
      <c r="Q222" t="inlineStr">
        <is>
          <t>COMCARD - PTM</t>
        </is>
      </c>
      <c r="R222" t="inlineStr">
        <is>
          <t>EJECUTADO</t>
        </is>
      </c>
      <c r="S222" t="inlineStr">
        <is>
          <t>VISITA TECNICA</t>
        </is>
      </c>
      <c r="T222" t="inlineStr">
        <is>
          <t>FHZZZ018 -EF03Z187</t>
        </is>
      </c>
      <c r="U222" t="inlineStr">
        <is>
          <t>TIPO I</t>
        </is>
      </c>
      <c r="V222" t="inlineStr">
        <is>
          <t>TERRESTRE</t>
        </is>
      </c>
      <c r="W222" t="inlineStr">
        <is>
          <t>TORRES GARCIA JENDRY JOSE</t>
        </is>
      </c>
      <c r="X222" t="inlineStr">
        <is>
          <t>Si</t>
        </is>
      </c>
      <c r="Y222" t="inlineStr">
        <is>
          <t>Si</t>
        </is>
      </c>
      <c r="Z222" s="45" t="n">
        <v>0</v>
      </c>
      <c r="AA222" t="inlineStr">
        <is>
          <t>0</t>
        </is>
      </c>
      <c r="AB222" s="45" t="n">
        <v>194983</v>
      </c>
      <c r="AC222" s="45" t="n">
        <v>0</v>
      </c>
    </row>
    <row r="223">
      <c r="A223" t="inlineStr">
        <is>
          <t>CALI</t>
        </is>
      </c>
      <c r="B223" t="inlineStr">
        <is>
          <t>SUROCCIDENTE Y EJE CAFETERO</t>
        </is>
      </c>
      <c r="C223" t="inlineStr">
        <is>
          <t>0004-0003</t>
        </is>
      </c>
      <c r="D223" t="inlineStr">
        <is>
          <t>76001</t>
        </is>
      </c>
      <c r="E223" t="inlineStr">
        <is>
          <t>TA-25-931102</t>
        </is>
      </c>
      <c r="F223" t="inlineStr">
        <is>
          <t>3007080837</t>
        </is>
      </c>
      <c r="G223" t="inlineStr">
        <is>
          <t>APERTURA</t>
        </is>
      </c>
      <c r="H223" t="inlineStr">
        <is>
          <t>CB CRECIMIENTO ALIANZA - NUEVO</t>
        </is>
      </c>
      <c r="I223" t="inlineStr">
        <is>
          <t>VALLE DEL CAUCA</t>
        </is>
      </c>
      <c r="J223" t="inlineStr">
        <is>
          <t>CALI</t>
        </is>
      </c>
      <c r="K223" t="inlineStr">
        <is>
          <t>PTM CALI MULTISERVICIOS DAOR</t>
        </is>
      </c>
      <c r="L223" t="inlineStr">
        <is>
          <t>BANCOLOMBIA</t>
        </is>
      </c>
      <c r="M223" t="inlineStr">
        <is>
          <t>FO-25-1338956</t>
        </is>
      </c>
      <c r="N223" s="46" t="n">
        <v>45875.28194444445</v>
      </c>
      <c r="O223" s="46" t="n">
        <v>45880.65694444445</v>
      </c>
      <c r="P223" t="inlineStr">
        <is>
          <t>AGREGADOR</t>
        </is>
      </c>
      <c r="Q223" t="inlineStr">
        <is>
          <t>COMCARD - PTM</t>
        </is>
      </c>
      <c r="R223" t="inlineStr">
        <is>
          <t>EJECUTADO</t>
        </is>
      </c>
      <c r="S223" t="inlineStr">
        <is>
          <t>VISITA TECNICA</t>
        </is>
      </c>
      <c r="T223" t="inlineStr">
        <is>
          <t>FHZZZ019 - EF03Z196</t>
        </is>
      </c>
      <c r="U223" t="inlineStr">
        <is>
          <t>TIPO I</t>
        </is>
      </c>
      <c r="V223" t="inlineStr">
        <is>
          <t>TERRESTRE</t>
        </is>
      </c>
      <c r="W223" t="inlineStr">
        <is>
          <t>BOLAÑOS TABORDA JORGE ENRIQUE</t>
        </is>
      </c>
      <c r="X223" t="inlineStr">
        <is>
          <t>Si</t>
        </is>
      </c>
      <c r="Y223" t="inlineStr">
        <is>
          <t>Si</t>
        </is>
      </c>
      <c r="Z223" s="45" t="n">
        <v>0</v>
      </c>
      <c r="AA223" t="inlineStr">
        <is>
          <t>0</t>
        </is>
      </c>
      <c r="AB223" s="45" t="n">
        <v>194983</v>
      </c>
      <c r="AC223" s="45" t="n">
        <v>0</v>
      </c>
    </row>
    <row r="224">
      <c r="A224" t="inlineStr">
        <is>
          <t>CALI</t>
        </is>
      </c>
      <c r="B224" t="inlineStr">
        <is>
          <t>SUROCCIDENTE Y EJE CAFETERO</t>
        </is>
      </c>
      <c r="C224" t="inlineStr">
        <is>
          <t>0004-0003</t>
        </is>
      </c>
      <c r="D224" t="inlineStr">
        <is>
          <t>76001</t>
        </is>
      </c>
      <c r="E224" t="inlineStr">
        <is>
          <t>TA-25-931115</t>
        </is>
      </c>
      <c r="F224" t="inlineStr">
        <is>
          <t>3007080838</t>
        </is>
      </c>
      <c r="G224" t="inlineStr">
        <is>
          <t>APERTURA</t>
        </is>
      </c>
      <c r="H224" t="inlineStr">
        <is>
          <t>CB CRECIMIENTO ALIANZA - NUEVO</t>
        </is>
      </c>
      <c r="I224" t="inlineStr">
        <is>
          <t>VALLE DEL CAUCA</t>
        </is>
      </c>
      <c r="J224" t="inlineStr">
        <is>
          <t>CALI</t>
        </is>
      </c>
      <c r="K224" t="inlineStr">
        <is>
          <t>PTM CALI MINIMARKET FULL HOGAR</t>
        </is>
      </c>
      <c r="L224" t="inlineStr">
        <is>
          <t>BANCOLOMBIA</t>
        </is>
      </c>
      <c r="M224" t="inlineStr">
        <is>
          <t>FO-25-1338965</t>
        </is>
      </c>
      <c r="N224" s="46" t="n">
        <v>45875.28611111111</v>
      </c>
      <c r="O224" s="46" t="n">
        <v>45880.62430555555</v>
      </c>
      <c r="P224" t="inlineStr">
        <is>
          <t>AGREGADOR</t>
        </is>
      </c>
      <c r="Q224" t="inlineStr">
        <is>
          <t>COMCARD - PTM</t>
        </is>
      </c>
      <c r="R224" t="inlineStr">
        <is>
          <t>EJECUTADO</t>
        </is>
      </c>
      <c r="S224" t="inlineStr">
        <is>
          <t>VISITA TECNICA</t>
        </is>
      </c>
      <c r="T224" t="inlineStr">
        <is>
          <t>FHZZZ020</t>
        </is>
      </c>
      <c r="U224" t="inlineStr">
        <is>
          <t>TIPO I</t>
        </is>
      </c>
      <c r="V224" t="inlineStr">
        <is>
          <t>TERRESTRE</t>
        </is>
      </c>
      <c r="W224" t="inlineStr">
        <is>
          <t>HERRERA MONAR GEOVANNY</t>
        </is>
      </c>
      <c r="X224" t="inlineStr">
        <is>
          <t>Si</t>
        </is>
      </c>
      <c r="Y224" t="inlineStr">
        <is>
          <t>Si</t>
        </is>
      </c>
      <c r="Z224" s="45" t="n">
        <v>0</v>
      </c>
      <c r="AA224" t="inlineStr">
        <is>
          <t>0</t>
        </is>
      </c>
      <c r="AB224" s="45" t="n">
        <v>194983</v>
      </c>
      <c r="AC224" s="45" t="n">
        <v>0</v>
      </c>
    </row>
    <row r="225">
      <c r="A225" t="inlineStr">
        <is>
          <t>YOPAL</t>
        </is>
      </c>
      <c r="B225" t="inlineStr">
        <is>
          <t>REMOTAS</t>
        </is>
      </c>
      <c r="C225" t="inlineStr">
        <is>
          <t>0004-0007</t>
        </is>
      </c>
      <c r="D225" t="inlineStr">
        <is>
          <t>85001</t>
        </is>
      </c>
      <c r="E225" t="inlineStr">
        <is>
          <t>TA-25-931124</t>
        </is>
      </c>
      <c r="F225" t="inlineStr">
        <is>
          <t>3007080860</t>
        </is>
      </c>
      <c r="G225" t="inlineStr">
        <is>
          <t>APERTURA</t>
        </is>
      </c>
      <c r="H225" t="inlineStr">
        <is>
          <t>CB CRECIMIENTO ALIANZA - NUEVO</t>
        </is>
      </c>
      <c r="I225" t="inlineStr">
        <is>
          <t>CASANARE</t>
        </is>
      </c>
      <c r="J225" t="inlineStr">
        <is>
          <t>YOPAL</t>
        </is>
      </c>
      <c r="K225" t="inlineStr">
        <is>
          <t>PTM YOPAL FULL MOBILE STORE</t>
        </is>
      </c>
      <c r="L225" t="inlineStr">
        <is>
          <t>BANCOLOMBIA</t>
        </is>
      </c>
      <c r="M225" t="inlineStr">
        <is>
          <t>FO-25-1338974</t>
        </is>
      </c>
      <c r="N225" s="46" t="n">
        <v>45875.41944444444</v>
      </c>
      <c r="O225" s="46" t="n">
        <v>45877.575</v>
      </c>
      <c r="P225" t="inlineStr">
        <is>
          <t>AGREGADOR</t>
        </is>
      </c>
      <c r="Q225" t="inlineStr">
        <is>
          <t>COMCARD - PTM</t>
        </is>
      </c>
      <c r="R225" t="inlineStr">
        <is>
          <t>EJECUTADO</t>
        </is>
      </c>
      <c r="S225" t="inlineStr">
        <is>
          <t>VISITA TECNICA</t>
        </is>
      </c>
      <c r="T225" t="inlineStr">
        <is>
          <t>FAZZZ958-FHZZZ021</t>
        </is>
      </c>
      <c r="U225" t="inlineStr">
        <is>
          <t>TIPO I</t>
        </is>
      </c>
      <c r="V225" t="inlineStr">
        <is>
          <t>TERRESTRE</t>
        </is>
      </c>
      <c r="W225" t="inlineStr">
        <is>
          <t>BERNAL ELAICA EDGAR ALEXIS</t>
        </is>
      </c>
      <c r="X225" t="inlineStr">
        <is>
          <t>Si</t>
        </is>
      </c>
      <c r="Y225" t="inlineStr">
        <is>
          <t>Si</t>
        </is>
      </c>
      <c r="Z225" s="45" t="n">
        <v>0</v>
      </c>
      <c r="AA225" t="inlineStr">
        <is>
          <t>0</t>
        </is>
      </c>
      <c r="AB225" s="45" t="n">
        <v>194983</v>
      </c>
      <c r="AC225" s="45" t="n">
        <v>0</v>
      </c>
    </row>
    <row r="226">
      <c r="A226" t="inlineStr">
        <is>
          <t>BOGOTA</t>
        </is>
      </c>
      <c r="B226" t="inlineStr">
        <is>
          <t>CUNDINAMARCA</t>
        </is>
      </c>
      <c r="C226" t="inlineStr">
        <is>
          <t>0004-0004</t>
        </is>
      </c>
      <c r="D226" t="inlineStr">
        <is>
          <t>11001</t>
        </is>
      </c>
      <c r="E226" t="inlineStr">
        <is>
          <t>TA-25-931137</t>
        </is>
      </c>
      <c r="F226" t="inlineStr">
        <is>
          <t>3007080827</t>
        </is>
      </c>
      <c r="G226" t="inlineStr">
        <is>
          <t>APERTURA</t>
        </is>
      </c>
      <c r="H226" t="inlineStr">
        <is>
          <t>CB CRECIMIENTO ALIANZA - NUEVO</t>
        </is>
      </c>
      <c r="I226" t="inlineStr">
        <is>
          <t>CUNDINAMARCA</t>
        </is>
      </c>
      <c r="J226" t="inlineStr">
        <is>
          <t>BOGOTA</t>
        </is>
      </c>
      <c r="K226" t="inlineStr">
        <is>
          <t>PTM BOGOTA NISSI PERSONALIZADO</t>
        </is>
      </c>
      <c r="L226" t="inlineStr">
        <is>
          <t>BANCOLOMBIA</t>
        </is>
      </c>
      <c r="M226" t="inlineStr">
        <is>
          <t>FO-25-1338987</t>
        </is>
      </c>
      <c r="N226" s="46" t="n">
        <v>45875.55902777778</v>
      </c>
      <c r="O226" s="46" t="n">
        <v>45879.64513888889</v>
      </c>
      <c r="P226" t="inlineStr">
        <is>
          <t>AGREGADOR</t>
        </is>
      </c>
      <c r="Q226" t="inlineStr">
        <is>
          <t>COMCARD - PTM</t>
        </is>
      </c>
      <c r="R226" t="inlineStr">
        <is>
          <t>EJECUTADO</t>
        </is>
      </c>
      <c r="S226" t="inlineStr">
        <is>
          <t>VISITA TECNICA</t>
        </is>
      </c>
      <c r="T226" t="inlineStr">
        <is>
          <t>FHZZZ022 -FAZZZ965</t>
        </is>
      </c>
      <c r="U226" t="inlineStr">
        <is>
          <t>TIPO I</t>
        </is>
      </c>
      <c r="V226" t="inlineStr">
        <is>
          <t>TERRESTRE</t>
        </is>
      </c>
      <c r="W226" t="inlineStr">
        <is>
          <t>ORTIZ MARTINEZ STIVEN</t>
        </is>
      </c>
      <c r="X226" t="inlineStr">
        <is>
          <t>Si</t>
        </is>
      </c>
      <c r="Y226" t="inlineStr">
        <is>
          <t>Si</t>
        </is>
      </c>
      <c r="Z226" s="45" t="n">
        <v>0</v>
      </c>
      <c r="AA226" t="inlineStr">
        <is>
          <t>0</t>
        </is>
      </c>
      <c r="AB226" s="45" t="n">
        <v>194983</v>
      </c>
      <c r="AC226" s="45" t="n">
        <v>0</v>
      </c>
    </row>
    <row r="227">
      <c r="A227" t="inlineStr">
        <is>
          <t>BOGOTA</t>
        </is>
      </c>
      <c r="B227" t="inlineStr">
        <is>
          <t>CUNDINAMARCA</t>
        </is>
      </c>
      <c r="C227" t="inlineStr">
        <is>
          <t>0004-0004</t>
        </is>
      </c>
      <c r="D227" t="inlineStr">
        <is>
          <t>11001</t>
        </is>
      </c>
      <c r="E227" t="inlineStr">
        <is>
          <t>TA-25-931152</t>
        </is>
      </c>
      <c r="F227" t="inlineStr">
        <is>
          <t>3007080828</t>
        </is>
      </c>
      <c r="G227" t="inlineStr">
        <is>
          <t>APERTURA</t>
        </is>
      </c>
      <c r="H227" t="inlineStr">
        <is>
          <t>CB CRECIMIENTO ALIANZA - NUEVO</t>
        </is>
      </c>
      <c r="I227" t="inlineStr">
        <is>
          <t>CUNDINAMARCA</t>
        </is>
      </c>
      <c r="J227" t="inlineStr">
        <is>
          <t>BOGOTA</t>
        </is>
      </c>
      <c r="K227" t="inlineStr">
        <is>
          <t>PTM BOGOTA ZAHARA JEWELRY</t>
        </is>
      </c>
      <c r="L227" t="inlineStr">
        <is>
          <t>BANCOLOMBIA</t>
        </is>
      </c>
      <c r="M227" t="inlineStr">
        <is>
          <t>FO-25-1338995</t>
        </is>
      </c>
      <c r="N227" s="46" t="n">
        <v>45875.74097222222</v>
      </c>
      <c r="O227" s="46" t="n">
        <v>45880.59236111111</v>
      </c>
      <c r="P227" t="inlineStr">
        <is>
          <t>AGREGADOR</t>
        </is>
      </c>
      <c r="Q227" t="inlineStr">
        <is>
          <t>COMCARD - PTM</t>
        </is>
      </c>
      <c r="R227" t="inlineStr">
        <is>
          <t>EJECUTADO</t>
        </is>
      </c>
      <c r="S227" t="inlineStr">
        <is>
          <t>VISITA TECNICA</t>
        </is>
      </c>
      <c r="T227" t="inlineStr">
        <is>
          <t>FHZZZ023</t>
        </is>
      </c>
      <c r="U227" t="inlineStr">
        <is>
          <t>TIPO I</t>
        </is>
      </c>
      <c r="V227" t="inlineStr">
        <is>
          <t>TERRESTRE</t>
        </is>
      </c>
      <c r="W227" t="inlineStr">
        <is>
          <t>HERNANDEZ NARANJO OSCAR EDUARDO</t>
        </is>
      </c>
      <c r="X227" t="inlineStr">
        <is>
          <t>Si</t>
        </is>
      </c>
      <c r="Y227" t="inlineStr">
        <is>
          <t>Si</t>
        </is>
      </c>
      <c r="Z227" s="45" t="n">
        <v>0</v>
      </c>
      <c r="AA227" t="inlineStr">
        <is>
          <t>0</t>
        </is>
      </c>
      <c r="AB227" s="45" t="n">
        <v>194983</v>
      </c>
      <c r="AC227" s="45" t="n">
        <v>0</v>
      </c>
    </row>
    <row r="228">
      <c r="A228" t="inlineStr">
        <is>
          <t>BOGOTA</t>
        </is>
      </c>
      <c r="B228" t="inlineStr">
        <is>
          <t>CUNDINAMARCA</t>
        </is>
      </c>
      <c r="C228" t="inlineStr">
        <is>
          <t>0004-0004</t>
        </is>
      </c>
      <c r="D228" t="inlineStr">
        <is>
          <t>11001</t>
        </is>
      </c>
      <c r="E228" t="inlineStr">
        <is>
          <t>TA-25-931154</t>
        </is>
      </c>
      <c r="F228" t="inlineStr">
        <is>
          <t>3007080831</t>
        </is>
      </c>
      <c r="G228" t="inlineStr">
        <is>
          <t>APERTURA</t>
        </is>
      </c>
      <c r="H228" t="inlineStr">
        <is>
          <t>CB CRECIMIENTO ALIANZA - NUEVO</t>
        </is>
      </c>
      <c r="I228" t="inlineStr">
        <is>
          <t>CUNDINAMARCA</t>
        </is>
      </c>
      <c r="J228" t="inlineStr">
        <is>
          <t>BOGOTA</t>
        </is>
      </c>
      <c r="K228" t="inlineStr">
        <is>
          <t>PTM BOGOTA CIGARRERIA Y MINIMA</t>
        </is>
      </c>
      <c r="L228" t="inlineStr">
        <is>
          <t>BANCOLOMBIA</t>
        </is>
      </c>
      <c r="M228" t="inlineStr">
        <is>
          <t>FO-25-1339013</t>
        </is>
      </c>
      <c r="N228" s="46" t="n">
        <v>45875.55902777778</v>
      </c>
      <c r="O228" s="46" t="n">
        <v>45877.66458333333</v>
      </c>
      <c r="P228" t="inlineStr">
        <is>
          <t>AGREGADOR</t>
        </is>
      </c>
      <c r="Q228" t="inlineStr">
        <is>
          <t>COMCARD - PTM</t>
        </is>
      </c>
      <c r="R228" t="inlineStr">
        <is>
          <t>EJECUTADO</t>
        </is>
      </c>
      <c r="S228" t="inlineStr">
        <is>
          <t>VISITA TECNICA</t>
        </is>
      </c>
      <c r="T228" t="inlineStr">
        <is>
          <t xml:space="preserve"> FHZZZ026 -FFZZZ122</t>
        </is>
      </c>
      <c r="U228" t="inlineStr">
        <is>
          <t>TIPO I</t>
        </is>
      </c>
      <c r="V228" t="inlineStr">
        <is>
          <t>TERRESTRE</t>
        </is>
      </c>
      <c r="W228" t="inlineStr">
        <is>
          <t>ORTIZ MARTINEZ STIVEN</t>
        </is>
      </c>
      <c r="X228" t="inlineStr">
        <is>
          <t>Si</t>
        </is>
      </c>
      <c r="Y228" t="inlineStr">
        <is>
          <t>Si</t>
        </is>
      </c>
      <c r="Z228" s="45" t="n">
        <v>0</v>
      </c>
      <c r="AA228" t="inlineStr">
        <is>
          <t>0</t>
        </is>
      </c>
      <c r="AB228" s="45" t="n">
        <v>194983</v>
      </c>
      <c r="AC228" s="45" t="n">
        <v>0</v>
      </c>
    </row>
    <row r="229">
      <c r="A229" t="inlineStr">
        <is>
          <t>BOGOTA</t>
        </is>
      </c>
      <c r="B229" t="inlineStr">
        <is>
          <t>CUNDINAMARCA</t>
        </is>
      </c>
      <c r="C229" t="inlineStr">
        <is>
          <t>0004-0004</t>
        </is>
      </c>
      <c r="D229" t="inlineStr">
        <is>
          <t>11001</t>
        </is>
      </c>
      <c r="E229" t="inlineStr">
        <is>
          <t>TA-25-931155</t>
        </is>
      </c>
      <c r="F229" t="inlineStr">
        <is>
          <t>3007080832</t>
        </is>
      </c>
      <c r="G229" t="inlineStr">
        <is>
          <t>APERTURA</t>
        </is>
      </c>
      <c r="H229" t="inlineStr">
        <is>
          <t>CB CRECIMIENTO ALIANZA - NUEVO</t>
        </is>
      </c>
      <c r="I229" t="inlineStr">
        <is>
          <t>CUNDINAMARCA</t>
        </is>
      </c>
      <c r="J229" t="inlineStr">
        <is>
          <t>BOGOTA</t>
        </is>
      </c>
      <c r="K229" t="inlineStr">
        <is>
          <t>PTM BOGOTA CASA DE EVENTOS MAR</t>
        </is>
      </c>
      <c r="L229" t="inlineStr">
        <is>
          <t>BANCOLOMBIA</t>
        </is>
      </c>
      <c r="M229" t="inlineStr">
        <is>
          <t>FO-25-1339020</t>
        </is>
      </c>
      <c r="N229" s="46" t="n">
        <v>45875.75486111111</v>
      </c>
      <c r="O229" s="46" t="n">
        <v>45880.64791666667</v>
      </c>
      <c r="P229" t="inlineStr">
        <is>
          <t>AGREGADOR</t>
        </is>
      </c>
      <c r="Q229" t="inlineStr">
        <is>
          <t>COMCARD - PTM</t>
        </is>
      </c>
      <c r="R229" t="inlineStr">
        <is>
          <t>EJECUTADO</t>
        </is>
      </c>
      <c r="S229" t="inlineStr">
        <is>
          <t>VISITA TECNICA</t>
        </is>
      </c>
      <c r="T229" t="inlineStr">
        <is>
          <t>FHZZZ027 - FFZZZ123</t>
        </is>
      </c>
      <c r="U229" t="inlineStr">
        <is>
          <t>TIPO I</t>
        </is>
      </c>
      <c r="V229" t="inlineStr">
        <is>
          <t>TERRESTRE</t>
        </is>
      </c>
      <c r="W229" t="inlineStr">
        <is>
          <t>ORTIZ MARTINEZ STIVEN</t>
        </is>
      </c>
      <c r="X229" t="inlineStr">
        <is>
          <t>Si</t>
        </is>
      </c>
      <c r="Y229" t="inlineStr">
        <is>
          <t>Si</t>
        </is>
      </c>
      <c r="Z229" s="45" t="n">
        <v>0</v>
      </c>
      <c r="AA229" t="inlineStr">
        <is>
          <t>0</t>
        </is>
      </c>
      <c r="AB229" s="45" t="n">
        <v>194983</v>
      </c>
      <c r="AC229" s="45" t="n">
        <v>0</v>
      </c>
    </row>
    <row r="230">
      <c r="A230" t="inlineStr">
        <is>
          <t>MONTERIA</t>
        </is>
      </c>
      <c r="B230" t="inlineStr">
        <is>
          <t>COSTA</t>
        </is>
      </c>
      <c r="C230" t="inlineStr">
        <is>
          <t>0004-0001</t>
        </is>
      </c>
      <c r="D230" t="inlineStr">
        <is>
          <t>5154</t>
        </is>
      </c>
      <c r="E230" t="inlineStr">
        <is>
          <t>TA-25-931157</t>
        </is>
      </c>
      <c r="F230" t="inlineStr">
        <is>
          <t>3007080876</t>
        </is>
      </c>
      <c r="G230" t="inlineStr">
        <is>
          <t>APERTURA</t>
        </is>
      </c>
      <c r="H230" t="inlineStr">
        <is>
          <t>CB CRECIMIENTO - NUEVO</t>
        </is>
      </c>
      <c r="I230" t="inlineStr">
        <is>
          <t>ANTIOQUIA</t>
        </is>
      </c>
      <c r="J230" t="inlineStr">
        <is>
          <t>CAUCASIA</t>
        </is>
      </c>
      <c r="K230" t="inlineStr">
        <is>
          <t>BARRIO ASOVIVIENDA CAUCASIA 2</t>
        </is>
      </c>
      <c r="L230" t="inlineStr">
        <is>
          <t>BANCOLOMBIA</t>
        </is>
      </c>
      <c r="M230" t="inlineStr">
        <is>
          <t>FO-25-1339032</t>
        </is>
      </c>
      <c r="N230" s="46" t="n">
        <v>45875.59236111111</v>
      </c>
      <c r="O230" s="46" t="n">
        <v>45877.52847222222</v>
      </c>
      <c r="P230" t="inlineStr">
        <is>
          <t>UNO A UNO</t>
        </is>
      </c>
      <c r="Q230" t="inlineStr">
        <is>
          <t>UNO A UNO</t>
        </is>
      </c>
      <c r="R230" t="inlineStr">
        <is>
          <t>EJECUTADO</t>
        </is>
      </c>
      <c r="S230" t="inlineStr">
        <is>
          <t>VISITA TECNICA</t>
        </is>
      </c>
      <c r="T230" t="inlineStr">
        <is>
          <t>FGZZZ910</t>
        </is>
      </c>
      <c r="U230" t="inlineStr">
        <is>
          <t>TIPO II</t>
        </is>
      </c>
      <c r="V230" t="inlineStr">
        <is>
          <t>TERRESTRE</t>
        </is>
      </c>
      <c r="W230" t="inlineStr">
        <is>
          <t>CASSIANI PEREZ RAUL RAMIRO</t>
        </is>
      </c>
      <c r="X230" t="inlineStr">
        <is>
          <t>Si</t>
        </is>
      </c>
      <c r="Y230" t="inlineStr">
        <is>
          <t>Si</t>
        </is>
      </c>
      <c r="Z230" s="45" t="n">
        <v>0</v>
      </c>
      <c r="AA230" t="inlineStr">
        <is>
          <t>0</t>
        </is>
      </c>
      <c r="AB230" s="45" t="n">
        <v>248376</v>
      </c>
      <c r="AC230" s="45" t="n">
        <v>0</v>
      </c>
    </row>
    <row r="231">
      <c r="A231" t="inlineStr">
        <is>
          <t>NEIVA</t>
        </is>
      </c>
      <c r="B231" t="inlineStr">
        <is>
          <t>REMOTAS</t>
        </is>
      </c>
      <c r="C231" t="inlineStr">
        <is>
          <t>0004-0007</t>
        </is>
      </c>
      <c r="D231" t="inlineStr">
        <is>
          <t>41020</t>
        </is>
      </c>
      <c r="E231" t="inlineStr">
        <is>
          <t>TA-25-931158</t>
        </is>
      </c>
      <c r="F231" t="inlineStr">
        <is>
          <t>3007080864</t>
        </is>
      </c>
      <c r="G231" t="inlineStr">
        <is>
          <t>APERTURA</t>
        </is>
      </c>
      <c r="H231" t="inlineStr">
        <is>
          <t>CB CRECIMIENTO - NUEVO</t>
        </is>
      </c>
      <c r="I231" t="inlineStr">
        <is>
          <t>HUILA</t>
        </is>
      </c>
      <c r="J231" t="inlineStr">
        <is>
          <t>ALGECIRAS</t>
        </is>
      </c>
      <c r="K231" t="inlineStr">
        <is>
          <t>BARRIO CENTRO ALGECIRAS 18</t>
        </is>
      </c>
      <c r="L231" t="inlineStr">
        <is>
          <t>BANCOLOMBIA</t>
        </is>
      </c>
      <c r="M231" t="inlineStr">
        <is>
          <t>FO-25-1339039</t>
        </is>
      </c>
      <c r="N231" s="46" t="n">
        <v>45875.42013888889</v>
      </c>
      <c r="O231" s="46" t="n">
        <v>45879.67430555556</v>
      </c>
      <c r="P231" t="inlineStr">
        <is>
          <t>UNO A UNO</t>
        </is>
      </c>
      <c r="Q231" t="inlineStr">
        <is>
          <t>UNO A UNO</t>
        </is>
      </c>
      <c r="R231" t="inlineStr">
        <is>
          <t>EJECUTADO</t>
        </is>
      </c>
      <c r="S231" t="inlineStr">
        <is>
          <t>VISITA TECNICA</t>
        </is>
      </c>
      <c r="T231" t="inlineStr">
        <is>
          <t>FGZZZ911</t>
        </is>
      </c>
      <c r="U231" t="inlineStr">
        <is>
          <t>TIPO II</t>
        </is>
      </c>
      <c r="V231" t="inlineStr">
        <is>
          <t>TERRESTRE</t>
        </is>
      </c>
      <c r="W231" t="inlineStr">
        <is>
          <t>DEVIA REINOSO JUAN CARLOS</t>
        </is>
      </c>
      <c r="X231" t="inlineStr">
        <is>
          <t>Si</t>
        </is>
      </c>
      <c r="Y231" t="inlineStr">
        <is>
          <t>Si</t>
        </is>
      </c>
      <c r="Z231" s="45" t="n">
        <v>0</v>
      </c>
      <c r="AA231" t="inlineStr">
        <is>
          <t>0</t>
        </is>
      </c>
      <c r="AB231" s="45" t="n">
        <v>248376</v>
      </c>
      <c r="AC231" s="45" t="n">
        <v>0</v>
      </c>
    </row>
    <row r="232">
      <c r="A232" t="inlineStr">
        <is>
          <t>TUNJA</t>
        </is>
      </c>
      <c r="B232" t="inlineStr">
        <is>
          <t>SANTANDERES</t>
        </is>
      </c>
      <c r="C232" t="inlineStr">
        <is>
          <t>0004-0008</t>
        </is>
      </c>
      <c r="D232" t="inlineStr">
        <is>
          <t>15367</t>
        </is>
      </c>
      <c r="E232" t="inlineStr">
        <is>
          <t>TA-25-931159</t>
        </is>
      </c>
      <c r="F232" t="inlineStr">
        <is>
          <t>3007080894</t>
        </is>
      </c>
      <c r="G232" t="inlineStr">
        <is>
          <t>APERTURA</t>
        </is>
      </c>
      <c r="H232" t="inlineStr">
        <is>
          <t>CB CRECIMIENTO - NUEVO</t>
        </is>
      </c>
      <c r="I232" t="inlineStr">
        <is>
          <t>BOYACA</t>
        </is>
      </c>
      <c r="J232" t="inlineStr">
        <is>
          <t>JENESANO</t>
        </is>
      </c>
      <c r="K232" t="inlineStr">
        <is>
          <t>BARRIO CENTRO JENESANO 7</t>
        </is>
      </c>
      <c r="L232" t="inlineStr">
        <is>
          <t>BANCOLOMBIA</t>
        </is>
      </c>
      <c r="M232" t="inlineStr">
        <is>
          <t>FO-25-1339047</t>
        </is>
      </c>
      <c r="N232" s="46" t="n">
        <v>45875.66597222222</v>
      </c>
      <c r="O232" s="46" t="n">
        <v>45881.39861111111</v>
      </c>
      <c r="P232" t="inlineStr">
        <is>
          <t>UNO A UNO</t>
        </is>
      </c>
      <c r="Q232" t="inlineStr">
        <is>
          <t>UNO A UNO</t>
        </is>
      </c>
      <c r="R232" t="inlineStr">
        <is>
          <t>EJECUTADO</t>
        </is>
      </c>
      <c r="S232" t="inlineStr">
        <is>
          <t>VISITA TECNICA</t>
        </is>
      </c>
      <c r="T232" t="inlineStr">
        <is>
          <t>FGZZZ912</t>
        </is>
      </c>
      <c r="U232" t="inlineStr">
        <is>
          <t>TIPO II</t>
        </is>
      </c>
      <c r="V232" t="inlineStr">
        <is>
          <t>TERRESTRE</t>
        </is>
      </c>
      <c r="W232" t="inlineStr">
        <is>
          <t>SOLER HOYOS CRISTIAN LEONARDO</t>
        </is>
      </c>
      <c r="X232" t="inlineStr">
        <is>
          <t>Si</t>
        </is>
      </c>
      <c r="Y232" t="inlineStr">
        <is>
          <t>Si</t>
        </is>
      </c>
      <c r="Z232" s="45" t="n">
        <v>0</v>
      </c>
      <c r="AA232" t="inlineStr">
        <is>
          <t>0</t>
        </is>
      </c>
      <c r="AB232" s="45" t="n">
        <v>248376</v>
      </c>
      <c r="AC232" s="45" t="n">
        <v>0</v>
      </c>
    </row>
    <row r="233">
      <c r="A233" t="inlineStr">
        <is>
          <t>BARRANQUILLA</t>
        </is>
      </c>
      <c r="B233" t="inlineStr">
        <is>
          <t>COSTA</t>
        </is>
      </c>
      <c r="C233" t="inlineStr">
        <is>
          <t>0004-0001</t>
        </is>
      </c>
      <c r="D233" t="inlineStr">
        <is>
          <t>8758</t>
        </is>
      </c>
      <c r="E233" t="inlineStr">
        <is>
          <t>TA-25-931160</t>
        </is>
      </c>
      <c r="F233" t="inlineStr">
        <is>
          <t>3007080917</t>
        </is>
      </c>
      <c r="G233" t="inlineStr">
        <is>
          <t>APERTURA</t>
        </is>
      </c>
      <c r="H233" t="inlineStr">
        <is>
          <t>CB CRECIMIENTO - NUEVO</t>
        </is>
      </c>
      <c r="I233" t="inlineStr">
        <is>
          <t>ATLANTICO</t>
        </is>
      </c>
      <c r="J233" t="inlineStr">
        <is>
          <t>SOLEDAD</t>
        </is>
      </c>
      <c r="K233" t="inlineStr">
        <is>
          <t>BARRIO MANANTIALES SOLEDAD</t>
        </is>
      </c>
      <c r="L233" t="inlineStr">
        <is>
          <t>BANCOLOMBIA</t>
        </is>
      </c>
      <c r="M233" t="inlineStr">
        <is>
          <t>FO-25-1339054</t>
        </is>
      </c>
      <c r="N233" s="46" t="n">
        <v>45875.69236111111</v>
      </c>
      <c r="O233" s="46" t="n">
        <v>45880.61111111111</v>
      </c>
      <c r="P233" t="inlineStr">
        <is>
          <t>UNO A UNO</t>
        </is>
      </c>
      <c r="Q233" t="inlineStr">
        <is>
          <t>UNO A UNO</t>
        </is>
      </c>
      <c r="R233" t="inlineStr">
        <is>
          <t>EJECUTADO</t>
        </is>
      </c>
      <c r="S233" t="inlineStr">
        <is>
          <t>VISITA TECNICA</t>
        </is>
      </c>
      <c r="T233" t="inlineStr">
        <is>
          <t>FGZZZ913</t>
        </is>
      </c>
      <c r="U233" t="inlineStr">
        <is>
          <t>TIPO I</t>
        </is>
      </c>
      <c r="V233" t="inlineStr">
        <is>
          <t>TERRESTRE</t>
        </is>
      </c>
      <c r="W233" t="inlineStr">
        <is>
          <t>DE AGUAS MUÑOZ DAVID JOSE</t>
        </is>
      </c>
      <c r="X233" t="inlineStr">
        <is>
          <t>Si</t>
        </is>
      </c>
      <c r="Y233" t="inlineStr">
        <is>
          <t>Si</t>
        </is>
      </c>
      <c r="Z233" s="45" t="n">
        <v>0</v>
      </c>
      <c r="AA233" t="inlineStr">
        <is>
          <t>0</t>
        </is>
      </c>
      <c r="AB233" s="45" t="n">
        <v>194983</v>
      </c>
      <c r="AC233" s="45" t="n">
        <v>0</v>
      </c>
    </row>
    <row r="234">
      <c r="A234" t="inlineStr">
        <is>
          <t>IBAGUE</t>
        </is>
      </c>
      <c r="B234" t="inlineStr">
        <is>
          <t>REMOTAS</t>
        </is>
      </c>
      <c r="C234" t="inlineStr">
        <is>
          <t>0004-0007</t>
        </is>
      </c>
      <c r="D234" t="inlineStr">
        <is>
          <t>73001</t>
        </is>
      </c>
      <c r="E234" t="inlineStr">
        <is>
          <t>TA-25-931161</t>
        </is>
      </c>
      <c r="F234" t="inlineStr">
        <is>
          <t>3007080888</t>
        </is>
      </c>
      <c r="G234" t="inlineStr">
        <is>
          <t>APERTURA</t>
        </is>
      </c>
      <c r="H234" t="inlineStr">
        <is>
          <t>CB CRECIMIENTO - NUEVO</t>
        </is>
      </c>
      <c r="I234" t="inlineStr">
        <is>
          <t>TOLIMA</t>
        </is>
      </c>
      <c r="J234" t="inlineStr">
        <is>
          <t>IBAGUE</t>
        </is>
      </c>
      <c r="K234" t="inlineStr">
        <is>
          <t>BARRIO GAITAN IBAGUE</t>
        </is>
      </c>
      <c r="L234" t="inlineStr">
        <is>
          <t>BANCOLOMBIA</t>
        </is>
      </c>
      <c r="M234" t="inlineStr">
        <is>
          <t>FO-25-1339064</t>
        </is>
      </c>
      <c r="N234" s="46" t="n">
        <v>45875.42013888889</v>
      </c>
      <c r="O234" s="46" t="n">
        <v>45883.25694444445</v>
      </c>
      <c r="P234" t="inlineStr">
        <is>
          <t>UNO A UNO</t>
        </is>
      </c>
      <c r="Q234" t="inlineStr">
        <is>
          <t>UNO A UNO</t>
        </is>
      </c>
      <c r="R234" t="inlineStr">
        <is>
          <t>EJECUTADO</t>
        </is>
      </c>
      <c r="S234" t="inlineStr">
        <is>
          <t>VISITA TECNICA</t>
        </is>
      </c>
      <c r="T234" t="inlineStr">
        <is>
          <t>FGZZZ914</t>
        </is>
      </c>
      <c r="U234" t="inlineStr">
        <is>
          <t>TIPO I</t>
        </is>
      </c>
      <c r="V234" t="inlineStr">
        <is>
          <t>TERRESTRE</t>
        </is>
      </c>
      <c r="W234" t="inlineStr">
        <is>
          <t>GUTIERREZ  CAMILO ANDRES</t>
        </is>
      </c>
      <c r="X234" t="inlineStr">
        <is>
          <t>Si</t>
        </is>
      </c>
      <c r="Y234" t="inlineStr">
        <is>
          <t>Si</t>
        </is>
      </c>
      <c r="Z234" s="45" t="n">
        <v>0</v>
      </c>
      <c r="AA234" t="inlineStr">
        <is>
          <t>0</t>
        </is>
      </c>
      <c r="AB234" s="45" t="n">
        <v>194983</v>
      </c>
      <c r="AC234" s="45" t="n">
        <v>0</v>
      </c>
    </row>
    <row r="235">
      <c r="A235" t="inlineStr">
        <is>
          <t>CARTAGENA</t>
        </is>
      </c>
      <c r="B235" t="inlineStr">
        <is>
          <t>COSTA</t>
        </is>
      </c>
      <c r="C235" t="inlineStr">
        <is>
          <t>0004-0001</t>
        </is>
      </c>
      <c r="D235" t="inlineStr">
        <is>
          <t>13001</t>
        </is>
      </c>
      <c r="E235" t="inlineStr">
        <is>
          <t>TA-25-931162</t>
        </is>
      </c>
      <c r="F235" t="inlineStr">
        <is>
          <t>3007080875</t>
        </is>
      </c>
      <c r="G235" t="inlineStr">
        <is>
          <t>APERTURA</t>
        </is>
      </c>
      <c r="H235" t="inlineStr">
        <is>
          <t>CB CRECIMIENTO - NUEVO</t>
        </is>
      </c>
      <c r="I235" t="inlineStr">
        <is>
          <t>BOLIVAR</t>
        </is>
      </c>
      <c r="J235" t="inlineStr">
        <is>
          <t>CARTAGENA</t>
        </is>
      </c>
      <c r="K235" t="inlineStr">
        <is>
          <t>BRR CIUDAD BICENTENARIO SEC SAN SEBASTIAN CARTAGENA DE INDIAS</t>
        </is>
      </c>
      <c r="L235" t="inlineStr">
        <is>
          <t>BANCOLOMBIA</t>
        </is>
      </c>
      <c r="M235" t="inlineStr">
        <is>
          <t>FO-25-1339072</t>
        </is>
      </c>
      <c r="N235" s="46" t="n">
        <v>45875.60625</v>
      </c>
      <c r="O235" s="46" t="n">
        <v>45882.58680555555</v>
      </c>
      <c r="P235" t="inlineStr">
        <is>
          <t>UNO A UNO</t>
        </is>
      </c>
      <c r="Q235" t="inlineStr">
        <is>
          <t>UNO A UNO</t>
        </is>
      </c>
      <c r="R235" t="inlineStr">
        <is>
          <t>EJECUTADO</t>
        </is>
      </c>
      <c r="S235" t="inlineStr">
        <is>
          <t>VISITA TECNICA</t>
        </is>
      </c>
      <c r="T235" t="inlineStr">
        <is>
          <t>FGZZZ915</t>
        </is>
      </c>
      <c r="U235" t="inlineStr">
        <is>
          <t>TIPO I</t>
        </is>
      </c>
      <c r="V235" t="inlineStr">
        <is>
          <t>TERRESTRE</t>
        </is>
      </c>
      <c r="W235" t="inlineStr">
        <is>
          <t>CANEDO HERRERA ALEXANDER</t>
        </is>
      </c>
      <c r="X235" t="inlineStr">
        <is>
          <t>Si</t>
        </is>
      </c>
      <c r="Y235" t="inlineStr">
        <is>
          <t>Si</t>
        </is>
      </c>
      <c r="Z235" s="45" t="n">
        <v>0</v>
      </c>
      <c r="AA235" t="inlineStr">
        <is>
          <t>0</t>
        </is>
      </c>
      <c r="AB235" s="45" t="n">
        <v>194983</v>
      </c>
      <c r="AC235" s="45" t="n">
        <v>0</v>
      </c>
    </row>
    <row r="236">
      <c r="A236" t="inlineStr">
        <is>
          <t>IBAGUE</t>
        </is>
      </c>
      <c r="B236" t="inlineStr">
        <is>
          <t>REMOTAS</t>
        </is>
      </c>
      <c r="C236" t="inlineStr">
        <is>
          <t>0004-0007</t>
        </is>
      </c>
      <c r="D236" t="inlineStr">
        <is>
          <t>73001</t>
        </is>
      </c>
      <c r="E236" t="inlineStr">
        <is>
          <t>TA-25-931163</t>
        </is>
      </c>
      <c r="F236" t="inlineStr">
        <is>
          <t>3007080889</t>
        </is>
      </c>
      <c r="G236" t="inlineStr">
        <is>
          <t>APERTURA</t>
        </is>
      </c>
      <c r="H236" t="inlineStr">
        <is>
          <t>CB CRECIMIENTO - NUEVO</t>
        </is>
      </c>
      <c r="I236" t="inlineStr">
        <is>
          <t>TOLIMA</t>
        </is>
      </c>
      <c r="J236" t="inlineStr">
        <is>
          <t>IBAGUE</t>
        </is>
      </c>
      <c r="K236" t="inlineStr">
        <is>
          <t>BARRIO SAN REMO IBAGUE</t>
        </is>
      </c>
      <c r="L236" t="inlineStr">
        <is>
          <t>BANCOLOMBIA</t>
        </is>
      </c>
      <c r="M236" t="inlineStr">
        <is>
          <t>FO-25-1339083</t>
        </is>
      </c>
      <c r="N236" s="46" t="n">
        <v>45875.42013888889</v>
      </c>
      <c r="O236" s="46" t="n">
        <v>45881.29375</v>
      </c>
      <c r="P236" t="inlineStr">
        <is>
          <t>UNO A UNO</t>
        </is>
      </c>
      <c r="Q236" t="inlineStr">
        <is>
          <t>UNO A UNO</t>
        </is>
      </c>
      <c r="R236" t="inlineStr">
        <is>
          <t>EJECUTADO</t>
        </is>
      </c>
      <c r="S236" t="inlineStr">
        <is>
          <t>VISITA TECNICA</t>
        </is>
      </c>
      <c r="T236" t="inlineStr">
        <is>
          <t>FGZZZ916</t>
        </is>
      </c>
      <c r="U236" t="inlineStr">
        <is>
          <t>TIPO I</t>
        </is>
      </c>
      <c r="V236" t="inlineStr">
        <is>
          <t>TERRESTRE</t>
        </is>
      </c>
      <c r="W236" t="inlineStr">
        <is>
          <t>BARRAGAN TAFUR EDWIN ESTEBAN</t>
        </is>
      </c>
      <c r="X236" t="inlineStr">
        <is>
          <t>Si</t>
        </is>
      </c>
      <c r="Y236" t="inlineStr">
        <is>
          <t>Si</t>
        </is>
      </c>
      <c r="Z236" s="45" t="n">
        <v>0</v>
      </c>
      <c r="AA236" t="inlineStr">
        <is>
          <t>0</t>
        </is>
      </c>
      <c r="AB236" s="45" t="n">
        <v>194983</v>
      </c>
      <c r="AC236" s="45" t="n">
        <v>0</v>
      </c>
    </row>
    <row r="237">
      <c r="A237" t="inlineStr">
        <is>
          <t>BUCARAMANGA</t>
        </is>
      </c>
      <c r="B237" t="inlineStr">
        <is>
          <t>SANTANDERES</t>
        </is>
      </c>
      <c r="C237" t="inlineStr">
        <is>
          <t>0004-0008</t>
        </is>
      </c>
      <c r="D237" t="inlineStr">
        <is>
          <t>68547</t>
        </is>
      </c>
      <c r="E237" t="inlineStr">
        <is>
          <t>TA-25-931164</t>
        </is>
      </c>
      <c r="F237" t="inlineStr">
        <is>
          <t>3007080909</t>
        </is>
      </c>
      <c r="G237" t="inlineStr">
        <is>
          <t>APERTURA</t>
        </is>
      </c>
      <c r="H237" t="inlineStr">
        <is>
          <t>CB CRECIMIENTO - NUEVO</t>
        </is>
      </c>
      <c r="I237" t="inlineStr">
        <is>
          <t>SANTANDER</t>
        </is>
      </c>
      <c r="J237" t="inlineStr">
        <is>
          <t>PIEDECUESTA</t>
        </is>
      </c>
      <c r="K237" t="inlineStr">
        <is>
          <t>BARRIO SAN CARLOS PIEDECUESTA 1</t>
        </is>
      </c>
      <c r="L237" t="inlineStr">
        <is>
          <t>BANCOLOMBIA</t>
        </is>
      </c>
      <c r="M237" t="inlineStr">
        <is>
          <t>FO-25-1339090</t>
        </is>
      </c>
      <c r="N237" s="46" t="n">
        <v>45875.61458333334</v>
      </c>
      <c r="O237" s="46" t="n">
        <v>45881.32708333333</v>
      </c>
      <c r="P237" t="inlineStr">
        <is>
          <t>UNO A UNO</t>
        </is>
      </c>
      <c r="Q237" t="inlineStr">
        <is>
          <t>UNO A UNO</t>
        </is>
      </c>
      <c r="R237" t="inlineStr">
        <is>
          <t>EJECUTADO</t>
        </is>
      </c>
      <c r="S237" t="inlineStr">
        <is>
          <t>VISITA TECNICA</t>
        </is>
      </c>
      <c r="T237" t="inlineStr">
        <is>
          <t>FGZZZ917</t>
        </is>
      </c>
      <c r="U237" t="inlineStr">
        <is>
          <t>TIPO II</t>
        </is>
      </c>
      <c r="V237" t="inlineStr">
        <is>
          <t>TERRESTRE</t>
        </is>
      </c>
      <c r="W237" t="inlineStr">
        <is>
          <t>PEÑA DIAZ IVAN YESID</t>
        </is>
      </c>
      <c r="X237" t="inlineStr">
        <is>
          <t>Si</t>
        </is>
      </c>
      <c r="Y237" t="inlineStr">
        <is>
          <t>Si</t>
        </is>
      </c>
      <c r="Z237" s="45" t="n">
        <v>0</v>
      </c>
      <c r="AA237" t="inlineStr">
        <is>
          <t>0</t>
        </is>
      </c>
      <c r="AB237" s="45" t="n">
        <v>248376</v>
      </c>
      <c r="AC237" s="45" t="n">
        <v>0</v>
      </c>
    </row>
    <row r="238">
      <c r="A238" t="inlineStr">
        <is>
          <t>BOGOTA</t>
        </is>
      </c>
      <c r="B238" t="inlineStr">
        <is>
          <t>CUNDINAMARCA</t>
        </is>
      </c>
      <c r="C238" t="inlineStr">
        <is>
          <t>0004-0004</t>
        </is>
      </c>
      <c r="D238" t="inlineStr">
        <is>
          <t>11001</t>
        </is>
      </c>
      <c r="E238" t="inlineStr">
        <is>
          <t>TA-25-931165</t>
        </is>
      </c>
      <c r="F238" t="inlineStr">
        <is>
          <t>3007080866</t>
        </is>
      </c>
      <c r="G238" t="inlineStr">
        <is>
          <t>APERTURA</t>
        </is>
      </c>
      <c r="H238" t="inlineStr">
        <is>
          <t>CB CRECIMIENTO - NUEVO</t>
        </is>
      </c>
      <c r="I238" t="inlineStr">
        <is>
          <t>CUNDINAMARCA</t>
        </is>
      </c>
      <c r="J238" t="inlineStr">
        <is>
          <t>BOGOTA</t>
        </is>
      </c>
      <c r="K238" t="inlineStr">
        <is>
          <t>BARRIO BOITA BOGOTA 8</t>
        </is>
      </c>
      <c r="L238" t="inlineStr">
        <is>
          <t>BANCOLOMBIA</t>
        </is>
      </c>
      <c r="M238" t="inlineStr">
        <is>
          <t>FO-25-1339105</t>
        </is>
      </c>
      <c r="N238" s="46" t="n">
        <v>45875.75486111111</v>
      </c>
      <c r="O238" s="46" t="n">
        <v>45880.61319444444</v>
      </c>
      <c r="P238" t="inlineStr">
        <is>
          <t>UNO A UNO</t>
        </is>
      </c>
      <c r="Q238" t="inlineStr">
        <is>
          <t>UNO A UNO</t>
        </is>
      </c>
      <c r="R238" t="inlineStr">
        <is>
          <t>EJECUTADO</t>
        </is>
      </c>
      <c r="S238" t="inlineStr">
        <is>
          <t>VISITA TECNICA</t>
        </is>
      </c>
      <c r="T238" t="inlineStr">
        <is>
          <t>FGZZZ918</t>
        </is>
      </c>
      <c r="U238" t="inlineStr">
        <is>
          <t>TIPO I</t>
        </is>
      </c>
      <c r="V238" t="inlineStr">
        <is>
          <t>TERRESTRE</t>
        </is>
      </c>
      <c r="W238" t="inlineStr">
        <is>
          <t>ORTIZ MARTINEZ STIVEN</t>
        </is>
      </c>
      <c r="X238" t="inlineStr">
        <is>
          <t>Si</t>
        </is>
      </c>
      <c r="Y238" t="inlineStr">
        <is>
          <t>Si</t>
        </is>
      </c>
      <c r="Z238" s="45" t="n">
        <v>0</v>
      </c>
      <c r="AA238" t="inlineStr">
        <is>
          <t>0</t>
        </is>
      </c>
      <c r="AB238" s="45" t="n">
        <v>194983</v>
      </c>
      <c r="AC238" s="45" t="n">
        <v>0</v>
      </c>
    </row>
    <row r="239">
      <c r="A239" t="inlineStr">
        <is>
          <t>CALI</t>
        </is>
      </c>
      <c r="B239" t="inlineStr">
        <is>
          <t>SUROCCIDENTE Y EJE CAFETERO</t>
        </is>
      </c>
      <c r="C239" t="inlineStr">
        <is>
          <t>0004-0003</t>
        </is>
      </c>
      <c r="D239" t="inlineStr">
        <is>
          <t>19455</t>
        </is>
      </c>
      <c r="E239" t="inlineStr">
        <is>
          <t>TA-25-931166</t>
        </is>
      </c>
      <c r="F239" t="inlineStr">
        <is>
          <t>3007080895</t>
        </is>
      </c>
      <c r="G239" t="inlineStr">
        <is>
          <t>APERTURA</t>
        </is>
      </c>
      <c r="H239" t="inlineStr">
        <is>
          <t>CB CRECIMIENTO - NUEVO</t>
        </is>
      </c>
      <c r="I239" t="inlineStr">
        <is>
          <t>CAUCA</t>
        </is>
      </c>
      <c r="J239" t="inlineStr">
        <is>
          <t>MIRANDA</t>
        </is>
      </c>
      <c r="K239" t="inlineStr">
        <is>
          <t>BARRIO CENTRO MIRANDA 3</t>
        </is>
      </c>
      <c r="L239" t="inlineStr">
        <is>
          <t>BANCOLOMBIA</t>
        </is>
      </c>
      <c r="M239" t="inlineStr">
        <is>
          <t>FO-25-1339113</t>
        </is>
      </c>
      <c r="N239" s="46" t="n">
        <v>45875.71319444444</v>
      </c>
      <c r="O239" s="46" t="n">
        <v>45877.61597222222</v>
      </c>
      <c r="P239" t="inlineStr">
        <is>
          <t>UNO A UNO</t>
        </is>
      </c>
      <c r="Q239" t="inlineStr">
        <is>
          <t>UNO A UNO</t>
        </is>
      </c>
      <c r="R239" t="inlineStr">
        <is>
          <t>EJECUTADO</t>
        </is>
      </c>
      <c r="S239" t="inlineStr">
        <is>
          <t>VISITA TECNICA</t>
        </is>
      </c>
      <c r="T239" t="inlineStr">
        <is>
          <t>FGZZZ919</t>
        </is>
      </c>
      <c r="U239" t="inlineStr">
        <is>
          <t>TIPO III</t>
        </is>
      </c>
      <c r="V239" t="inlineStr">
        <is>
          <t>TERRESTRE</t>
        </is>
      </c>
      <c r="W239" t="inlineStr">
        <is>
          <t>PAREDES CASTILLO DIEGO</t>
        </is>
      </c>
      <c r="X239" t="inlineStr">
        <is>
          <t>Si</t>
        </is>
      </c>
      <c r="Y239" t="inlineStr">
        <is>
          <t>Si</t>
        </is>
      </c>
      <c r="Z239" s="45" t="n">
        <v>0</v>
      </c>
      <c r="AA239" t="inlineStr">
        <is>
          <t>0</t>
        </is>
      </c>
      <c r="AB239" s="45" t="n">
        <v>248376</v>
      </c>
      <c r="AC239" s="45" t="n">
        <v>0</v>
      </c>
    </row>
    <row r="240">
      <c r="A240" t="inlineStr">
        <is>
          <t>PEREIRA</t>
        </is>
      </c>
      <c r="B240" t="inlineStr">
        <is>
          <t>SUROCCIDENTE Y EJE CAFETERO</t>
        </is>
      </c>
      <c r="C240" t="inlineStr">
        <is>
          <t>0004-0002</t>
        </is>
      </c>
      <c r="D240" t="inlineStr">
        <is>
          <t>76020</t>
        </is>
      </c>
      <c r="E240" t="inlineStr">
        <is>
          <t>TA-25-931167</t>
        </is>
      </c>
      <c r="F240" t="inlineStr">
        <is>
          <t>3007080863</t>
        </is>
      </c>
      <c r="G240" t="inlineStr">
        <is>
          <t>APERTURA</t>
        </is>
      </c>
      <c r="H240" t="inlineStr">
        <is>
          <t>CB CRECIMIENTO - NUEVO</t>
        </is>
      </c>
      <c r="I240" t="inlineStr">
        <is>
          <t>VALLE DEL CAUCA</t>
        </is>
      </c>
      <c r="J240" t="inlineStr">
        <is>
          <t>ALCALA</t>
        </is>
      </c>
      <c r="K240" t="inlineStr">
        <is>
          <t>BARRIO LA PLAZUELA ALCALA</t>
        </is>
      </c>
      <c r="L240" t="inlineStr">
        <is>
          <t>BANCOLOMBIA</t>
        </is>
      </c>
      <c r="M240" t="inlineStr">
        <is>
          <t>FO-25-1339125</t>
        </is>
      </c>
      <c r="N240" s="46" t="n">
        <v>45875.44375</v>
      </c>
      <c r="O240" s="46" t="n">
        <v>45880.61527777778</v>
      </c>
      <c r="P240" t="inlineStr">
        <is>
          <t>UNO A UNO</t>
        </is>
      </c>
      <c r="Q240" t="inlineStr">
        <is>
          <t>UNO A UNO</t>
        </is>
      </c>
      <c r="R240" t="inlineStr">
        <is>
          <t>EJECUTADO</t>
        </is>
      </c>
      <c r="S240" t="inlineStr">
        <is>
          <t>VISITA TECNICA</t>
        </is>
      </c>
      <c r="T240" t="inlineStr">
        <is>
          <t>FGZZZ920</t>
        </is>
      </c>
      <c r="U240" t="inlineStr">
        <is>
          <t>TIPO II</t>
        </is>
      </c>
      <c r="V240" t="inlineStr">
        <is>
          <t>TERRESTRE</t>
        </is>
      </c>
      <c r="W240" t="inlineStr">
        <is>
          <t>ARROYAVE CANO MANUEL GUILLERMO</t>
        </is>
      </c>
      <c r="X240" t="inlineStr">
        <is>
          <t>Si</t>
        </is>
      </c>
      <c r="Y240" t="inlineStr">
        <is>
          <t>Si</t>
        </is>
      </c>
      <c r="Z240" s="45" t="n">
        <v>0</v>
      </c>
      <c r="AA240" t="inlineStr">
        <is>
          <t>0</t>
        </is>
      </c>
      <c r="AB240" s="45" t="n">
        <v>248376</v>
      </c>
      <c r="AC240" s="45" t="n">
        <v>0</v>
      </c>
    </row>
    <row r="241">
      <c r="A241" t="inlineStr">
        <is>
          <t>PASTO</t>
        </is>
      </c>
      <c r="B241" t="inlineStr">
        <is>
          <t>SUROCCIDENTE Y EJE CAFETERO</t>
        </is>
      </c>
      <c r="C241" t="inlineStr">
        <is>
          <t>0004-0003</t>
        </is>
      </c>
      <c r="D241" t="inlineStr">
        <is>
          <t>52110</t>
        </is>
      </c>
      <c r="E241" t="inlineStr">
        <is>
          <t>TA-25-931170</t>
        </is>
      </c>
      <c r="F241" t="inlineStr">
        <is>
          <t>3007080869</t>
        </is>
      </c>
      <c r="G241" t="inlineStr">
        <is>
          <t>APERTURA</t>
        </is>
      </c>
      <c r="H241" t="inlineStr">
        <is>
          <t>CB CRECIMIENTO - NUEVO</t>
        </is>
      </c>
      <c r="I241" t="inlineStr">
        <is>
          <t>NARIÑO</t>
        </is>
      </c>
      <c r="J241" t="inlineStr">
        <is>
          <t>BUESACO</t>
        </is>
      </c>
      <c r="K241" t="inlineStr">
        <is>
          <t>BARRIO LA LOMA BUESACO</t>
        </is>
      </c>
      <c r="L241" t="inlineStr">
        <is>
          <t>BANCOLOMBIA</t>
        </is>
      </c>
      <c r="M241" t="inlineStr">
        <is>
          <t>FO-25-1339133</t>
        </is>
      </c>
      <c r="N241" s="46" t="n">
        <v>45875.73958333334</v>
      </c>
      <c r="O241" s="46" t="n">
        <v>45877.67361111111</v>
      </c>
      <c r="P241" t="inlineStr">
        <is>
          <t>UNO A UNO</t>
        </is>
      </c>
      <c r="Q241" t="inlineStr">
        <is>
          <t>UNO A UNO</t>
        </is>
      </c>
      <c r="R241" t="inlineStr">
        <is>
          <t>EJECUTADO</t>
        </is>
      </c>
      <c r="S241" t="inlineStr">
        <is>
          <t>VISITA TECNICA</t>
        </is>
      </c>
      <c r="T241" t="inlineStr">
        <is>
          <t>FGZZZ921</t>
        </is>
      </c>
      <c r="U241" t="inlineStr">
        <is>
          <t>TIPO II</t>
        </is>
      </c>
      <c r="V241" t="inlineStr">
        <is>
          <t>TERRESTRE</t>
        </is>
      </c>
      <c r="W241" t="inlineStr">
        <is>
          <t>PAZ MARTINEZ RICHARD HUMBERTO</t>
        </is>
      </c>
      <c r="X241" t="inlineStr">
        <is>
          <t>Si</t>
        </is>
      </c>
      <c r="Y241" t="inlineStr">
        <is>
          <t>Si</t>
        </is>
      </c>
      <c r="Z241" s="45" t="n">
        <v>0</v>
      </c>
      <c r="AA241" t="inlineStr">
        <is>
          <t>0</t>
        </is>
      </c>
      <c r="AB241" s="45" t="n">
        <v>248376</v>
      </c>
      <c r="AC241" s="45" t="n">
        <v>0</v>
      </c>
    </row>
    <row r="242">
      <c r="A242" t="inlineStr">
        <is>
          <t>BOGOTA</t>
        </is>
      </c>
      <c r="B242" t="inlineStr">
        <is>
          <t>CUNDINAMARCA</t>
        </is>
      </c>
      <c r="C242" t="inlineStr">
        <is>
          <t>0004-0004</t>
        </is>
      </c>
      <c r="D242" t="inlineStr">
        <is>
          <t>25754</t>
        </is>
      </c>
      <c r="E242" t="inlineStr">
        <is>
          <t>TA-25-931172</t>
        </is>
      </c>
      <c r="F242" t="inlineStr">
        <is>
          <t>3007080915</t>
        </is>
      </c>
      <c r="G242" t="inlineStr">
        <is>
          <t>APERTURA</t>
        </is>
      </c>
      <c r="H242" t="inlineStr">
        <is>
          <t>CB CRECIMIENTO - NUEVO</t>
        </is>
      </c>
      <c r="I242" t="inlineStr">
        <is>
          <t>CUNDINAMARCA</t>
        </is>
      </c>
      <c r="J242" t="inlineStr">
        <is>
          <t>SOACHA</t>
        </is>
      </c>
      <c r="K242" t="inlineStr">
        <is>
          <t>BARRIO TREBOL SOACHA SOACHA</t>
        </is>
      </c>
      <c r="L242" t="inlineStr">
        <is>
          <t>BANCOLOMBIA</t>
        </is>
      </c>
      <c r="M242" t="inlineStr">
        <is>
          <t>FO-25-1339140</t>
        </is>
      </c>
      <c r="N242" s="46" t="n">
        <v>45875.55902777778</v>
      </c>
      <c r="O242" s="46" t="n">
        <v>45877.55069444444</v>
      </c>
      <c r="P242" t="inlineStr">
        <is>
          <t>UNO A UNO</t>
        </is>
      </c>
      <c r="Q242" t="inlineStr">
        <is>
          <t>UNO A UNO</t>
        </is>
      </c>
      <c r="R242" t="inlineStr">
        <is>
          <t>EJECUTADO</t>
        </is>
      </c>
      <c r="S242" t="inlineStr">
        <is>
          <t>VISITA TECNICA</t>
        </is>
      </c>
      <c r="T242" t="inlineStr">
        <is>
          <t>FGZZZ923</t>
        </is>
      </c>
      <c r="U242" t="inlineStr">
        <is>
          <t>TIPO I</t>
        </is>
      </c>
      <c r="V242" t="inlineStr">
        <is>
          <t>TERRESTRE</t>
        </is>
      </c>
      <c r="W242" t="inlineStr">
        <is>
          <t>GALEANO SORIANO JUAN DAVID</t>
        </is>
      </c>
      <c r="X242" t="inlineStr">
        <is>
          <t>Si</t>
        </is>
      </c>
      <c r="Y242" t="inlineStr">
        <is>
          <t>Si</t>
        </is>
      </c>
      <c r="Z242" s="45" t="n">
        <v>0</v>
      </c>
      <c r="AA242" t="inlineStr">
        <is>
          <t>0</t>
        </is>
      </c>
      <c r="AB242" s="45" t="n">
        <v>194983</v>
      </c>
      <c r="AC242" s="45" t="n">
        <v>0</v>
      </c>
    </row>
    <row r="243">
      <c r="A243" t="inlineStr">
        <is>
          <t>BUCARAMANGA</t>
        </is>
      </c>
      <c r="B243" t="inlineStr">
        <is>
          <t>SANTANDERES</t>
        </is>
      </c>
      <c r="C243" t="inlineStr">
        <is>
          <t>0004-0008</t>
        </is>
      </c>
      <c r="D243" t="inlineStr">
        <is>
          <t>68001</t>
        </is>
      </c>
      <c r="E243" t="inlineStr">
        <is>
          <t>TA-25-931173</t>
        </is>
      </c>
      <c r="F243" t="inlineStr">
        <is>
          <t>3007080868</t>
        </is>
      </c>
      <c r="G243" t="inlineStr">
        <is>
          <t>APERTURA</t>
        </is>
      </c>
      <c r="H243" t="inlineStr">
        <is>
          <t>CB CRECIMIENTO - NUEVO</t>
        </is>
      </c>
      <c r="I243" t="inlineStr">
        <is>
          <t>SANTANDER</t>
        </is>
      </c>
      <c r="J243" t="inlineStr">
        <is>
          <t>BUCARAMANGA</t>
        </is>
      </c>
      <c r="K243" t="inlineStr">
        <is>
          <t>BARRIO TERMINAL DE BUCARAMANGA BUCARAMANGA</t>
        </is>
      </c>
      <c r="L243" t="inlineStr">
        <is>
          <t>BANCOLOMBIA</t>
        </is>
      </c>
      <c r="M243" t="inlineStr">
        <is>
          <t>FO-25-1339148</t>
        </is>
      </c>
      <c r="N243" s="46" t="n">
        <v>45875.61458333334</v>
      </c>
      <c r="O243" s="46" t="n">
        <v>45877.57083333333</v>
      </c>
      <c r="P243" t="inlineStr">
        <is>
          <t>UNO A UNO</t>
        </is>
      </c>
      <c r="Q243" t="inlineStr">
        <is>
          <t>UNO A UNO</t>
        </is>
      </c>
      <c r="R243" t="inlineStr">
        <is>
          <t>EJECUTADO</t>
        </is>
      </c>
      <c r="S243" t="inlineStr">
        <is>
          <t>VISITA TECNICA</t>
        </is>
      </c>
      <c r="T243" t="inlineStr">
        <is>
          <t>FGZZZ925</t>
        </is>
      </c>
      <c r="U243" t="inlineStr">
        <is>
          <t>TIPO I</t>
        </is>
      </c>
      <c r="V243" t="inlineStr">
        <is>
          <t>TERRESTRE</t>
        </is>
      </c>
      <c r="W243" t="inlineStr">
        <is>
          <t>GONZALEZ ESTUPIÑAN YEISON WALTER ANTONIO</t>
        </is>
      </c>
      <c r="X243" t="inlineStr">
        <is>
          <t>Si</t>
        </is>
      </c>
      <c r="Y243" t="inlineStr">
        <is>
          <t>Si</t>
        </is>
      </c>
      <c r="Z243" s="45" t="n">
        <v>0</v>
      </c>
      <c r="AA243" t="inlineStr">
        <is>
          <t>0</t>
        </is>
      </c>
      <c r="AB243" s="45" t="n">
        <v>194983</v>
      </c>
      <c r="AC243" s="45" t="n">
        <v>0</v>
      </c>
    </row>
    <row r="244">
      <c r="A244" t="inlineStr">
        <is>
          <t>MONTERIA</t>
        </is>
      </c>
      <c r="B244" t="inlineStr">
        <is>
          <t>COSTA</t>
        </is>
      </c>
      <c r="C244" t="inlineStr">
        <is>
          <t>0004-0001</t>
        </is>
      </c>
      <c r="D244" t="inlineStr">
        <is>
          <t>23464</t>
        </is>
      </c>
      <c r="E244" t="inlineStr">
        <is>
          <t>TA-25-931174</t>
        </is>
      </c>
      <c r="F244" t="inlineStr">
        <is>
          <t>3007080896</t>
        </is>
      </c>
      <c r="G244" t="inlineStr">
        <is>
          <t>APERTURA</t>
        </is>
      </c>
      <c r="H244" t="inlineStr">
        <is>
          <t>CB CRECIMIENTO - NUEVO</t>
        </is>
      </c>
      <c r="I244" t="inlineStr">
        <is>
          <t>CORDOBA</t>
        </is>
      </c>
      <c r="J244" t="inlineStr">
        <is>
          <t>MOMIL</t>
        </is>
      </c>
      <c r="K244" t="inlineStr">
        <is>
          <t>BARRIO SANTA LUCIA MOMIL 1</t>
        </is>
      </c>
      <c r="L244" t="inlineStr">
        <is>
          <t>BANCOLOMBIA</t>
        </is>
      </c>
      <c r="M244" t="inlineStr">
        <is>
          <t>FO-25-1339157</t>
        </is>
      </c>
      <c r="N244" s="46" t="n">
        <v>45875.59236111111</v>
      </c>
      <c r="O244" s="46" t="n">
        <v>45880.62986111111</v>
      </c>
      <c r="P244" t="inlineStr">
        <is>
          <t>UNO A UNO</t>
        </is>
      </c>
      <c r="Q244" t="inlineStr">
        <is>
          <t>UNO A UNO</t>
        </is>
      </c>
      <c r="R244" t="inlineStr">
        <is>
          <t>EJECUTADO</t>
        </is>
      </c>
      <c r="S244" t="inlineStr">
        <is>
          <t>VISITA TECNICA</t>
        </is>
      </c>
      <c r="T244" t="inlineStr">
        <is>
          <t>FGZZZ926</t>
        </is>
      </c>
      <c r="U244" t="inlineStr">
        <is>
          <t>TIPO II</t>
        </is>
      </c>
      <c r="V244" t="inlineStr">
        <is>
          <t>TERRESTRE</t>
        </is>
      </c>
      <c r="W244" t="inlineStr">
        <is>
          <t>CASSIANI PEREZ RAUL RAMIRO</t>
        </is>
      </c>
      <c r="X244" t="inlineStr">
        <is>
          <t>Si</t>
        </is>
      </c>
      <c r="Y244" t="inlineStr">
        <is>
          <t>Si</t>
        </is>
      </c>
      <c r="Z244" s="45" t="n">
        <v>0</v>
      </c>
      <c r="AA244" t="inlineStr">
        <is>
          <t>0</t>
        </is>
      </c>
      <c r="AB244" s="45" t="n">
        <v>248376</v>
      </c>
      <c r="AC244" s="45" t="n">
        <v>0</v>
      </c>
    </row>
    <row r="245">
      <c r="A245" t="inlineStr">
        <is>
          <t>NEIVA</t>
        </is>
      </c>
      <c r="B245" t="inlineStr">
        <is>
          <t>REMOTAS</t>
        </is>
      </c>
      <c r="C245" t="inlineStr">
        <is>
          <t>0004-0007</t>
        </is>
      </c>
      <c r="D245" t="inlineStr">
        <is>
          <t>41001</t>
        </is>
      </c>
      <c r="E245" t="inlineStr">
        <is>
          <t>TA-25-931176</t>
        </is>
      </c>
      <c r="F245" t="inlineStr">
        <is>
          <t>3007080901</t>
        </is>
      </c>
      <c r="G245" t="inlineStr">
        <is>
          <t>APERTURA</t>
        </is>
      </c>
      <c r="H245" t="inlineStr">
        <is>
          <t>CB CRECIMIENTO - NUEVO</t>
        </is>
      </c>
      <c r="I245" t="inlineStr">
        <is>
          <t>HUILA</t>
        </is>
      </c>
      <c r="J245" t="inlineStr">
        <is>
          <t>NEIVA</t>
        </is>
      </c>
      <c r="K245" t="inlineStr">
        <is>
          <t>BARRIO SAN VALENTIN NEIVA 2</t>
        </is>
      </c>
      <c r="L245" t="inlineStr">
        <is>
          <t>BANCOLOMBIA</t>
        </is>
      </c>
      <c r="M245" t="inlineStr">
        <is>
          <t>FO-25-1339169</t>
        </is>
      </c>
      <c r="N245" s="46" t="n">
        <v>45875.42083333333</v>
      </c>
      <c r="O245" s="46" t="n">
        <v>45879.66180555556</v>
      </c>
      <c r="P245" t="inlineStr">
        <is>
          <t>UNO A UNO</t>
        </is>
      </c>
      <c r="Q245" t="inlineStr">
        <is>
          <t>UNO A UNO</t>
        </is>
      </c>
      <c r="R245" t="inlineStr">
        <is>
          <t>EJECUTADO</t>
        </is>
      </c>
      <c r="S245" t="inlineStr">
        <is>
          <t>VISITA TECNICA</t>
        </is>
      </c>
      <c r="T245" t="inlineStr">
        <is>
          <t>FGZZZ927</t>
        </is>
      </c>
      <c r="U245" t="inlineStr">
        <is>
          <t>TIPO I</t>
        </is>
      </c>
      <c r="V245" t="inlineStr">
        <is>
          <t>TERRESTRE</t>
        </is>
      </c>
      <c r="W245" t="inlineStr">
        <is>
          <t>DIAZ VARGAS JONATHAN MIGUEL</t>
        </is>
      </c>
      <c r="X245" t="inlineStr">
        <is>
          <t>Si</t>
        </is>
      </c>
      <c r="Y245" t="inlineStr">
        <is>
          <t>Si</t>
        </is>
      </c>
      <c r="Z245" s="45" t="n">
        <v>0</v>
      </c>
      <c r="AA245" t="inlineStr">
        <is>
          <t>0</t>
        </is>
      </c>
      <c r="AB245" s="45" t="n">
        <v>194983</v>
      </c>
      <c r="AC245" s="45" t="n">
        <v>0</v>
      </c>
    </row>
    <row r="246">
      <c r="A246" t="inlineStr">
        <is>
          <t>CALI</t>
        </is>
      </c>
      <c r="B246" t="inlineStr">
        <is>
          <t>SUROCCIDENTE Y EJE CAFETERO</t>
        </is>
      </c>
      <c r="C246" t="inlineStr">
        <is>
          <t>0004-0003</t>
        </is>
      </c>
      <c r="D246" t="inlineStr">
        <is>
          <t>19845</t>
        </is>
      </c>
      <c r="E246" t="inlineStr">
        <is>
          <t>TA-25-931178</t>
        </is>
      </c>
      <c r="F246" t="inlineStr">
        <is>
          <t>3007080922</t>
        </is>
      </c>
      <c r="G246" t="inlineStr">
        <is>
          <t>APERTURA</t>
        </is>
      </c>
      <c r="H246" t="inlineStr">
        <is>
          <t>CB CRECIMIENTO - NUEVO</t>
        </is>
      </c>
      <c r="I246" t="inlineStr">
        <is>
          <t>CAUCA</t>
        </is>
      </c>
      <c r="J246" t="inlineStr">
        <is>
          <t>VILLA RICA</t>
        </is>
      </c>
      <c r="K246" t="inlineStr">
        <is>
          <t>BARRIO CENTRO VILLA RICA 5</t>
        </is>
      </c>
      <c r="L246" t="inlineStr">
        <is>
          <t>BANCOLOMBIA</t>
        </is>
      </c>
      <c r="M246" t="inlineStr">
        <is>
          <t>FO-25-1350933</t>
        </is>
      </c>
      <c r="N246" s="46" t="n">
        <v>45875.71597222222</v>
      </c>
      <c r="O246" s="46" t="n">
        <v>45882.59791666667</v>
      </c>
      <c r="P246" t="inlineStr">
        <is>
          <t>UNO A UNO</t>
        </is>
      </c>
      <c r="Q246" t="inlineStr">
        <is>
          <t>UNO A UNO</t>
        </is>
      </c>
      <c r="R246" t="inlineStr">
        <is>
          <t>EJECUTADO</t>
        </is>
      </c>
      <c r="S246" t="inlineStr">
        <is>
          <t>VISITA TECNICA</t>
        </is>
      </c>
      <c r="T246" t="inlineStr">
        <is>
          <t>FGZZZ929</t>
        </is>
      </c>
      <c r="U246" t="inlineStr">
        <is>
          <t>TIPO IV</t>
        </is>
      </c>
      <c r="V246" t="inlineStr">
        <is>
          <t>TERRESTRE</t>
        </is>
      </c>
      <c r="W246" t="inlineStr">
        <is>
          <t>TORRES GARCIA JENDRY JOSE</t>
        </is>
      </c>
      <c r="X246" t="inlineStr">
        <is>
          <t>Si</t>
        </is>
      </c>
      <c r="Y246" t="inlineStr">
        <is>
          <t>Si</t>
        </is>
      </c>
      <c r="Z246" s="45" t="n">
        <v>464809</v>
      </c>
      <c r="AA246" t="inlineStr">
        <is>
          <t>0</t>
        </is>
      </c>
      <c r="AB246" s="45" t="n">
        <v>469992</v>
      </c>
      <c r="AC246" s="45" t="n">
        <v>0</v>
      </c>
    </row>
    <row r="247">
      <c r="A247" t="inlineStr">
        <is>
          <t>PEREIRA</t>
        </is>
      </c>
      <c r="B247" t="inlineStr">
        <is>
          <t>SUROCCIDENTE Y EJE CAFETERO</t>
        </is>
      </c>
      <c r="C247" t="inlineStr">
        <is>
          <t>0004-0002</t>
        </is>
      </c>
      <c r="D247" t="inlineStr">
        <is>
          <t>66001</t>
        </is>
      </c>
      <c r="E247" t="inlineStr">
        <is>
          <t>TA-25-931179</t>
        </is>
      </c>
      <c r="F247" t="inlineStr">
        <is>
          <t>3007080907</t>
        </is>
      </c>
      <c r="G247" t="inlineStr">
        <is>
          <t>APERTURA</t>
        </is>
      </c>
      <c r="H247" t="inlineStr">
        <is>
          <t>CB CRECIMIENTO - NUEVO</t>
        </is>
      </c>
      <c r="I247" t="inlineStr">
        <is>
          <t>RISARALDA</t>
        </is>
      </c>
      <c r="J247" t="inlineStr">
        <is>
          <t>PEREIRA</t>
        </is>
      </c>
      <c r="K247" t="inlineStr">
        <is>
          <t>BARRIO CENTRO PEREIRA 52</t>
        </is>
      </c>
      <c r="L247" t="inlineStr">
        <is>
          <t>BANCOLOMBIA</t>
        </is>
      </c>
      <c r="M247" t="inlineStr">
        <is>
          <t>FO-25-1339182</t>
        </is>
      </c>
      <c r="N247" s="46" t="n">
        <v>45875.73402777778</v>
      </c>
      <c r="O247" s="46" t="n">
        <v>45877.55555555555</v>
      </c>
      <c r="P247" t="inlineStr">
        <is>
          <t>UNO A UNO</t>
        </is>
      </c>
      <c r="Q247" t="inlineStr">
        <is>
          <t>UNO A UNO</t>
        </is>
      </c>
      <c r="R247" t="inlineStr">
        <is>
          <t>EJECUTADO</t>
        </is>
      </c>
      <c r="S247" t="inlineStr">
        <is>
          <t>VISITA TECNICA</t>
        </is>
      </c>
      <c r="T247" t="inlineStr">
        <is>
          <t>FGZZZ931</t>
        </is>
      </c>
      <c r="U247" t="inlineStr">
        <is>
          <t>TIPO I</t>
        </is>
      </c>
      <c r="V247" t="inlineStr">
        <is>
          <t>TERRESTRE</t>
        </is>
      </c>
      <c r="W247" t="inlineStr">
        <is>
          <t>FRANCO CAÑAVERAL YAMID RAUL</t>
        </is>
      </c>
      <c r="X247" t="inlineStr">
        <is>
          <t>Si</t>
        </is>
      </c>
      <c r="Y247" t="inlineStr">
        <is>
          <t>Si</t>
        </is>
      </c>
      <c r="Z247" s="45" t="n">
        <v>0</v>
      </c>
      <c r="AA247" t="inlineStr">
        <is>
          <t>0</t>
        </is>
      </c>
      <c r="AB247" s="45" t="n">
        <v>194983</v>
      </c>
      <c r="AC247" s="45" t="n">
        <v>0</v>
      </c>
    </row>
    <row r="248">
      <c r="A248" t="inlineStr">
        <is>
          <t>CARTAGENA</t>
        </is>
      </c>
      <c r="B248" t="inlineStr">
        <is>
          <t>COSTA</t>
        </is>
      </c>
      <c r="C248" t="inlineStr">
        <is>
          <t>0004-0001</t>
        </is>
      </c>
      <c r="D248" t="inlineStr">
        <is>
          <t>13657</t>
        </is>
      </c>
      <c r="E248" t="inlineStr">
        <is>
          <t>TA-25-931180</t>
        </is>
      </c>
      <c r="F248" t="inlineStr">
        <is>
          <t>3007080914</t>
        </is>
      </c>
      <c r="G248" t="inlineStr">
        <is>
          <t>APERTURA</t>
        </is>
      </c>
      <c r="H248" t="inlineStr">
        <is>
          <t>CB CRECIMIENTO - NUEVO</t>
        </is>
      </c>
      <c r="I248" t="inlineStr">
        <is>
          <t>BOLIVAR</t>
        </is>
      </c>
      <c r="J248" t="inlineStr">
        <is>
          <t>SAN JUAN NEPOMUCENO</t>
        </is>
      </c>
      <c r="K248" t="inlineStr">
        <is>
          <t>BARRIO LA FRONTERA SAN JUAN NEPOMUCENO</t>
        </is>
      </c>
      <c r="L248" t="inlineStr">
        <is>
          <t>BANCOLOMBIA</t>
        </is>
      </c>
      <c r="M248" t="inlineStr">
        <is>
          <t>FO-25-1339187</t>
        </is>
      </c>
      <c r="N248" s="46" t="n">
        <v>45875.60625</v>
      </c>
      <c r="O248" s="46" t="n">
        <v>45880.63263888889</v>
      </c>
      <c r="P248" t="inlineStr">
        <is>
          <t>UNO A UNO</t>
        </is>
      </c>
      <c r="Q248" t="inlineStr">
        <is>
          <t>UNO A UNO</t>
        </is>
      </c>
      <c r="R248" t="inlineStr">
        <is>
          <t>EJECUTADO</t>
        </is>
      </c>
      <c r="S248" t="inlineStr">
        <is>
          <t>VISITA TECNICA</t>
        </is>
      </c>
      <c r="T248" t="inlineStr">
        <is>
          <t>FGZZZ932</t>
        </is>
      </c>
      <c r="U248" t="inlineStr">
        <is>
          <t>TIPO II</t>
        </is>
      </c>
      <c r="V248" t="inlineStr">
        <is>
          <t>TERRESTRE</t>
        </is>
      </c>
      <c r="W248" t="inlineStr">
        <is>
          <t>CANEDO HERRERA ALEXANDER</t>
        </is>
      </c>
      <c r="X248" t="inlineStr">
        <is>
          <t>Si</t>
        </is>
      </c>
      <c r="Y248" t="inlineStr">
        <is>
          <t>Si</t>
        </is>
      </c>
      <c r="Z248" s="45" t="n">
        <v>0</v>
      </c>
      <c r="AA248" t="inlineStr">
        <is>
          <t>0</t>
        </is>
      </c>
      <c r="AB248" s="45" t="n">
        <v>248376</v>
      </c>
      <c r="AC248" s="45" t="n">
        <v>0</v>
      </c>
    </row>
    <row r="249">
      <c r="A249" t="inlineStr">
        <is>
          <t>BUCARAMANGA</t>
        </is>
      </c>
      <c r="B249" t="inlineStr">
        <is>
          <t>SANTANDERES</t>
        </is>
      </c>
      <c r="C249" t="inlineStr">
        <is>
          <t>0004-0008</t>
        </is>
      </c>
      <c r="D249" t="inlineStr">
        <is>
          <t>68132</t>
        </is>
      </c>
      <c r="E249" t="inlineStr">
        <is>
          <t>TA-25-931182</t>
        </is>
      </c>
      <c r="F249" t="inlineStr">
        <is>
          <t>3007080873</t>
        </is>
      </c>
      <c r="G249" t="inlineStr">
        <is>
          <t>APERTURA</t>
        </is>
      </c>
      <c r="H249" t="inlineStr">
        <is>
          <t>CB CRECIMIENTO - NUEVO</t>
        </is>
      </c>
      <c r="I249" t="inlineStr">
        <is>
          <t>SANTANDER</t>
        </is>
      </c>
      <c r="J249" t="inlineStr">
        <is>
          <t>CALIFORNIA</t>
        </is>
      </c>
      <c r="K249" t="inlineStr">
        <is>
          <t>BARRIO CALIFORNIA CALIFORNIA</t>
        </is>
      </c>
      <c r="L249" t="inlineStr">
        <is>
          <t>BANCOLOMBIA</t>
        </is>
      </c>
      <c r="M249" t="inlineStr">
        <is>
          <t>FO-25-1339197</t>
        </is>
      </c>
      <c r="N249" s="46" t="n">
        <v>45875.61458333334</v>
      </c>
      <c r="O249" s="46" t="n">
        <v>45881.60069444445</v>
      </c>
      <c r="P249" t="inlineStr">
        <is>
          <t>UNO A UNO</t>
        </is>
      </c>
      <c r="Q249" t="inlineStr">
        <is>
          <t>UNO A UNO</t>
        </is>
      </c>
      <c r="R249" t="inlineStr">
        <is>
          <t>EJECUTADO</t>
        </is>
      </c>
      <c r="S249" t="inlineStr">
        <is>
          <t>VISITA TECNICA</t>
        </is>
      </c>
      <c r="T249" t="inlineStr">
        <is>
          <t>FGZZZ934</t>
        </is>
      </c>
      <c r="U249" t="inlineStr">
        <is>
          <t>TIPO III</t>
        </is>
      </c>
      <c r="V249" t="inlineStr">
        <is>
          <t>TERRESTRE</t>
        </is>
      </c>
      <c r="W249" t="inlineStr">
        <is>
          <t>SANTOS GONZALEZ JOHAN FABIAN</t>
        </is>
      </c>
      <c r="X249" t="inlineStr">
        <is>
          <t>Si</t>
        </is>
      </c>
      <c r="Y249" t="inlineStr">
        <is>
          <t>Si</t>
        </is>
      </c>
      <c r="Z249" s="45" t="n">
        <v>0</v>
      </c>
      <c r="AA249" t="inlineStr">
        <is>
          <t>0</t>
        </is>
      </c>
      <c r="AB249" s="45" t="n">
        <v>248376</v>
      </c>
      <c r="AC249" s="45" t="n">
        <v>0</v>
      </c>
    </row>
    <row r="250">
      <c r="A250" t="inlineStr">
        <is>
          <t>TUNJA</t>
        </is>
      </c>
      <c r="B250" t="inlineStr">
        <is>
          <t>SANTANDERES</t>
        </is>
      </c>
      <c r="C250" t="inlineStr">
        <is>
          <t>0004-0008</t>
        </is>
      </c>
      <c r="D250" t="inlineStr">
        <is>
          <t>15238</t>
        </is>
      </c>
      <c r="E250" t="inlineStr">
        <is>
          <t>TA-25-931183</t>
        </is>
      </c>
      <c r="F250" t="inlineStr">
        <is>
          <t>3007080881</t>
        </is>
      </c>
      <c r="G250" t="inlineStr">
        <is>
          <t>APERTURA</t>
        </is>
      </c>
      <c r="H250" t="inlineStr">
        <is>
          <t>CB CRECIMIENTO - NUEVO</t>
        </is>
      </c>
      <c r="I250" t="inlineStr">
        <is>
          <t>BOYACA</t>
        </is>
      </c>
      <c r="J250" t="inlineStr">
        <is>
          <t>DUITAMA</t>
        </is>
      </c>
      <c r="K250" t="inlineStr">
        <is>
          <t>BARRIO LIBERTADOR DUITAMA 1</t>
        </is>
      </c>
      <c r="L250" t="inlineStr">
        <is>
          <t>BANCOLOMBIA</t>
        </is>
      </c>
      <c r="M250" t="inlineStr">
        <is>
          <t>FO-25-1339202</t>
        </is>
      </c>
      <c r="N250" s="46" t="n">
        <v>45875.66597222222</v>
      </c>
      <c r="O250" s="46" t="n">
        <v>45879.66458333333</v>
      </c>
      <c r="P250" t="inlineStr">
        <is>
          <t>UNO A UNO</t>
        </is>
      </c>
      <c r="Q250" t="inlineStr">
        <is>
          <t>UNO A UNO</t>
        </is>
      </c>
      <c r="R250" t="inlineStr">
        <is>
          <t>EJECUTADO</t>
        </is>
      </c>
      <c r="S250" t="inlineStr">
        <is>
          <t>VISITA TECNICA</t>
        </is>
      </c>
      <c r="T250" t="inlineStr">
        <is>
          <t>FGZZZ935</t>
        </is>
      </c>
      <c r="U250" t="inlineStr">
        <is>
          <t>TIPO II</t>
        </is>
      </c>
      <c r="V250" t="inlineStr">
        <is>
          <t>TERRESTRE</t>
        </is>
      </c>
      <c r="W250" t="inlineStr">
        <is>
          <t>SOLER HOYOS CRISTIAN LEONARDO</t>
        </is>
      </c>
      <c r="X250" t="inlineStr">
        <is>
          <t>No</t>
        </is>
      </c>
      <c r="Y250" t="inlineStr">
        <is>
          <t>Si</t>
        </is>
      </c>
      <c r="Z250" s="45" t="n">
        <v>0</v>
      </c>
      <c r="AA250" t="inlineStr">
        <is>
          <t>0</t>
        </is>
      </c>
      <c r="AB250" s="45" t="n">
        <v>237125</v>
      </c>
      <c r="AC250" s="45" t="n">
        <v>0</v>
      </c>
    </row>
    <row r="251">
      <c r="A251" t="inlineStr">
        <is>
          <t>BUCARAMANGA</t>
        </is>
      </c>
      <c r="B251" t="inlineStr">
        <is>
          <t>SANTANDERES</t>
        </is>
      </c>
      <c r="C251" t="inlineStr">
        <is>
          <t>0004-0008</t>
        </is>
      </c>
      <c r="D251" t="inlineStr">
        <is>
          <t>68169</t>
        </is>
      </c>
      <c r="E251" t="inlineStr">
        <is>
          <t>TA-25-931184</t>
        </is>
      </c>
      <c r="F251" t="inlineStr">
        <is>
          <t>3007080877</t>
        </is>
      </c>
      <c r="G251" t="inlineStr">
        <is>
          <t>APERTURA</t>
        </is>
      </c>
      <c r="H251" t="inlineStr">
        <is>
          <t>CB CRECIMIENTO - NUEVO</t>
        </is>
      </c>
      <c r="I251" t="inlineStr">
        <is>
          <t>SANTANDER</t>
        </is>
      </c>
      <c r="J251" t="inlineStr">
        <is>
          <t>CHARTA</t>
        </is>
      </c>
      <c r="K251" t="inlineStr">
        <is>
          <t>BARRIO EL CARMEN CHARTA</t>
        </is>
      </c>
      <c r="L251" t="inlineStr">
        <is>
          <t>BANCOLOMBIA</t>
        </is>
      </c>
      <c r="M251" t="inlineStr">
        <is>
          <t>FO-25-1339209</t>
        </is>
      </c>
      <c r="N251" s="46" t="n">
        <v>45875.61527777778</v>
      </c>
      <c r="O251" s="46" t="n">
        <v>45880.67222222222</v>
      </c>
      <c r="P251" t="inlineStr">
        <is>
          <t>UNO A UNO</t>
        </is>
      </c>
      <c r="Q251" t="inlineStr">
        <is>
          <t>UNO A UNO</t>
        </is>
      </c>
      <c r="R251" t="inlineStr">
        <is>
          <t>EJECUTADO</t>
        </is>
      </c>
      <c r="S251" t="inlineStr">
        <is>
          <t>VISITA TECNICA</t>
        </is>
      </c>
      <c r="T251" t="inlineStr">
        <is>
          <t>FGZZZ936</t>
        </is>
      </c>
      <c r="U251" t="inlineStr">
        <is>
          <t>TIPO II</t>
        </is>
      </c>
      <c r="V251" t="inlineStr">
        <is>
          <t>TERRESTRE</t>
        </is>
      </c>
      <c r="W251" t="inlineStr">
        <is>
          <t>SANTOS GONZALEZ JOHAN FABIAN</t>
        </is>
      </c>
      <c r="X251" t="inlineStr">
        <is>
          <t>Si</t>
        </is>
      </c>
      <c r="Y251" t="inlineStr">
        <is>
          <t>Si</t>
        </is>
      </c>
      <c r="Z251" s="45" t="n">
        <v>0</v>
      </c>
      <c r="AA251" t="inlineStr">
        <is>
          <t>0</t>
        </is>
      </c>
      <c r="AB251" s="45" t="n">
        <v>248376</v>
      </c>
      <c r="AC251" s="45" t="n">
        <v>0</v>
      </c>
    </row>
    <row r="252">
      <c r="A252" t="inlineStr">
        <is>
          <t>PEREIRA</t>
        </is>
      </c>
      <c r="B252" t="inlineStr">
        <is>
          <t>SUROCCIDENTE Y EJE CAFETERO</t>
        </is>
      </c>
      <c r="C252" t="inlineStr">
        <is>
          <t>0004-0002</t>
        </is>
      </c>
      <c r="D252" t="inlineStr">
        <is>
          <t>66383</t>
        </is>
      </c>
      <c r="E252" t="inlineStr">
        <is>
          <t>TA-25-931185</t>
        </is>
      </c>
      <c r="F252" t="inlineStr">
        <is>
          <t>3007080892</t>
        </is>
      </c>
      <c r="G252" t="inlineStr">
        <is>
          <t>APERTURA</t>
        </is>
      </c>
      <c r="H252" t="inlineStr">
        <is>
          <t>CB CRECIMIENTO - NUEVO</t>
        </is>
      </c>
      <c r="I252" t="inlineStr">
        <is>
          <t>RISARALDA</t>
        </is>
      </c>
      <c r="J252" t="inlineStr">
        <is>
          <t>LA CELIA</t>
        </is>
      </c>
      <c r="K252" t="inlineStr">
        <is>
          <t>BARRIO CENTRO LA CELIA 6</t>
        </is>
      </c>
      <c r="L252" t="inlineStr">
        <is>
          <t>BANCOLOMBIA</t>
        </is>
      </c>
      <c r="M252" t="inlineStr">
        <is>
          <t>FO-25-1339215</t>
        </is>
      </c>
      <c r="N252" s="46" t="n">
        <v>45875.73194444444</v>
      </c>
      <c r="O252" s="46" t="n">
        <v>45877.63958333333</v>
      </c>
      <c r="P252" t="inlineStr">
        <is>
          <t>UNO A UNO</t>
        </is>
      </c>
      <c r="Q252" t="inlineStr">
        <is>
          <t>UNO A UNO</t>
        </is>
      </c>
      <c r="R252" t="inlineStr">
        <is>
          <t>EJECUTADO</t>
        </is>
      </c>
      <c r="S252" t="inlineStr">
        <is>
          <t>VISITA TECNICA</t>
        </is>
      </c>
      <c r="T252" t="inlineStr">
        <is>
          <t>FGZZZ937</t>
        </is>
      </c>
      <c r="U252" t="inlineStr">
        <is>
          <t>TIPO II</t>
        </is>
      </c>
      <c r="V252" t="inlineStr">
        <is>
          <t>TERRESTRE</t>
        </is>
      </c>
      <c r="W252" t="inlineStr">
        <is>
          <t>ARROYAVE CANO MANUEL GUILLERMO</t>
        </is>
      </c>
      <c r="X252" t="inlineStr">
        <is>
          <t>Si</t>
        </is>
      </c>
      <c r="Y252" t="inlineStr">
        <is>
          <t>Si</t>
        </is>
      </c>
      <c r="Z252" s="45" t="n">
        <v>0</v>
      </c>
      <c r="AA252" t="inlineStr">
        <is>
          <t>0</t>
        </is>
      </c>
      <c r="AB252" s="45" t="n">
        <v>248376</v>
      </c>
      <c r="AC252" s="45" t="n">
        <v>0</v>
      </c>
    </row>
    <row r="253">
      <c r="A253" t="inlineStr">
        <is>
          <t>YOPAL</t>
        </is>
      </c>
      <c r="B253" t="inlineStr">
        <is>
          <t>REMOTAS</t>
        </is>
      </c>
      <c r="C253" t="inlineStr">
        <is>
          <t>0004-0007</t>
        </is>
      </c>
      <c r="D253" t="inlineStr">
        <is>
          <t>85010</t>
        </is>
      </c>
      <c r="E253" t="inlineStr">
        <is>
          <t>TA-25-931186</t>
        </is>
      </c>
      <c r="F253" t="inlineStr">
        <is>
          <t>3007080862</t>
        </is>
      </c>
      <c r="G253" t="inlineStr">
        <is>
          <t>APERTURA</t>
        </is>
      </c>
      <c r="H253" t="inlineStr">
        <is>
          <t>CB CRECIMIENTO - NUEVO</t>
        </is>
      </c>
      <c r="I253" t="inlineStr">
        <is>
          <t>CASANARE</t>
        </is>
      </c>
      <c r="J253" t="inlineStr">
        <is>
          <t>AGUAZUL</t>
        </is>
      </c>
      <c r="K253" t="inlineStr">
        <is>
          <t>BARRIO LA ESPIGA AGUAZUL</t>
        </is>
      </c>
      <c r="L253" t="inlineStr">
        <is>
          <t>BANCOLOMBIA</t>
        </is>
      </c>
      <c r="M253" t="inlineStr">
        <is>
          <t>FO-25-1339221</t>
        </is>
      </c>
      <c r="N253" s="46" t="n">
        <v>45875.42083333333</v>
      </c>
      <c r="O253" s="46" t="n">
        <v>45881.60208333333</v>
      </c>
      <c r="P253" t="inlineStr">
        <is>
          <t>UNO A UNO</t>
        </is>
      </c>
      <c r="Q253" t="inlineStr">
        <is>
          <t>UNO A UNO</t>
        </is>
      </c>
      <c r="R253" t="inlineStr">
        <is>
          <t>EJECUTADO</t>
        </is>
      </c>
      <c r="S253" t="inlineStr">
        <is>
          <t>VISITA TECNICA</t>
        </is>
      </c>
      <c r="T253" t="inlineStr">
        <is>
          <t>FGZZZ940</t>
        </is>
      </c>
      <c r="U253" t="inlineStr">
        <is>
          <t>TIPO II</t>
        </is>
      </c>
      <c r="V253" t="inlineStr">
        <is>
          <t>TERRESTRE</t>
        </is>
      </c>
      <c r="W253" t="inlineStr">
        <is>
          <t>BERNAL ELAICA EDGAR ALEXIS</t>
        </is>
      </c>
      <c r="X253" t="inlineStr">
        <is>
          <t>Si</t>
        </is>
      </c>
      <c r="Y253" t="inlineStr">
        <is>
          <t>Si</t>
        </is>
      </c>
      <c r="Z253" s="45" t="n">
        <v>0</v>
      </c>
      <c r="AA253" t="inlineStr">
        <is>
          <t>0</t>
        </is>
      </c>
      <c r="AB253" s="45" t="n">
        <v>248376</v>
      </c>
      <c r="AC253" s="45" t="n">
        <v>0</v>
      </c>
    </row>
    <row r="254">
      <c r="A254" t="inlineStr">
        <is>
          <t>TUNJA</t>
        </is>
      </c>
      <c r="B254" t="inlineStr">
        <is>
          <t>SANTANDERES</t>
        </is>
      </c>
      <c r="C254" t="inlineStr">
        <is>
          <t>0004-0008</t>
        </is>
      </c>
      <c r="D254" t="inlineStr">
        <is>
          <t>15238</t>
        </is>
      </c>
      <c r="E254" t="inlineStr">
        <is>
          <t>TA-25-931187</t>
        </is>
      </c>
      <c r="F254" t="inlineStr">
        <is>
          <t>3007080882</t>
        </is>
      </c>
      <c r="G254" t="inlineStr">
        <is>
          <t>APERTURA</t>
        </is>
      </c>
      <c r="H254" t="inlineStr">
        <is>
          <t>CB CRECIMIENTO - NUEVO</t>
        </is>
      </c>
      <c r="I254" t="inlineStr">
        <is>
          <t>BOYACA</t>
        </is>
      </c>
      <c r="J254" t="inlineStr">
        <is>
          <t>DUITAMA</t>
        </is>
      </c>
      <c r="K254" t="inlineStr">
        <is>
          <t>BARRIO ALAMOS DUITAMA</t>
        </is>
      </c>
      <c r="L254" t="inlineStr">
        <is>
          <t>BANCOLOMBIA</t>
        </is>
      </c>
      <c r="M254" t="inlineStr">
        <is>
          <t>FO-25-1339227</t>
        </is>
      </c>
      <c r="N254" s="46" t="n">
        <v>45875.61527777778</v>
      </c>
      <c r="O254" s="46" t="n">
        <v>45883.48541666667</v>
      </c>
      <c r="P254" t="inlineStr">
        <is>
          <t>UNO A UNO</t>
        </is>
      </c>
      <c r="Q254" t="inlineStr">
        <is>
          <t>UNO A UNO</t>
        </is>
      </c>
      <c r="R254" t="inlineStr">
        <is>
          <t>EJECUTADO</t>
        </is>
      </c>
      <c r="S254" t="inlineStr">
        <is>
          <t>VISITA TECNICA</t>
        </is>
      </c>
      <c r="T254" t="inlineStr">
        <is>
          <t>FGZZZ941</t>
        </is>
      </c>
      <c r="U254" t="inlineStr">
        <is>
          <t>TIPO II</t>
        </is>
      </c>
      <c r="V254" t="inlineStr">
        <is>
          <t>TERRESTRE</t>
        </is>
      </c>
      <c r="W254" t="inlineStr">
        <is>
          <t>MARTINEZ FLOREZ DONIS ALBERTO</t>
        </is>
      </c>
      <c r="X254" t="inlineStr">
        <is>
          <t>Si</t>
        </is>
      </c>
      <c r="Y254" t="inlineStr">
        <is>
          <t>Si</t>
        </is>
      </c>
      <c r="Z254" s="45" t="n">
        <v>0</v>
      </c>
      <c r="AA254" t="inlineStr">
        <is>
          <t>0</t>
        </is>
      </c>
      <c r="AB254" s="45" t="n">
        <v>248376</v>
      </c>
      <c r="AC254" s="45" t="n">
        <v>0</v>
      </c>
    </row>
    <row r="255">
      <c r="A255" t="inlineStr">
        <is>
          <t>TUNJA</t>
        </is>
      </c>
      <c r="B255" t="inlineStr">
        <is>
          <t>SANTANDERES</t>
        </is>
      </c>
      <c r="C255" t="inlineStr">
        <is>
          <t>0004-0008</t>
        </is>
      </c>
      <c r="D255" t="inlineStr">
        <is>
          <t>15696</t>
        </is>
      </c>
      <c r="E255" t="inlineStr">
        <is>
          <t>TA-25-931191</t>
        </is>
      </c>
      <c r="F255" t="inlineStr">
        <is>
          <t>3007080874</t>
        </is>
      </c>
      <c r="G255" t="inlineStr">
        <is>
          <t>APERTURA</t>
        </is>
      </c>
      <c r="H255" t="inlineStr">
        <is>
          <t>CB CRECIMIENTO - NUEVO</t>
        </is>
      </c>
      <c r="I255" t="inlineStr">
        <is>
          <t>BOYACA</t>
        </is>
      </c>
      <c r="J255" t="inlineStr">
        <is>
          <t>SANTA SOFIA</t>
        </is>
      </c>
      <c r="K255" t="inlineStr">
        <is>
          <t>BARRIO CENTRO SANTA SOFIA 6</t>
        </is>
      </c>
      <c r="L255" t="inlineStr">
        <is>
          <t>BANCOLOMBIA</t>
        </is>
      </c>
      <c r="M255" t="inlineStr">
        <is>
          <t>FO-25-1339232</t>
        </is>
      </c>
      <c r="N255" s="46" t="n">
        <v>45875.61527777778</v>
      </c>
      <c r="O255" s="46" t="n">
        <v>45884.63472222222</v>
      </c>
      <c r="P255" t="inlineStr">
        <is>
          <t>UNO A UNO</t>
        </is>
      </c>
      <c r="Q255" t="inlineStr">
        <is>
          <t>UNO A UNO</t>
        </is>
      </c>
      <c r="R255" t="inlineStr">
        <is>
          <t>EJECUTADO</t>
        </is>
      </c>
      <c r="S255" t="inlineStr">
        <is>
          <t>VISITA TECNICA</t>
        </is>
      </c>
      <c r="T255" t="inlineStr">
        <is>
          <t>FGZZZ942</t>
        </is>
      </c>
      <c r="U255" t="inlineStr">
        <is>
          <t>TIPO II</t>
        </is>
      </c>
      <c r="V255" t="inlineStr">
        <is>
          <t>TERRESTRE</t>
        </is>
      </c>
      <c r="W255" t="inlineStr">
        <is>
          <t>GONZALEZ GONZALEZ MARIO ALBERTO</t>
        </is>
      </c>
      <c r="X255" t="inlineStr">
        <is>
          <t>Si</t>
        </is>
      </c>
      <c r="Y255" t="inlineStr">
        <is>
          <t>Si</t>
        </is>
      </c>
      <c r="Z255" s="45" t="n">
        <v>0</v>
      </c>
      <c r="AA255" t="inlineStr">
        <is>
          <t>0</t>
        </is>
      </c>
      <c r="AB255" s="45" t="n">
        <v>248376</v>
      </c>
      <c r="AC255" s="45" t="n">
        <v>0</v>
      </c>
    </row>
    <row r="256">
      <c r="A256" t="inlineStr">
        <is>
          <t>MONTERIA</t>
        </is>
      </c>
      <c r="B256" t="inlineStr">
        <is>
          <t>COSTA</t>
        </is>
      </c>
      <c r="C256" t="inlineStr">
        <is>
          <t>0004-0001</t>
        </is>
      </c>
      <c r="D256" t="inlineStr">
        <is>
          <t>23580</t>
        </is>
      </c>
      <c r="E256" t="inlineStr">
        <is>
          <t>TA-25-931198</t>
        </is>
      </c>
      <c r="F256" t="inlineStr">
        <is>
          <t>3007080911</t>
        </is>
      </c>
      <c r="G256" t="inlineStr">
        <is>
          <t>APERTURA</t>
        </is>
      </c>
      <c r="H256" t="inlineStr">
        <is>
          <t>CB CRECIMIENTO - NUEVO</t>
        </is>
      </c>
      <c r="I256" t="inlineStr">
        <is>
          <t>CORDOBA</t>
        </is>
      </c>
      <c r="J256" t="inlineStr">
        <is>
          <t>PUERTO LIBERTADOR</t>
        </is>
      </c>
      <c r="K256" t="inlineStr">
        <is>
          <t>BARRIO VIA TRONCAL PUERTO LIBERTADOR</t>
        </is>
      </c>
      <c r="L256" t="inlineStr">
        <is>
          <t>BANCOLOMBIA</t>
        </is>
      </c>
      <c r="M256" t="inlineStr">
        <is>
          <t>FO-25-1339237</t>
        </is>
      </c>
      <c r="N256" s="46" t="n">
        <v>45875.72361111111</v>
      </c>
      <c r="O256" s="46" t="n">
        <v>45883.60972222222</v>
      </c>
      <c r="P256" t="inlineStr">
        <is>
          <t>UNO A UNO</t>
        </is>
      </c>
      <c r="Q256" t="inlineStr">
        <is>
          <t>UNO A UNO</t>
        </is>
      </c>
      <c r="R256" t="inlineStr">
        <is>
          <t>EJECUTADO</t>
        </is>
      </c>
      <c r="S256" t="inlineStr">
        <is>
          <t>VISITA TECNICA</t>
        </is>
      </c>
      <c r="T256" t="inlineStr">
        <is>
          <t>FGZZZ943</t>
        </is>
      </c>
      <c r="U256" t="inlineStr">
        <is>
          <t>TIPO IV</t>
        </is>
      </c>
      <c r="V256" t="inlineStr">
        <is>
          <t>TERRESTRE</t>
        </is>
      </c>
      <c r="W256" t="inlineStr">
        <is>
          <t>COGOLLO VERTEL EDER LUIS</t>
        </is>
      </c>
      <c r="X256" t="inlineStr">
        <is>
          <t>Si</t>
        </is>
      </c>
      <c r="Y256" t="inlineStr">
        <is>
          <t>Si</t>
        </is>
      </c>
      <c r="Z256" s="45" t="n">
        <v>0</v>
      </c>
      <c r="AA256" t="inlineStr">
        <is>
          <t>0</t>
        </is>
      </c>
      <c r="AB256" s="45" t="n">
        <v>248376</v>
      </c>
      <c r="AC256" s="45" t="n">
        <v>0</v>
      </c>
    </row>
    <row r="257">
      <c r="A257" t="inlineStr">
        <is>
          <t>BARRANQUILLA</t>
        </is>
      </c>
      <c r="B257" t="inlineStr">
        <is>
          <t>COSTA</t>
        </is>
      </c>
      <c r="C257" t="inlineStr">
        <is>
          <t>0004-0001</t>
        </is>
      </c>
      <c r="D257" t="inlineStr">
        <is>
          <t>8001</t>
        </is>
      </c>
      <c r="E257" t="inlineStr">
        <is>
          <t>TA-25-931199</t>
        </is>
      </c>
      <c r="F257" t="inlineStr">
        <is>
          <t>3007080865</t>
        </is>
      </c>
      <c r="G257" t="inlineStr">
        <is>
          <t>APERTURA</t>
        </is>
      </c>
      <c r="H257" t="inlineStr">
        <is>
          <t>CB CRECIMIENTO - NUEVO</t>
        </is>
      </c>
      <c r="I257" t="inlineStr">
        <is>
          <t>ATLANTICO</t>
        </is>
      </c>
      <c r="J257" t="inlineStr">
        <is>
          <t>BARRANQUILLA</t>
        </is>
      </c>
      <c r="K257" t="inlineStr">
        <is>
          <t>BARRIO CIUDAD JARDIN BARRANQUILLA 17</t>
        </is>
      </c>
      <c r="L257" t="inlineStr">
        <is>
          <t>BANCOLOMBIA</t>
        </is>
      </c>
      <c r="M257" t="inlineStr">
        <is>
          <t>FO-25-1339240</t>
        </is>
      </c>
      <c r="N257" s="46" t="n">
        <v>45875.59722222222</v>
      </c>
      <c r="O257" s="46" t="n">
        <v>45877.67083333333</v>
      </c>
      <c r="P257" t="inlineStr">
        <is>
          <t>UNO A UNO</t>
        </is>
      </c>
      <c r="Q257" t="inlineStr">
        <is>
          <t>UNO A UNO</t>
        </is>
      </c>
      <c r="R257" t="inlineStr">
        <is>
          <t>EJECUTADO</t>
        </is>
      </c>
      <c r="S257" t="inlineStr">
        <is>
          <t>VISITA TECNICA</t>
        </is>
      </c>
      <c r="T257" t="inlineStr">
        <is>
          <t>FGZZZ944</t>
        </is>
      </c>
      <c r="U257" t="inlineStr">
        <is>
          <t>TIPO I</t>
        </is>
      </c>
      <c r="V257" t="inlineStr">
        <is>
          <t>TERRESTRE</t>
        </is>
      </c>
      <c r="W257" t="inlineStr">
        <is>
          <t>DE AVILA SIADES ALBERTO ENRIQUE</t>
        </is>
      </c>
      <c r="X257" t="inlineStr">
        <is>
          <t>Si</t>
        </is>
      </c>
      <c r="Y257" t="inlineStr">
        <is>
          <t>Si</t>
        </is>
      </c>
      <c r="Z257" s="45" t="n">
        <v>0</v>
      </c>
      <c r="AA257" t="inlineStr">
        <is>
          <t>0</t>
        </is>
      </c>
      <c r="AB257" s="45" t="n">
        <v>194983</v>
      </c>
      <c r="AC257" s="45" t="n">
        <v>0</v>
      </c>
    </row>
    <row r="258">
      <c r="A258" t="inlineStr">
        <is>
          <t>BUCARAMANGA</t>
        </is>
      </c>
      <c r="B258" t="inlineStr">
        <is>
          <t>SANTANDERES</t>
        </is>
      </c>
      <c r="C258" t="inlineStr">
        <is>
          <t>0004-0008</t>
        </is>
      </c>
      <c r="D258" t="inlineStr">
        <is>
          <t>68895</t>
        </is>
      </c>
      <c r="E258" t="inlineStr">
        <is>
          <t>TA-25-931204</t>
        </is>
      </c>
      <c r="F258" t="inlineStr">
        <is>
          <t>3007080820</t>
        </is>
      </c>
      <c r="G258" t="inlineStr">
        <is>
          <t>APERTURA</t>
        </is>
      </c>
      <c r="H258" t="inlineStr">
        <is>
          <t>CB CRECIMIENTO - OTRAS LISTAS</t>
        </is>
      </c>
      <c r="I258" t="inlineStr">
        <is>
          <t>SANTANDER</t>
        </is>
      </c>
      <c r="J258" t="inlineStr">
        <is>
          <t>ZAPATOCA</t>
        </is>
      </c>
      <c r="K258" t="inlineStr">
        <is>
          <t>BARRIO SANTA BARBARA ZAPATOCA 2</t>
        </is>
      </c>
      <c r="L258" t="inlineStr">
        <is>
          <t>BANCOLOMBIA</t>
        </is>
      </c>
      <c r="M258" t="inlineStr">
        <is>
          <t>FO-25-1339254</t>
        </is>
      </c>
      <c r="N258" s="46" t="n">
        <v>45875.61527777778</v>
      </c>
      <c r="O258" s="46" t="n">
        <v>45877.59444444445</v>
      </c>
      <c r="P258" t="inlineStr">
        <is>
          <t>UNO A UNO</t>
        </is>
      </c>
      <c r="Q258" t="inlineStr">
        <is>
          <t>UNO A UNO</t>
        </is>
      </c>
      <c r="R258" t="inlineStr">
        <is>
          <t>EJECUTADO</t>
        </is>
      </c>
      <c r="S258" t="inlineStr">
        <is>
          <t>VISITA TECNICA</t>
        </is>
      </c>
      <c r="T258" t="inlineStr">
        <is>
          <t>FGZZZ947</t>
        </is>
      </c>
      <c r="U258" t="inlineStr">
        <is>
          <t>TIPO III</t>
        </is>
      </c>
      <c r="V258" t="inlineStr">
        <is>
          <t>TERRESTRE</t>
        </is>
      </c>
      <c r="W258" t="inlineStr">
        <is>
          <t>MARIÑO PABON JORGE ENRIQUE</t>
        </is>
      </c>
      <c r="X258" t="inlineStr">
        <is>
          <t>Si</t>
        </is>
      </c>
      <c r="Y258" t="inlineStr">
        <is>
          <t>Si</t>
        </is>
      </c>
      <c r="Z258" s="45" t="n">
        <v>0</v>
      </c>
      <c r="AA258" t="inlineStr">
        <is>
          <t>0</t>
        </is>
      </c>
      <c r="AB258" s="45" t="n">
        <v>248376</v>
      </c>
      <c r="AC258" s="45" t="n">
        <v>0</v>
      </c>
    </row>
    <row r="259">
      <c r="A259" t="inlineStr">
        <is>
          <t>TUNJA</t>
        </is>
      </c>
      <c r="B259" t="inlineStr">
        <is>
          <t>SANTANDERES</t>
        </is>
      </c>
      <c r="C259" t="inlineStr">
        <is>
          <t>0004-0008</t>
        </is>
      </c>
      <c r="D259" t="inlineStr">
        <is>
          <t>15176</t>
        </is>
      </c>
      <c r="E259" t="inlineStr">
        <is>
          <t>TA-25-931206</t>
        </is>
      </c>
      <c r="F259" t="inlineStr">
        <is>
          <t>3007080726</t>
        </is>
      </c>
      <c r="G259" t="inlineStr">
        <is>
          <t>APERTURA</t>
        </is>
      </c>
      <c r="H259" t="inlineStr">
        <is>
          <t>CB CRECIMIENTO - OTRAS LISTAS</t>
        </is>
      </c>
      <c r="I259" t="inlineStr">
        <is>
          <t>BOYACA</t>
        </is>
      </c>
      <c r="J259" t="inlineStr">
        <is>
          <t>CHIQUINQUIRA</t>
        </is>
      </c>
      <c r="K259" t="inlineStr">
        <is>
          <t>BARRIO EL BOSQUE CHIQUINQUIRA 2</t>
        </is>
      </c>
      <c r="L259" t="inlineStr">
        <is>
          <t>BANCOLOMBIA</t>
        </is>
      </c>
      <c r="M259" t="inlineStr">
        <is>
          <t>FO-25-1339258</t>
        </is>
      </c>
      <c r="N259" s="46" t="n">
        <v>45875.61527777778</v>
      </c>
      <c r="O259" s="46" t="n">
        <v>45882.29722222222</v>
      </c>
      <c r="P259" t="inlineStr">
        <is>
          <t>UNO A UNO</t>
        </is>
      </c>
      <c r="Q259" t="inlineStr">
        <is>
          <t>UNO A UNO</t>
        </is>
      </c>
      <c r="R259" t="inlineStr">
        <is>
          <t>EJECUTADO</t>
        </is>
      </c>
      <c r="S259" t="inlineStr">
        <is>
          <t>VISITA TECNICA</t>
        </is>
      </c>
      <c r="T259" t="inlineStr">
        <is>
          <t>FGZZZ948</t>
        </is>
      </c>
      <c r="U259" t="inlineStr">
        <is>
          <t>TIPO III</t>
        </is>
      </c>
      <c r="V259" t="inlineStr">
        <is>
          <t>TERRESTRE</t>
        </is>
      </c>
      <c r="W259" t="inlineStr">
        <is>
          <t>RODRIGUEZ MURCIA YERSON IVAN</t>
        </is>
      </c>
      <c r="X259" t="inlineStr">
        <is>
          <t>Si</t>
        </is>
      </c>
      <c r="Y259" t="inlineStr">
        <is>
          <t>Si</t>
        </is>
      </c>
      <c r="Z259" s="45" t="n">
        <v>0</v>
      </c>
      <c r="AA259" t="inlineStr">
        <is>
          <t>0</t>
        </is>
      </c>
      <c r="AB259" s="45" t="n">
        <v>248376</v>
      </c>
      <c r="AC259" s="45" t="n">
        <v>0</v>
      </c>
    </row>
    <row r="260">
      <c r="A260" t="inlineStr">
        <is>
          <t>MANIZALES</t>
        </is>
      </c>
      <c r="B260" t="inlineStr">
        <is>
          <t>SUROCCIDENTE Y EJE CAFETERO</t>
        </is>
      </c>
      <c r="C260" t="inlineStr">
        <is>
          <t>0004-0002</t>
        </is>
      </c>
      <c r="D260" t="inlineStr">
        <is>
          <t>17873</t>
        </is>
      </c>
      <c r="E260" t="inlineStr">
        <is>
          <t>TA-25-931207</t>
        </is>
      </c>
      <c r="F260" t="inlineStr">
        <is>
          <t>3007080811</t>
        </is>
      </c>
      <c r="G260" t="inlineStr">
        <is>
          <t>APERTURA</t>
        </is>
      </c>
      <c r="H260" t="inlineStr">
        <is>
          <t>CB CRECIMIENTO - OTRAS LISTAS</t>
        </is>
      </c>
      <c r="I260" t="inlineStr">
        <is>
          <t>CALDAS</t>
        </is>
      </c>
      <c r="J260" t="inlineStr">
        <is>
          <t>VILLAMARIA</t>
        </is>
      </c>
      <c r="K260" t="inlineStr">
        <is>
          <t>BARRIO LA FLORIDA VILLAMARIA</t>
        </is>
      </c>
      <c r="L260" t="inlineStr">
        <is>
          <t>BANCOLOMBIA</t>
        </is>
      </c>
      <c r="M260" t="inlineStr">
        <is>
          <t>FO-25-1339265</t>
        </is>
      </c>
      <c r="N260" s="46" t="n">
        <v>45875.73611111111</v>
      </c>
      <c r="O260" s="46" t="n">
        <v>45879.61805555555</v>
      </c>
      <c r="P260" t="inlineStr">
        <is>
          <t>UNO A UNO</t>
        </is>
      </c>
      <c r="Q260" t="inlineStr">
        <is>
          <t>UNO A UNO</t>
        </is>
      </c>
      <c r="R260" t="inlineStr">
        <is>
          <t>EJECUTADO</t>
        </is>
      </c>
      <c r="S260" t="inlineStr">
        <is>
          <t>VISITA TECNICA</t>
        </is>
      </c>
      <c r="T260" t="inlineStr">
        <is>
          <t>FGZZZ949</t>
        </is>
      </c>
      <c r="U260" t="inlineStr">
        <is>
          <t>TIPO I</t>
        </is>
      </c>
      <c r="V260" t="inlineStr">
        <is>
          <t>TERRESTRE</t>
        </is>
      </c>
      <c r="W260" t="inlineStr">
        <is>
          <t>AGUIRRE HENAO RAUL EDUARDO</t>
        </is>
      </c>
      <c r="X260" t="inlineStr">
        <is>
          <t>Si</t>
        </is>
      </c>
      <c r="Y260" t="inlineStr">
        <is>
          <t>Si</t>
        </is>
      </c>
      <c r="Z260" s="45" t="n">
        <v>0</v>
      </c>
      <c r="AA260" t="inlineStr">
        <is>
          <t>0</t>
        </is>
      </c>
      <c r="AB260" s="45" t="n">
        <v>194983</v>
      </c>
      <c r="AC260" s="45" t="n">
        <v>0</v>
      </c>
    </row>
    <row r="261">
      <c r="A261" t="inlineStr">
        <is>
          <t>BOGOTA</t>
        </is>
      </c>
      <c r="B261" t="inlineStr">
        <is>
          <t>CUNDINAMARCA</t>
        </is>
      </c>
      <c r="C261" t="inlineStr">
        <is>
          <t>0004-0004</t>
        </is>
      </c>
      <c r="D261" t="inlineStr">
        <is>
          <t>11001</t>
        </is>
      </c>
      <c r="E261" t="inlineStr">
        <is>
          <t>TA-25-931212</t>
        </is>
      </c>
      <c r="F261" t="inlineStr">
        <is>
          <t>3007080829</t>
        </is>
      </c>
      <c r="G261" t="inlineStr">
        <is>
          <t>APERTURA</t>
        </is>
      </c>
      <c r="H261" t="inlineStr">
        <is>
          <t>CB CRECIMIENTO ALIANZA - NUEVO</t>
        </is>
      </c>
      <c r="I261" t="inlineStr">
        <is>
          <t>CUNDINAMARCA</t>
        </is>
      </c>
      <c r="J261" t="inlineStr">
        <is>
          <t>BOGOTA</t>
        </is>
      </c>
      <c r="K261" t="inlineStr">
        <is>
          <t>PTM BOGOTA ANGEL Y DUCK</t>
        </is>
      </c>
      <c r="L261" t="inlineStr">
        <is>
          <t>BANCOLOMBIA</t>
        </is>
      </c>
      <c r="M261" t="inlineStr">
        <is>
          <t>FO-25-1339282</t>
        </is>
      </c>
      <c r="N261" s="46" t="n">
        <v>45875.72361111111</v>
      </c>
      <c r="O261" s="46" t="n">
        <v>45880.62569444445</v>
      </c>
      <c r="P261" t="inlineStr">
        <is>
          <t>AGREGADOR</t>
        </is>
      </c>
      <c r="Q261" t="inlineStr">
        <is>
          <t>COMCARD - PTM</t>
        </is>
      </c>
      <c r="R261" t="inlineStr">
        <is>
          <t>EJECUTADO</t>
        </is>
      </c>
      <c r="S261" t="inlineStr">
        <is>
          <t>VISITA TECNICA</t>
        </is>
      </c>
      <c r="T261" t="inlineStr">
        <is>
          <t>FHZZZ024-FFZZZ113</t>
        </is>
      </c>
      <c r="U261" t="inlineStr">
        <is>
          <t>TIPO I</t>
        </is>
      </c>
      <c r="V261" t="inlineStr">
        <is>
          <t>TERRESTRE</t>
        </is>
      </c>
      <c r="W261" t="inlineStr">
        <is>
          <t>GALEANO SORIANO JUAN DAVID</t>
        </is>
      </c>
      <c r="X261" t="inlineStr">
        <is>
          <t>Si</t>
        </is>
      </c>
      <c r="Y261" t="inlineStr">
        <is>
          <t>Si</t>
        </is>
      </c>
      <c r="Z261" s="45" t="n">
        <v>0</v>
      </c>
      <c r="AA261" t="inlineStr">
        <is>
          <t>0</t>
        </is>
      </c>
      <c r="AB261" s="45" t="n">
        <v>194983</v>
      </c>
      <c r="AC261" s="45" t="n">
        <v>0</v>
      </c>
    </row>
    <row r="262">
      <c r="A262" t="inlineStr">
        <is>
          <t>TUNJA</t>
        </is>
      </c>
      <c r="B262" t="inlineStr">
        <is>
          <t>SANTANDERES</t>
        </is>
      </c>
      <c r="C262" t="inlineStr">
        <is>
          <t>0004-0008</t>
        </is>
      </c>
      <c r="D262" t="inlineStr">
        <is>
          <t>15001</t>
        </is>
      </c>
      <c r="E262" t="inlineStr">
        <is>
          <t>TA-25-931229</t>
        </is>
      </c>
      <c r="F262" t="inlineStr">
        <is>
          <t>3007080918</t>
        </is>
      </c>
      <c r="G262" t="inlineStr">
        <is>
          <t>APERTURA</t>
        </is>
      </c>
      <c r="H262" t="inlineStr">
        <is>
          <t>CB CRECIMIENTO - NUEVO</t>
        </is>
      </c>
      <c r="I262" t="inlineStr">
        <is>
          <t>BOYACA</t>
        </is>
      </c>
      <c r="J262" t="inlineStr">
        <is>
          <t>TUNJA</t>
        </is>
      </c>
      <c r="K262" t="inlineStr">
        <is>
          <t>BARRIO JORDAN TUNJA 3</t>
        </is>
      </c>
      <c r="L262" t="inlineStr">
        <is>
          <t>BANCOLOMBIA</t>
        </is>
      </c>
      <c r="M262" t="inlineStr">
        <is>
          <t>FO-25-1339297</t>
        </is>
      </c>
      <c r="N262" s="46" t="n">
        <v>45875.61458333334</v>
      </c>
      <c r="O262" s="46" t="n">
        <v>45880.62083333333</v>
      </c>
      <c r="P262" t="inlineStr">
        <is>
          <t>UNO A UNO</t>
        </is>
      </c>
      <c r="Q262" t="inlineStr">
        <is>
          <t>UNO A UNO</t>
        </is>
      </c>
      <c r="R262" t="inlineStr">
        <is>
          <t>EJECUTADO</t>
        </is>
      </c>
      <c r="S262" t="inlineStr">
        <is>
          <t>VISITA TECNICA</t>
        </is>
      </c>
      <c r="T262" t="inlineStr">
        <is>
          <t>FGZZZ924</t>
        </is>
      </c>
      <c r="U262" t="inlineStr">
        <is>
          <t>TIPO I</t>
        </is>
      </c>
      <c r="V262" t="inlineStr">
        <is>
          <t>TERRESTRE</t>
        </is>
      </c>
      <c r="W262" t="inlineStr">
        <is>
          <t>GONZALEZ GONZALEZ MARIO ALBERTO</t>
        </is>
      </c>
      <c r="X262" t="inlineStr">
        <is>
          <t>Si</t>
        </is>
      </c>
      <c r="Y262" t="inlineStr">
        <is>
          <t>Si</t>
        </is>
      </c>
      <c r="Z262" s="45" t="n">
        <v>0</v>
      </c>
      <c r="AA262" t="inlineStr">
        <is>
          <t>0</t>
        </is>
      </c>
      <c r="AB262" s="45" t="n">
        <v>194983</v>
      </c>
      <c r="AC262" s="45" t="n">
        <v>0</v>
      </c>
    </row>
    <row r="263">
      <c r="A263" t="inlineStr">
        <is>
          <t>CUCUTA</t>
        </is>
      </c>
      <c r="B263" t="inlineStr">
        <is>
          <t>SANTANDERES</t>
        </is>
      </c>
      <c r="C263" t="inlineStr">
        <is>
          <t>0004-0008</t>
        </is>
      </c>
      <c r="D263" t="inlineStr">
        <is>
          <t>54001</t>
        </is>
      </c>
      <c r="E263" t="inlineStr">
        <is>
          <t>TA-25-951678</t>
        </is>
      </c>
      <c r="F263" t="inlineStr">
        <is>
          <t>3007080943</t>
        </is>
      </c>
      <c r="G263" t="inlineStr">
        <is>
          <t>APERTURA</t>
        </is>
      </c>
      <c r="H263" t="inlineStr">
        <is>
          <t>CB CRECIMIENTO - NUEVO</t>
        </is>
      </c>
      <c r="I263" t="inlineStr">
        <is>
          <t>NORTE DE SANTANDER</t>
        </is>
      </c>
      <c r="J263" t="inlineStr">
        <is>
          <t>CUCUTA</t>
        </is>
      </c>
      <c r="K263" t="inlineStr">
        <is>
          <t>BARRIO NUEVO HORIZONTE CUCUTA 6</t>
        </is>
      </c>
      <c r="L263" t="inlineStr">
        <is>
          <t>BANCOLOMBIA</t>
        </is>
      </c>
      <c r="M263" t="inlineStr">
        <is>
          <t>FO-25-1359797</t>
        </is>
      </c>
      <c r="N263" s="46" t="n">
        <v>45880.62777777778</v>
      </c>
      <c r="O263" s="46" t="n">
        <v>45882.32569444444</v>
      </c>
      <c r="P263" t="inlineStr">
        <is>
          <t>UNO A UNO</t>
        </is>
      </c>
      <c r="Q263" t="inlineStr">
        <is>
          <t>UNO A UNO</t>
        </is>
      </c>
      <c r="R263" t="inlineStr">
        <is>
          <t>EJECUTADO</t>
        </is>
      </c>
      <c r="S263" t="inlineStr">
        <is>
          <t>VISITA TECNICA</t>
        </is>
      </c>
      <c r="T263" t="inlineStr">
        <is>
          <t>FIZZZ271</t>
        </is>
      </c>
      <c r="U263" t="inlineStr">
        <is>
          <t>TIPO I</t>
        </is>
      </c>
      <c r="V263" t="inlineStr">
        <is>
          <t>TERRESTRE</t>
        </is>
      </c>
      <c r="W263" t="inlineStr">
        <is>
          <t>NARANJO AFANADOR RUBEN JESUS</t>
        </is>
      </c>
      <c r="X263" t="inlineStr">
        <is>
          <t>Si</t>
        </is>
      </c>
      <c r="Y263" t="inlineStr">
        <is>
          <t>Si</t>
        </is>
      </c>
      <c r="Z263" s="45" t="n">
        <v>0</v>
      </c>
      <c r="AA263" t="inlineStr">
        <is>
          <t>0</t>
        </is>
      </c>
      <c r="AB263" s="45" t="n">
        <v>194983</v>
      </c>
      <c r="AC263" s="45" t="n">
        <v>0</v>
      </c>
    </row>
    <row r="264">
      <c r="A264" t="inlineStr">
        <is>
          <t>VALLEDUPAR</t>
        </is>
      </c>
      <c r="B264" t="inlineStr">
        <is>
          <t>COSTA</t>
        </is>
      </c>
      <c r="C264" t="inlineStr">
        <is>
          <t>0004-0001</t>
        </is>
      </c>
      <c r="D264" t="inlineStr">
        <is>
          <t>20001</t>
        </is>
      </c>
      <c r="E264" t="inlineStr">
        <is>
          <t>TA-25-951708</t>
        </is>
      </c>
      <c r="F264" t="inlineStr">
        <is>
          <t>3007080974</t>
        </is>
      </c>
      <c r="G264" t="inlineStr">
        <is>
          <t>APERTURA</t>
        </is>
      </c>
      <c r="H264" t="inlineStr">
        <is>
          <t>CB CRECIMIENTO - NUEVO</t>
        </is>
      </c>
      <c r="I264" t="inlineStr">
        <is>
          <t>CESAR</t>
        </is>
      </c>
      <c r="J264" t="inlineStr">
        <is>
          <t>VALLEDUPAR</t>
        </is>
      </c>
      <c r="K264" t="inlineStr">
        <is>
          <t>BARRIO CENTRO VALLEDUPAR 32</t>
        </is>
      </c>
      <c r="L264" t="inlineStr">
        <is>
          <t>BANCOLOMBIA</t>
        </is>
      </c>
      <c r="M264" t="inlineStr">
        <is>
          <t>FO-25-1359815</t>
        </is>
      </c>
      <c r="N264" s="46" t="n">
        <v>45880.6</v>
      </c>
      <c r="O264" s="46" t="n">
        <v>45882.57013888889</v>
      </c>
      <c r="P264" t="inlineStr">
        <is>
          <t>UNO A UNO</t>
        </is>
      </c>
      <c r="Q264" t="inlineStr">
        <is>
          <t>UNO A UNO</t>
        </is>
      </c>
      <c r="R264" t="inlineStr">
        <is>
          <t>EJECUTADO</t>
        </is>
      </c>
      <c r="S264" t="inlineStr">
        <is>
          <t>VISITA TECNICA</t>
        </is>
      </c>
      <c r="T264" t="inlineStr">
        <is>
          <t>FIZZZ272</t>
        </is>
      </c>
      <c r="U264" t="inlineStr">
        <is>
          <t>TIPO I</t>
        </is>
      </c>
      <c r="V264" t="inlineStr">
        <is>
          <t>TERRESTRE</t>
        </is>
      </c>
      <c r="W264" t="inlineStr">
        <is>
          <t>MAESTRE MENGUAL EDGAR ENRIQUE</t>
        </is>
      </c>
      <c r="X264" t="inlineStr">
        <is>
          <t>Si</t>
        </is>
      </c>
      <c r="Y264" t="inlineStr">
        <is>
          <t>Si</t>
        </is>
      </c>
      <c r="Z264" s="45" t="n">
        <v>0</v>
      </c>
      <c r="AA264" t="inlineStr">
        <is>
          <t>0</t>
        </is>
      </c>
      <c r="AB264" s="45" t="n">
        <v>194983</v>
      </c>
      <c r="AC264" s="45" t="n">
        <v>0</v>
      </c>
    </row>
    <row r="265">
      <c r="A265" t="inlineStr">
        <is>
          <t>TUNJA</t>
        </is>
      </c>
      <c r="B265" t="inlineStr">
        <is>
          <t>SANTANDERES</t>
        </is>
      </c>
      <c r="C265" t="inlineStr">
        <is>
          <t>0004-0008</t>
        </is>
      </c>
      <c r="D265" t="inlineStr">
        <is>
          <t>15723</t>
        </is>
      </c>
      <c r="E265" t="inlineStr">
        <is>
          <t>TA-25-951739</t>
        </is>
      </c>
      <c r="F265" t="inlineStr">
        <is>
          <t>3007080975</t>
        </is>
      </c>
      <c r="G265" t="inlineStr">
        <is>
          <t>APERTURA</t>
        </is>
      </c>
      <c r="H265" t="inlineStr">
        <is>
          <t>CB CRECIMIENTO - NUEVO</t>
        </is>
      </c>
      <c r="I265" t="inlineStr">
        <is>
          <t>BOYACA</t>
        </is>
      </c>
      <c r="J265" t="inlineStr">
        <is>
          <t>SATIVASUR</t>
        </is>
      </c>
      <c r="K265" t="inlineStr">
        <is>
          <t>BARRIO CENTRO SATIVASUR</t>
        </is>
      </c>
      <c r="L265" t="inlineStr">
        <is>
          <t>BANCOLOMBIA</t>
        </is>
      </c>
      <c r="M265" t="inlineStr">
        <is>
          <t>FO-25-1359836</t>
        </is>
      </c>
      <c r="N265" s="46" t="n">
        <v>45880.62777777778</v>
      </c>
      <c r="O265" s="46" t="n">
        <v>45884.29722222222</v>
      </c>
      <c r="P265" t="inlineStr">
        <is>
          <t>UNO A UNO</t>
        </is>
      </c>
      <c r="Q265" t="inlineStr">
        <is>
          <t>UNO A UNO</t>
        </is>
      </c>
      <c r="R265" t="inlineStr">
        <is>
          <t>EJECUTADO</t>
        </is>
      </c>
      <c r="S265" t="inlineStr">
        <is>
          <t>VISITA TECNICA</t>
        </is>
      </c>
      <c r="T265" t="inlineStr">
        <is>
          <t>FIZZZ273</t>
        </is>
      </c>
      <c r="U265" t="inlineStr">
        <is>
          <t>TIPO III</t>
        </is>
      </c>
      <c r="V265" t="inlineStr">
        <is>
          <t>TERRESTRE</t>
        </is>
      </c>
      <c r="W265" t="inlineStr">
        <is>
          <t>SOLER HOYOS CRISTIAN LEONARDO</t>
        </is>
      </c>
      <c r="X265" t="inlineStr">
        <is>
          <t>Si</t>
        </is>
      </c>
      <c r="Y265" t="inlineStr">
        <is>
          <t>Si</t>
        </is>
      </c>
      <c r="Z265" s="45" t="n">
        <v>0</v>
      </c>
      <c r="AA265" t="inlineStr">
        <is>
          <t>0</t>
        </is>
      </c>
      <c r="AB265" s="45" t="n">
        <v>248376</v>
      </c>
      <c r="AC265" s="45" t="n">
        <v>0</v>
      </c>
    </row>
    <row r="266">
      <c r="A266" t="inlineStr">
        <is>
          <t>TUNJA</t>
        </is>
      </c>
      <c r="B266" t="inlineStr">
        <is>
          <t>SANTANDERES</t>
        </is>
      </c>
      <c r="C266" t="inlineStr">
        <is>
          <t>0004-0008</t>
        </is>
      </c>
      <c r="D266" t="inlineStr">
        <is>
          <t>15759</t>
        </is>
      </c>
      <c r="E266" t="inlineStr">
        <is>
          <t>TA-25-951767</t>
        </is>
      </c>
      <c r="F266" t="inlineStr">
        <is>
          <t>3007080969</t>
        </is>
      </c>
      <c r="G266" t="inlineStr">
        <is>
          <t>APERTURA</t>
        </is>
      </c>
      <c r="H266" t="inlineStr">
        <is>
          <t>CB CRECIMIENTO - NUEVO</t>
        </is>
      </c>
      <c r="I266" t="inlineStr">
        <is>
          <t>BOYACA</t>
        </is>
      </c>
      <c r="J266" t="inlineStr">
        <is>
          <t>SOGAMOSO</t>
        </is>
      </c>
      <c r="K266" t="inlineStr">
        <is>
          <t>BARRIO CHAPINERO SOGAMOSO 3</t>
        </is>
      </c>
      <c r="L266" t="inlineStr">
        <is>
          <t>BANCOLOMBIA</t>
        </is>
      </c>
      <c r="M266" t="inlineStr">
        <is>
          <t>FO-25-1359854</t>
        </is>
      </c>
      <c r="N266" s="46" t="n">
        <v>45880.62777777778</v>
      </c>
      <c r="O266" s="46" t="n">
        <v>45882.62916666667</v>
      </c>
      <c r="P266" t="inlineStr">
        <is>
          <t>UNO A UNO</t>
        </is>
      </c>
      <c r="Q266" t="inlineStr">
        <is>
          <t>UNO A UNO</t>
        </is>
      </c>
      <c r="R266" t="inlineStr">
        <is>
          <t>EJECUTADO</t>
        </is>
      </c>
      <c r="S266" t="inlineStr">
        <is>
          <t>VISITA TECNICA</t>
        </is>
      </c>
      <c r="T266" t="inlineStr">
        <is>
          <t>FIZZZ274</t>
        </is>
      </c>
      <c r="U266" t="inlineStr">
        <is>
          <t>TIPO II</t>
        </is>
      </c>
      <c r="V266" t="inlineStr">
        <is>
          <t>TERRESTRE</t>
        </is>
      </c>
      <c r="W266" t="inlineStr">
        <is>
          <t>MARTINEZ FLOREZ DONIS ALBERTO</t>
        </is>
      </c>
      <c r="X266" t="inlineStr">
        <is>
          <t>Si</t>
        </is>
      </c>
      <c r="Y266" t="inlineStr">
        <is>
          <t>Si</t>
        </is>
      </c>
      <c r="Z266" s="45" t="n">
        <v>0</v>
      </c>
      <c r="AA266" t="inlineStr">
        <is>
          <t>0</t>
        </is>
      </c>
      <c r="AB266" s="45" t="n">
        <v>248376</v>
      </c>
      <c r="AC266" s="45" t="n">
        <v>0</v>
      </c>
    </row>
    <row r="267">
      <c r="A267" t="inlineStr">
        <is>
          <t>SINCELEJO</t>
        </is>
      </c>
      <c r="B267" t="inlineStr">
        <is>
          <t>COSTA</t>
        </is>
      </c>
      <c r="C267" t="inlineStr">
        <is>
          <t>0004-0001</t>
        </is>
      </c>
      <c r="D267" t="inlineStr">
        <is>
          <t>70001</t>
        </is>
      </c>
      <c r="E267" t="inlineStr">
        <is>
          <t>TA-25-951795</t>
        </is>
      </c>
      <c r="F267" t="inlineStr">
        <is>
          <t>3007080966</t>
        </is>
      </c>
      <c r="G267" t="inlineStr">
        <is>
          <t>APERTURA</t>
        </is>
      </c>
      <c r="H267" t="inlineStr">
        <is>
          <t>CB CRECIMIENTO - NUEVO</t>
        </is>
      </c>
      <c r="I267" t="inlineStr">
        <is>
          <t>SUCRE</t>
        </is>
      </c>
      <c r="J267" t="inlineStr">
        <is>
          <t>SINCELEJO</t>
        </is>
      </c>
      <c r="K267" t="inlineStr">
        <is>
          <t>BARRIO NUEVOS PIONEROS SINCELEJO</t>
        </is>
      </c>
      <c r="L267" t="inlineStr">
        <is>
          <t>BANCOLOMBIA</t>
        </is>
      </c>
      <c r="M267" t="inlineStr">
        <is>
          <t>FO-25-1359873</t>
        </is>
      </c>
      <c r="N267" s="46" t="n">
        <v>45880.62222222222</v>
      </c>
      <c r="O267" s="46" t="n">
        <v>45882.60763888889</v>
      </c>
      <c r="P267" t="inlineStr">
        <is>
          <t>UNO A UNO</t>
        </is>
      </c>
      <c r="Q267" t="inlineStr">
        <is>
          <t>UNO A UNO</t>
        </is>
      </c>
      <c r="R267" t="inlineStr">
        <is>
          <t>EJECUTADO</t>
        </is>
      </c>
      <c r="S267" t="inlineStr">
        <is>
          <t>VISITA TECNICA</t>
        </is>
      </c>
      <c r="T267" t="inlineStr">
        <is>
          <t>FIZZZ275</t>
        </is>
      </c>
      <c r="U267" t="inlineStr">
        <is>
          <t>TIPO I</t>
        </is>
      </c>
      <c r="V267" t="inlineStr">
        <is>
          <t>TERRESTRE</t>
        </is>
      </c>
      <c r="W267" t="inlineStr">
        <is>
          <t>SANTOS GUZMAN CHRISTIAN FELIPE</t>
        </is>
      </c>
      <c r="X267" t="inlineStr">
        <is>
          <t>Si</t>
        </is>
      </c>
      <c r="Y267" t="inlineStr">
        <is>
          <t>Si</t>
        </is>
      </c>
      <c r="Z267" s="45" t="n">
        <v>0</v>
      </c>
      <c r="AA267" t="inlineStr">
        <is>
          <t>0</t>
        </is>
      </c>
      <c r="AB267" s="45" t="n">
        <v>194983</v>
      </c>
      <c r="AC267" s="45" t="n">
        <v>0</v>
      </c>
    </row>
    <row r="268">
      <c r="A268" t="inlineStr">
        <is>
          <t>CUCUTA</t>
        </is>
      </c>
      <c r="B268" t="inlineStr">
        <is>
          <t>SANTANDERES</t>
        </is>
      </c>
      <c r="C268" t="inlineStr">
        <is>
          <t>0004-0008</t>
        </is>
      </c>
      <c r="D268" t="inlineStr">
        <is>
          <t>54874</t>
        </is>
      </c>
      <c r="E268" t="inlineStr">
        <is>
          <t>TA-25-951828</t>
        </is>
      </c>
      <c r="F268" t="inlineStr">
        <is>
          <t>3007080980</t>
        </is>
      </c>
      <c r="G268" t="inlineStr">
        <is>
          <t>APERTURA</t>
        </is>
      </c>
      <c r="H268" t="inlineStr">
        <is>
          <t>CB CRECIMIENTO - NUEVO</t>
        </is>
      </c>
      <c r="I268" t="inlineStr">
        <is>
          <t>NORTE DE SANTANDER</t>
        </is>
      </c>
      <c r="J268" t="inlineStr">
        <is>
          <t>VILLA DEL ROSARIO</t>
        </is>
      </c>
      <c r="K268" t="inlineStr">
        <is>
          <t>BARRIO SAN MARTIN VILLA DEL ROSARIO  2</t>
        </is>
      </c>
      <c r="L268" t="inlineStr">
        <is>
          <t>BANCOLOMBIA</t>
        </is>
      </c>
      <c r="M268" t="inlineStr">
        <is>
          <t>FO-25-1359892</t>
        </is>
      </c>
      <c r="N268" s="46" t="n">
        <v>45880.62777777778</v>
      </c>
      <c r="O268" s="46" t="n">
        <v>45881.60416666666</v>
      </c>
      <c r="P268" t="inlineStr">
        <is>
          <t>UNO A UNO</t>
        </is>
      </c>
      <c r="Q268" t="inlineStr">
        <is>
          <t>UNO A UNO</t>
        </is>
      </c>
      <c r="R268" t="inlineStr">
        <is>
          <t>EJECUTADO</t>
        </is>
      </c>
      <c r="S268" t="inlineStr">
        <is>
          <t>VISITA TECNICA</t>
        </is>
      </c>
      <c r="T268" t="inlineStr">
        <is>
          <t>FIZZZ276</t>
        </is>
      </c>
      <c r="U268" t="inlineStr">
        <is>
          <t>TIPO I</t>
        </is>
      </c>
      <c r="V268" t="inlineStr">
        <is>
          <t>TERRESTRE</t>
        </is>
      </c>
      <c r="W268" t="inlineStr">
        <is>
          <t>PACHECO BUITRAGO JAVIER ALONSO</t>
        </is>
      </c>
      <c r="X268" t="inlineStr">
        <is>
          <t>Si</t>
        </is>
      </c>
      <c r="Y268" t="inlineStr">
        <is>
          <t>Si</t>
        </is>
      </c>
      <c r="Z268" s="45" t="n">
        <v>0</v>
      </c>
      <c r="AA268" t="inlineStr">
        <is>
          <t>0</t>
        </is>
      </c>
      <c r="AB268" s="45" t="n">
        <v>194983</v>
      </c>
      <c r="AC268" s="45" t="n">
        <v>0</v>
      </c>
    </row>
    <row r="269">
      <c r="A269" t="inlineStr">
        <is>
          <t>BARRANQUILLA</t>
        </is>
      </c>
      <c r="B269" t="inlineStr">
        <is>
          <t>COSTA</t>
        </is>
      </c>
      <c r="C269" t="inlineStr">
        <is>
          <t>0004-0001</t>
        </is>
      </c>
      <c r="D269" t="inlineStr">
        <is>
          <t>8141</t>
        </is>
      </c>
      <c r="E269" t="inlineStr">
        <is>
          <t>TA-25-951857</t>
        </is>
      </c>
      <c r="F269" t="inlineStr">
        <is>
          <t>3007080938</t>
        </is>
      </c>
      <c r="G269" t="inlineStr">
        <is>
          <t>APERTURA</t>
        </is>
      </c>
      <c r="H269" t="inlineStr">
        <is>
          <t>CB CRECIMIENTO - NUEVO</t>
        </is>
      </c>
      <c r="I269" t="inlineStr">
        <is>
          <t>ATLANTICO</t>
        </is>
      </c>
      <c r="J269" t="inlineStr">
        <is>
          <t>CANDELARIA</t>
        </is>
      </c>
      <c r="K269" t="inlineStr">
        <is>
          <t>BARRIO CANDELARIA CANDELARIA</t>
        </is>
      </c>
      <c r="L269" t="inlineStr">
        <is>
          <t>BANCOLOMBIA</t>
        </is>
      </c>
      <c r="M269" t="inlineStr">
        <is>
          <t>FO-25-1359911</t>
        </is>
      </c>
      <c r="N269" s="46" t="n">
        <v>45880.62083333333</v>
      </c>
      <c r="O269" s="46" t="n">
        <v>45883.25694444445</v>
      </c>
      <c r="P269" t="inlineStr">
        <is>
          <t>UNO A UNO</t>
        </is>
      </c>
      <c r="Q269" t="inlineStr">
        <is>
          <t>UNO A UNO</t>
        </is>
      </c>
      <c r="R269" t="inlineStr">
        <is>
          <t>EJECUTADO</t>
        </is>
      </c>
      <c r="S269" t="inlineStr">
        <is>
          <t>VISITA TECNICA</t>
        </is>
      </c>
      <c r="T269" t="inlineStr">
        <is>
          <t>FIZZZ278</t>
        </is>
      </c>
      <c r="U269" t="inlineStr">
        <is>
          <t>TIPO II</t>
        </is>
      </c>
      <c r="V269" t="inlineStr">
        <is>
          <t>TERRESTRE</t>
        </is>
      </c>
      <c r="W269" t="inlineStr">
        <is>
          <t>DE AVILA SIADES ALBERTO ENRIQUE</t>
        </is>
      </c>
      <c r="X269" t="inlineStr">
        <is>
          <t>Si</t>
        </is>
      </c>
      <c r="Y269" t="inlineStr">
        <is>
          <t>Si</t>
        </is>
      </c>
      <c r="Z269" s="45" t="n">
        <v>0</v>
      </c>
      <c r="AA269" t="inlineStr">
        <is>
          <t>0</t>
        </is>
      </c>
      <c r="AB269" s="45" t="n">
        <v>248376</v>
      </c>
      <c r="AC269" s="45" t="n">
        <v>0</v>
      </c>
    </row>
    <row r="270">
      <c r="A270" t="inlineStr">
        <is>
          <t>VILLAVICENCIO</t>
        </is>
      </c>
      <c r="B270" t="inlineStr">
        <is>
          <t>REMOTAS</t>
        </is>
      </c>
      <c r="C270" t="inlineStr">
        <is>
          <t>0004-0007</t>
        </is>
      </c>
      <c r="D270" t="inlineStr">
        <is>
          <t>50001</t>
        </is>
      </c>
      <c r="E270" t="inlineStr">
        <is>
          <t>TA-25-951899</t>
        </is>
      </c>
      <c r="F270" t="inlineStr">
        <is>
          <t>3007080983</t>
        </is>
      </c>
      <c r="G270" t="inlineStr">
        <is>
          <t>APERTURA</t>
        </is>
      </c>
      <c r="H270" t="inlineStr">
        <is>
          <t>CB CRECIMIENTO - NUEVO</t>
        </is>
      </c>
      <c r="I270" t="inlineStr">
        <is>
          <t>META</t>
        </is>
      </c>
      <c r="J270" t="inlineStr">
        <is>
          <t>VILLAVICENCIO</t>
        </is>
      </c>
      <c r="K270" t="inlineStr">
        <is>
          <t>BARRIO PORVENIR VILLAVICENCIO 11</t>
        </is>
      </c>
      <c r="L270" t="inlineStr">
        <is>
          <t>BANCOLOMBIA</t>
        </is>
      </c>
      <c r="M270" t="inlineStr">
        <is>
          <t>FO-25-1359933</t>
        </is>
      </c>
      <c r="N270" s="46" t="n">
        <v>45880.68888888889</v>
      </c>
      <c r="O270" s="46" t="n">
        <v>45882.60208333333</v>
      </c>
      <c r="P270" t="inlineStr">
        <is>
          <t>UNO A UNO</t>
        </is>
      </c>
      <c r="Q270" t="inlineStr">
        <is>
          <t>UNO A UNO</t>
        </is>
      </c>
      <c r="R270" t="inlineStr">
        <is>
          <t>EJECUTADO</t>
        </is>
      </c>
      <c r="S270" t="inlineStr">
        <is>
          <t>VISITA TECNICA</t>
        </is>
      </c>
      <c r="T270" t="inlineStr">
        <is>
          <t>FIZZZ279</t>
        </is>
      </c>
      <c r="U270" t="inlineStr">
        <is>
          <t>TIPO I</t>
        </is>
      </c>
      <c r="V270" t="inlineStr">
        <is>
          <t>TERRESTRE</t>
        </is>
      </c>
      <c r="W270" t="inlineStr">
        <is>
          <t>CASTRILLON URREA LONDIER LEANDRO</t>
        </is>
      </c>
      <c r="X270" t="inlineStr">
        <is>
          <t>Si</t>
        </is>
      </c>
      <c r="Y270" t="inlineStr">
        <is>
          <t>Si</t>
        </is>
      </c>
      <c r="Z270" s="45" t="n">
        <v>0</v>
      </c>
      <c r="AA270" t="inlineStr">
        <is>
          <t>0</t>
        </is>
      </c>
      <c r="AB270" s="45" t="n">
        <v>194983</v>
      </c>
      <c r="AC270" s="45" t="n">
        <v>0</v>
      </c>
    </row>
    <row r="271">
      <c r="A271" t="inlineStr">
        <is>
          <t>CUCUTA</t>
        </is>
      </c>
      <c r="B271" t="inlineStr">
        <is>
          <t>SANTANDERES</t>
        </is>
      </c>
      <c r="C271" t="inlineStr">
        <is>
          <t>0004-0008</t>
        </is>
      </c>
      <c r="D271" t="inlineStr">
        <is>
          <t>54405</t>
        </is>
      </c>
      <c r="E271" t="inlineStr">
        <is>
          <t>TA-25-951927</t>
        </is>
      </c>
      <c r="F271" t="inlineStr">
        <is>
          <t>3007080947</t>
        </is>
      </c>
      <c r="G271" t="inlineStr">
        <is>
          <t>APERTURA</t>
        </is>
      </c>
      <c r="H271" t="inlineStr">
        <is>
          <t>CB CRECIMIENTO - NUEVO</t>
        </is>
      </c>
      <c r="I271" t="inlineStr">
        <is>
          <t>NORTE DE SANTANDER</t>
        </is>
      </c>
      <c r="J271" t="inlineStr">
        <is>
          <t>LOS PATIOS</t>
        </is>
      </c>
      <c r="K271" t="inlineStr">
        <is>
          <t>BARRIO URB LA CAMPIÑA LOS PATIOS  1</t>
        </is>
      </c>
      <c r="L271" t="inlineStr">
        <is>
          <t>BANCOLOMBIA</t>
        </is>
      </c>
      <c r="M271" t="inlineStr">
        <is>
          <t>FO-25-1359954</t>
        </is>
      </c>
      <c r="N271" s="46" t="n">
        <v>45880.62847222222</v>
      </c>
      <c r="O271" s="46" t="n">
        <v>45882.32847222222</v>
      </c>
      <c r="P271" t="inlineStr">
        <is>
          <t>UNO A UNO</t>
        </is>
      </c>
      <c r="Q271" t="inlineStr">
        <is>
          <t>UNO A UNO</t>
        </is>
      </c>
      <c r="R271" t="inlineStr">
        <is>
          <t>EJECUTADO</t>
        </is>
      </c>
      <c r="S271" t="inlineStr">
        <is>
          <t>VISITA TECNICA</t>
        </is>
      </c>
      <c r="T271" t="inlineStr">
        <is>
          <t>FIZZZ280</t>
        </is>
      </c>
      <c r="U271" t="inlineStr">
        <is>
          <t>TIPO I</t>
        </is>
      </c>
      <c r="V271" t="inlineStr">
        <is>
          <t>TERRESTRE</t>
        </is>
      </c>
      <c r="W271" t="inlineStr">
        <is>
          <t>PACHECO BUITRAGO JAVIER ALONSO</t>
        </is>
      </c>
      <c r="X271" t="inlineStr">
        <is>
          <t>Si</t>
        </is>
      </c>
      <c r="Y271" t="inlineStr">
        <is>
          <t>Si</t>
        </is>
      </c>
      <c r="Z271" s="45" t="n">
        <v>0</v>
      </c>
      <c r="AA271" t="inlineStr">
        <is>
          <t>0</t>
        </is>
      </c>
      <c r="AB271" s="45" t="n">
        <v>194983</v>
      </c>
      <c r="AC271" s="45" t="n">
        <v>0</v>
      </c>
    </row>
    <row r="272">
      <c r="A272" t="inlineStr">
        <is>
          <t>SINCELEJO</t>
        </is>
      </c>
      <c r="B272" t="inlineStr">
        <is>
          <t>COSTA</t>
        </is>
      </c>
      <c r="C272" t="inlineStr">
        <is>
          <t>0004-0001</t>
        </is>
      </c>
      <c r="D272" t="inlineStr">
        <is>
          <t>70001</t>
        </is>
      </c>
      <c r="E272" t="inlineStr">
        <is>
          <t>TA-25-951957</t>
        </is>
      </c>
      <c r="F272" t="inlineStr">
        <is>
          <t>3007080967</t>
        </is>
      </c>
      <c r="G272" t="inlineStr">
        <is>
          <t>APERTURA</t>
        </is>
      </c>
      <c r="H272" t="inlineStr">
        <is>
          <t>CB CRECIMIENTO - NUEVO</t>
        </is>
      </c>
      <c r="I272" t="inlineStr">
        <is>
          <t>SUCRE</t>
        </is>
      </c>
      <c r="J272" t="inlineStr">
        <is>
          <t>SINCELEJO</t>
        </is>
      </c>
      <c r="K272" t="inlineStr">
        <is>
          <t>BARRIO CENTRO SINCELEJO 26</t>
        </is>
      </c>
      <c r="L272" t="inlineStr">
        <is>
          <t>BANCOLOMBIA</t>
        </is>
      </c>
      <c r="M272" t="inlineStr">
        <is>
          <t>FO-25-1359973</t>
        </is>
      </c>
      <c r="N272" s="46" t="n">
        <v>45880.62222222222</v>
      </c>
      <c r="O272" s="46" t="n">
        <v>45881.60833333333</v>
      </c>
      <c r="P272" t="inlineStr">
        <is>
          <t>UNO A UNO</t>
        </is>
      </c>
      <c r="Q272" t="inlineStr">
        <is>
          <t>UNO A UNO</t>
        </is>
      </c>
      <c r="R272" t="inlineStr">
        <is>
          <t>EJECUTADO</t>
        </is>
      </c>
      <c r="S272" t="inlineStr">
        <is>
          <t>VISITA TECNICA</t>
        </is>
      </c>
      <c r="T272" t="inlineStr">
        <is>
          <t>FIZZZ281</t>
        </is>
      </c>
      <c r="U272" t="inlineStr">
        <is>
          <t>TIPO I</t>
        </is>
      </c>
      <c r="V272" t="inlineStr">
        <is>
          <t>TERRESTRE</t>
        </is>
      </c>
      <c r="W272" t="inlineStr">
        <is>
          <t>SANTOS GUZMAN CHRISTIAN FELIPE</t>
        </is>
      </c>
      <c r="X272" t="inlineStr">
        <is>
          <t>Si</t>
        </is>
      </c>
      <c r="Y272" t="inlineStr">
        <is>
          <t>Si</t>
        </is>
      </c>
      <c r="Z272" s="45" t="n">
        <v>0</v>
      </c>
      <c r="AA272" t="inlineStr">
        <is>
          <t>0</t>
        </is>
      </c>
      <c r="AB272" s="45" t="n">
        <v>194983</v>
      </c>
      <c r="AC272" s="45" t="n">
        <v>0</v>
      </c>
    </row>
    <row r="273">
      <c r="A273" t="inlineStr">
        <is>
          <t>VILLAVICENCIO</t>
        </is>
      </c>
      <c r="B273" t="inlineStr">
        <is>
          <t>REMOTAS</t>
        </is>
      </c>
      <c r="C273" t="inlineStr">
        <is>
          <t>0004-0007</t>
        </is>
      </c>
      <c r="D273" t="inlineStr">
        <is>
          <t>50001</t>
        </is>
      </c>
      <c r="E273" t="inlineStr">
        <is>
          <t>TA-25-951985</t>
        </is>
      </c>
      <c r="F273" t="inlineStr">
        <is>
          <t>3007080982</t>
        </is>
      </c>
      <c r="G273" t="inlineStr">
        <is>
          <t>APERTURA</t>
        </is>
      </c>
      <c r="H273" t="inlineStr">
        <is>
          <t>CB CRECIMIENTO - NUEVO</t>
        </is>
      </c>
      <c r="I273" t="inlineStr">
        <is>
          <t>META</t>
        </is>
      </c>
      <c r="J273" t="inlineStr">
        <is>
          <t>VILLAVICENCIO</t>
        </is>
      </c>
      <c r="K273" t="inlineStr">
        <is>
          <t>BARRIO EL BRILLANTE VILLAVICENCIO 2</t>
        </is>
      </c>
      <c r="L273" t="inlineStr">
        <is>
          <t>BANCOLOMBIA</t>
        </is>
      </c>
      <c r="M273" t="inlineStr">
        <is>
          <t>FO-25-1359996</t>
        </is>
      </c>
      <c r="N273" s="46" t="n">
        <v>45880.68888888889</v>
      </c>
      <c r="O273" s="46" t="n">
        <v>45883.23888888889</v>
      </c>
      <c r="P273" t="inlineStr">
        <is>
          <t>UNO A UNO</t>
        </is>
      </c>
      <c r="Q273" t="inlineStr">
        <is>
          <t>UNO A UNO</t>
        </is>
      </c>
      <c r="R273" t="inlineStr">
        <is>
          <t>EJECUTADO</t>
        </is>
      </c>
      <c r="S273" t="inlineStr">
        <is>
          <t>VISITA TECNICA</t>
        </is>
      </c>
      <c r="T273" t="inlineStr">
        <is>
          <t>FIZZZ282</t>
        </is>
      </c>
      <c r="U273" t="inlineStr">
        <is>
          <t>TIPO I</t>
        </is>
      </c>
      <c r="V273" t="inlineStr">
        <is>
          <t>TERRESTRE</t>
        </is>
      </c>
      <c r="W273" t="inlineStr">
        <is>
          <t>CASTRILLON URREA LONDIER LEANDRO</t>
        </is>
      </c>
      <c r="X273" t="inlineStr">
        <is>
          <t>Si</t>
        </is>
      </c>
      <c r="Y273" t="inlineStr">
        <is>
          <t>Si</t>
        </is>
      </c>
      <c r="Z273" s="45" t="n">
        <v>0</v>
      </c>
      <c r="AA273" t="inlineStr">
        <is>
          <t>0</t>
        </is>
      </c>
      <c r="AB273" s="45" t="n">
        <v>194983</v>
      </c>
      <c r="AC273" s="45" t="n">
        <v>0</v>
      </c>
    </row>
    <row r="274">
      <c r="A274" t="inlineStr">
        <is>
          <t>BOGOTA</t>
        </is>
      </c>
      <c r="B274" t="inlineStr">
        <is>
          <t>CUNDINAMARCA</t>
        </is>
      </c>
      <c r="C274" t="inlineStr">
        <is>
          <t>0004-0004</t>
        </is>
      </c>
      <c r="D274" t="inlineStr">
        <is>
          <t>25843</t>
        </is>
      </c>
      <c r="E274" t="inlineStr">
        <is>
          <t>TA-25-952015</t>
        </is>
      </c>
      <c r="F274" t="inlineStr">
        <is>
          <t>3007080979</t>
        </is>
      </c>
      <c r="G274" t="inlineStr">
        <is>
          <t>APERTURA</t>
        </is>
      </c>
      <c r="H274" t="inlineStr">
        <is>
          <t>CB CRECIMIENTO - NUEVO</t>
        </is>
      </c>
      <c r="I274" t="inlineStr">
        <is>
          <t>CUNDINAMARCA</t>
        </is>
      </c>
      <c r="J274" t="inlineStr">
        <is>
          <t>VILLA DE SAN DIEGO DE UBATE</t>
        </is>
      </c>
      <c r="K274" t="inlineStr">
        <is>
          <t>BARRIO NORTE VILLA DE SAN DIEGO DE UBATE 3</t>
        </is>
      </c>
      <c r="L274" t="inlineStr">
        <is>
          <t>BANCOLOMBIA</t>
        </is>
      </c>
      <c r="M274" t="inlineStr">
        <is>
          <t>FO-25-1360015</t>
        </is>
      </c>
      <c r="N274" s="46" t="n">
        <v>45880.6875</v>
      </c>
      <c r="O274" s="46" t="n">
        <v>45881.6125</v>
      </c>
      <c r="P274" t="inlineStr">
        <is>
          <t>UNO A UNO</t>
        </is>
      </c>
      <c r="Q274" t="inlineStr">
        <is>
          <t>UNO A UNO</t>
        </is>
      </c>
      <c r="R274" t="inlineStr">
        <is>
          <t>EJECUTADO</t>
        </is>
      </c>
      <c r="S274" t="inlineStr">
        <is>
          <t>VISITA TECNICA</t>
        </is>
      </c>
      <c r="T274" t="inlineStr">
        <is>
          <t>FIZZZZ283</t>
        </is>
      </c>
      <c r="U274" t="inlineStr">
        <is>
          <t>TIPO II</t>
        </is>
      </c>
      <c r="V274" t="inlineStr">
        <is>
          <t>TERRESTRE</t>
        </is>
      </c>
      <c r="W274" t="inlineStr">
        <is>
          <t>GOMEZ VEGA DAVID SNEYDER</t>
        </is>
      </c>
      <c r="X274" t="inlineStr">
        <is>
          <t>Si</t>
        </is>
      </c>
      <c r="Y274" t="inlineStr">
        <is>
          <t>Si</t>
        </is>
      </c>
      <c r="Z274" s="45" t="n">
        <v>0</v>
      </c>
      <c r="AA274" t="inlineStr">
        <is>
          <t>0</t>
        </is>
      </c>
      <c r="AB274" s="45" t="n">
        <v>248376</v>
      </c>
      <c r="AC274" s="45" t="n">
        <v>0</v>
      </c>
    </row>
    <row r="275">
      <c r="A275" t="inlineStr">
        <is>
          <t>MEDELLIN</t>
        </is>
      </c>
      <c r="B275" t="inlineStr">
        <is>
          <t>NOROCCIDENTE</t>
        </is>
      </c>
      <c r="C275" t="inlineStr">
        <is>
          <t>0004-0005</t>
        </is>
      </c>
      <c r="D275" t="inlineStr">
        <is>
          <t>5001</t>
        </is>
      </c>
      <c r="E275" t="inlineStr">
        <is>
          <t>TA-25-952041</t>
        </is>
      </c>
      <c r="F275" t="inlineStr">
        <is>
          <t>3007080984</t>
        </is>
      </c>
      <c r="G275" t="inlineStr">
        <is>
          <t>APERTURA</t>
        </is>
      </c>
      <c r="H275" t="inlineStr">
        <is>
          <t>CB CRECIMIENTO - NUEVO</t>
        </is>
      </c>
      <c r="I275" t="inlineStr">
        <is>
          <t>ANTIOQUIA</t>
        </is>
      </c>
      <c r="J275" t="inlineStr">
        <is>
          <t>MEDELLIN</t>
        </is>
      </c>
      <c r="K275" t="inlineStr">
        <is>
          <t>BARRIO ENCISO LLANADITAS MEDELLIN</t>
        </is>
      </c>
      <c r="L275" t="inlineStr">
        <is>
          <t>BANCOLOMBIA</t>
        </is>
      </c>
      <c r="M275" t="inlineStr">
        <is>
          <t>FO-25-1360033</t>
        </is>
      </c>
      <c r="N275" s="46" t="n">
        <v>45880.66319444445</v>
      </c>
      <c r="O275" s="46" t="n">
        <v>45883.23611111111</v>
      </c>
      <c r="P275" t="inlineStr">
        <is>
          <t>UNO A UNO</t>
        </is>
      </c>
      <c r="Q275" t="inlineStr">
        <is>
          <t>UNO A UNO</t>
        </is>
      </c>
      <c r="R275" t="inlineStr">
        <is>
          <t>EJECUTADO</t>
        </is>
      </c>
      <c r="S275" t="inlineStr">
        <is>
          <t>VISITA TECNICA</t>
        </is>
      </c>
      <c r="T275" t="inlineStr">
        <is>
          <t>FIZZZ284</t>
        </is>
      </c>
      <c r="U275" t="inlineStr">
        <is>
          <t>TIPO I</t>
        </is>
      </c>
      <c r="V275" t="inlineStr">
        <is>
          <t>TERRESTRE</t>
        </is>
      </c>
      <c r="W275" t="inlineStr">
        <is>
          <t>ALVAREZ ARENAS VICTOR HUGO</t>
        </is>
      </c>
      <c r="X275" t="inlineStr">
        <is>
          <t>Si</t>
        </is>
      </c>
      <c r="Y275" t="inlineStr">
        <is>
          <t>Si</t>
        </is>
      </c>
      <c r="Z275" s="45" t="n">
        <v>0</v>
      </c>
      <c r="AA275" t="inlineStr">
        <is>
          <t>0</t>
        </is>
      </c>
      <c r="AB275" s="45" t="n">
        <v>194983</v>
      </c>
      <c r="AC275" s="45" t="n">
        <v>0</v>
      </c>
    </row>
    <row r="276">
      <c r="A276" t="inlineStr">
        <is>
          <t>PASTO</t>
        </is>
      </c>
      <c r="B276" t="inlineStr">
        <is>
          <t>SUROCCIDENTE Y EJE CAFETERO</t>
        </is>
      </c>
      <c r="C276" t="inlineStr">
        <is>
          <t>0004-0003</t>
        </is>
      </c>
      <c r="D276" t="inlineStr">
        <is>
          <t>52079</t>
        </is>
      </c>
      <c r="E276" t="inlineStr">
        <is>
          <t>TA-25-952072</t>
        </is>
      </c>
      <c r="F276" t="inlineStr">
        <is>
          <t>3007080928</t>
        </is>
      </c>
      <c r="G276" t="inlineStr">
        <is>
          <t>APERTURA</t>
        </is>
      </c>
      <c r="H276" t="inlineStr">
        <is>
          <t>CB CRECIMIENTO - NUEVO</t>
        </is>
      </c>
      <c r="I276" t="inlineStr">
        <is>
          <t>NARIÑO</t>
        </is>
      </c>
      <c r="J276" t="inlineStr">
        <is>
          <t>BARBACOAS</t>
        </is>
      </c>
      <c r="K276" t="inlineStr">
        <is>
          <t>BARRIO CL SAN ANTONIO BARBACOAS</t>
        </is>
      </c>
      <c r="L276" t="inlineStr">
        <is>
          <t>BANCOLOMBIA</t>
        </is>
      </c>
      <c r="M276" t="inlineStr">
        <is>
          <t>FO-25-1360054</t>
        </is>
      </c>
      <c r="N276" s="46" t="n">
        <v>45880.66111111111</v>
      </c>
      <c r="O276" s="46" t="n">
        <v>45884.29097222222</v>
      </c>
      <c r="P276" t="inlineStr">
        <is>
          <t>UNO A UNO</t>
        </is>
      </c>
      <c r="Q276" t="inlineStr">
        <is>
          <t>UNO A UNO</t>
        </is>
      </c>
      <c r="R276" t="inlineStr">
        <is>
          <t>EJECUTADO</t>
        </is>
      </c>
      <c r="S276" t="inlineStr">
        <is>
          <t>VISITA TECNICA</t>
        </is>
      </c>
      <c r="T276" t="inlineStr">
        <is>
          <t>FIZZZ285</t>
        </is>
      </c>
      <c r="U276" t="inlineStr">
        <is>
          <t>TIPO IV</t>
        </is>
      </c>
      <c r="V276" t="inlineStr">
        <is>
          <t>TERRESTRE</t>
        </is>
      </c>
      <c r="W276" t="inlineStr">
        <is>
          <t>PAZ MARTINEZ RICHARD HUMBERTO</t>
        </is>
      </c>
      <c r="X276" t="inlineStr">
        <is>
          <t>Si</t>
        </is>
      </c>
      <c r="Y276" t="inlineStr">
        <is>
          <t>Si</t>
        </is>
      </c>
      <c r="Z276" s="45" t="n">
        <v>0</v>
      </c>
      <c r="AA276" t="inlineStr">
        <is>
          <t>0</t>
        </is>
      </c>
      <c r="AB276" s="45" t="n">
        <v>248376</v>
      </c>
      <c r="AC276" s="45" t="n">
        <v>0</v>
      </c>
    </row>
    <row r="277">
      <c r="A277" t="inlineStr">
        <is>
          <t>CALI</t>
        </is>
      </c>
      <c r="B277" t="inlineStr">
        <is>
          <t>SUROCCIDENTE Y EJE CAFETERO</t>
        </is>
      </c>
      <c r="C277" t="inlineStr">
        <is>
          <t>0004-0003</t>
        </is>
      </c>
      <c r="D277" t="inlineStr">
        <is>
          <t>76275</t>
        </is>
      </c>
      <c r="E277" t="inlineStr">
        <is>
          <t>TA-25-952096</t>
        </is>
      </c>
      <c r="F277" t="inlineStr">
        <is>
          <t>3007080944</t>
        </is>
      </c>
      <c r="G277" t="inlineStr">
        <is>
          <t>APERTURA</t>
        </is>
      </c>
      <c r="H277" t="inlineStr">
        <is>
          <t>CB CRECIMIENTO - NUEVO</t>
        </is>
      </c>
      <c r="I277" t="inlineStr">
        <is>
          <t>VALLE DEL CAUCA</t>
        </is>
      </c>
      <c r="J277" t="inlineStr">
        <is>
          <t>FLORIDA</t>
        </is>
      </c>
      <c r="K277" t="inlineStr">
        <is>
          <t>BARRIO LA ESPERANZA FLORIDA 1</t>
        </is>
      </c>
      <c r="L277" t="inlineStr">
        <is>
          <t>BANCOLOMBIA</t>
        </is>
      </c>
      <c r="M277" t="inlineStr">
        <is>
          <t>FO-25-1360070</t>
        </is>
      </c>
      <c r="N277" s="46" t="n">
        <v>45880.70555555556</v>
      </c>
      <c r="O277" s="46" t="n">
        <v>45883.57916666667</v>
      </c>
      <c r="P277" t="inlineStr">
        <is>
          <t>UNO A UNO</t>
        </is>
      </c>
      <c r="Q277" t="inlineStr">
        <is>
          <t>UNO A UNO</t>
        </is>
      </c>
      <c r="R277" t="inlineStr">
        <is>
          <t>EJECUTADO</t>
        </is>
      </c>
      <c r="S277" t="inlineStr">
        <is>
          <t>VISITA TECNICA</t>
        </is>
      </c>
      <c r="T277" t="inlineStr">
        <is>
          <t>FIZZZ286</t>
        </is>
      </c>
      <c r="U277" t="inlineStr">
        <is>
          <t>TIPO II</t>
        </is>
      </c>
      <c r="V277" t="inlineStr">
        <is>
          <t>TERRESTRE</t>
        </is>
      </c>
      <c r="W277" t="inlineStr">
        <is>
          <t>MONTERO MUESES GIAN CARLO</t>
        </is>
      </c>
      <c r="X277" t="inlineStr">
        <is>
          <t>Si</t>
        </is>
      </c>
      <c r="Y277" t="inlineStr">
        <is>
          <t>Si</t>
        </is>
      </c>
      <c r="Z277" s="45" t="n">
        <v>0</v>
      </c>
      <c r="AA277" t="inlineStr">
        <is>
          <t>0</t>
        </is>
      </c>
      <c r="AB277" s="45" t="n">
        <v>248376</v>
      </c>
      <c r="AC277" s="45" t="n">
        <v>0</v>
      </c>
    </row>
    <row r="278">
      <c r="A278" t="inlineStr">
        <is>
          <t>BOGOTA</t>
        </is>
      </c>
      <c r="B278" t="inlineStr">
        <is>
          <t>CUNDINAMARCA</t>
        </is>
      </c>
      <c r="C278" t="inlineStr">
        <is>
          <t>0004-0004</t>
        </is>
      </c>
      <c r="D278" t="inlineStr">
        <is>
          <t>25899</t>
        </is>
      </c>
      <c r="E278" t="inlineStr">
        <is>
          <t>TA-25-952124</t>
        </is>
      </c>
      <c r="F278" t="inlineStr">
        <is>
          <t>3007080989</t>
        </is>
      </c>
      <c r="G278" t="inlineStr">
        <is>
          <t>APERTURA</t>
        </is>
      </c>
      <c r="H278" t="inlineStr">
        <is>
          <t>CB CRECIMIENTO - NUEVO</t>
        </is>
      </c>
      <c r="I278" t="inlineStr">
        <is>
          <t>CUNDINAMARCA</t>
        </is>
      </c>
      <c r="J278" t="inlineStr">
        <is>
          <t>ZIPAQUIRA</t>
        </is>
      </c>
      <c r="K278" t="inlineStr">
        <is>
          <t>BARRIO PASO ANCHO ZIPAQUIRÁ</t>
        </is>
      </c>
      <c r="L278" t="inlineStr">
        <is>
          <t>BANCOLOMBIA</t>
        </is>
      </c>
      <c r="M278" t="inlineStr">
        <is>
          <t>FO-25-1360091</t>
        </is>
      </c>
      <c r="N278" s="46" t="n">
        <v>45880.87152777778</v>
      </c>
      <c r="O278" s="46" t="n">
        <v>45883.58194444444</v>
      </c>
      <c r="P278" t="inlineStr">
        <is>
          <t>UNO A UNO</t>
        </is>
      </c>
      <c r="Q278" t="inlineStr">
        <is>
          <t>UNO A UNO</t>
        </is>
      </c>
      <c r="R278" t="inlineStr">
        <is>
          <t>EJECUTADO</t>
        </is>
      </c>
      <c r="S278" t="inlineStr">
        <is>
          <t>VISITA TECNICA</t>
        </is>
      </c>
      <c r="T278" t="inlineStr">
        <is>
          <t>FIZZZ287</t>
        </is>
      </c>
      <c r="U278" t="inlineStr">
        <is>
          <t>TIPO II</t>
        </is>
      </c>
      <c r="V278" t="inlineStr">
        <is>
          <t>TERRESTRE</t>
        </is>
      </c>
      <c r="W278" t="inlineStr">
        <is>
          <t>MURCIA HERNANDEZ HARVEY IGNACIO</t>
        </is>
      </c>
      <c r="X278" t="inlineStr">
        <is>
          <t>Si</t>
        </is>
      </c>
      <c r="Y278" t="inlineStr">
        <is>
          <t>Si</t>
        </is>
      </c>
      <c r="Z278" s="45" t="n">
        <v>0</v>
      </c>
      <c r="AA278" t="inlineStr">
        <is>
          <t>0</t>
        </is>
      </c>
      <c r="AB278" s="45" t="n">
        <v>248376</v>
      </c>
      <c r="AC278" s="45" t="n">
        <v>0</v>
      </c>
    </row>
    <row r="279">
      <c r="A279" t="inlineStr">
        <is>
          <t>BOGOTA</t>
        </is>
      </c>
      <c r="B279" t="inlineStr">
        <is>
          <t>CUNDINAMARCA</t>
        </is>
      </c>
      <c r="C279" t="inlineStr">
        <is>
          <t>0004-0004</t>
        </is>
      </c>
      <c r="D279" t="inlineStr">
        <is>
          <t>11001</t>
        </is>
      </c>
      <c r="E279" t="inlineStr">
        <is>
          <t>TA-25-952153</t>
        </is>
      </c>
      <c r="F279" t="inlineStr">
        <is>
          <t>3007080933</t>
        </is>
      </c>
      <c r="G279" t="inlineStr">
        <is>
          <t>APERTURA</t>
        </is>
      </c>
      <c r="H279" t="inlineStr">
        <is>
          <t>CB CRECIMIENTO - NUEVO</t>
        </is>
      </c>
      <c r="I279" t="inlineStr">
        <is>
          <t>CUNDINAMARCA</t>
        </is>
      </c>
      <c r="J279" t="inlineStr">
        <is>
          <t>BOGOTA</t>
        </is>
      </c>
      <c r="K279" t="inlineStr">
        <is>
          <t>BARRIO BOCHICA BOGOTA 3</t>
        </is>
      </c>
      <c r="L279" t="inlineStr">
        <is>
          <t>BANCOLOMBIA</t>
        </is>
      </c>
      <c r="M279" t="inlineStr">
        <is>
          <t>FO-25-1360107</t>
        </is>
      </c>
      <c r="N279" s="46" t="n">
        <v>45880.6875</v>
      </c>
      <c r="O279" s="46" t="n">
        <v>45882.32986111111</v>
      </c>
      <c r="P279" t="inlineStr">
        <is>
          <t>UNO A UNO</t>
        </is>
      </c>
      <c r="Q279" t="inlineStr">
        <is>
          <t>UNO A UNO</t>
        </is>
      </c>
      <c r="R279" t="inlineStr">
        <is>
          <t>EJECUTADO</t>
        </is>
      </c>
      <c r="S279" t="inlineStr">
        <is>
          <t>VISITA TECNICA</t>
        </is>
      </c>
      <c r="T279" t="inlineStr">
        <is>
          <t>FIZZZ288</t>
        </is>
      </c>
      <c r="U279" t="inlineStr">
        <is>
          <t>TIPO I</t>
        </is>
      </c>
      <c r="V279" t="inlineStr">
        <is>
          <t>TERRESTRE</t>
        </is>
      </c>
      <c r="W279" t="inlineStr">
        <is>
          <t>MURCIA HERNANDEZ HARVEY IGNACIO</t>
        </is>
      </c>
      <c r="X279" t="inlineStr">
        <is>
          <t>Si</t>
        </is>
      </c>
      <c r="Y279" t="inlineStr">
        <is>
          <t>Si</t>
        </is>
      </c>
      <c r="Z279" s="45" t="n">
        <v>0</v>
      </c>
      <c r="AA279" t="inlineStr">
        <is>
          <t>0</t>
        </is>
      </c>
      <c r="AB279" s="45" t="n">
        <v>194983</v>
      </c>
      <c r="AC279" s="45" t="n">
        <v>0</v>
      </c>
    </row>
    <row r="280">
      <c r="A280" t="inlineStr">
        <is>
          <t>PASTO</t>
        </is>
      </c>
      <c r="B280" t="inlineStr">
        <is>
          <t>SUROCCIDENTE Y EJE CAFETERO</t>
        </is>
      </c>
      <c r="C280" t="inlineStr">
        <is>
          <t>0004-0003</t>
        </is>
      </c>
      <c r="D280" t="inlineStr">
        <is>
          <t>52621</t>
        </is>
      </c>
      <c r="E280" t="inlineStr">
        <is>
          <t>TA-25-952173</t>
        </is>
      </c>
      <c r="F280" t="inlineStr">
        <is>
          <t>3007080963</t>
        </is>
      </c>
      <c r="G280" t="inlineStr">
        <is>
          <t>APERTURA</t>
        </is>
      </c>
      <c r="H280" t="inlineStr">
        <is>
          <t>CB CRECIMIENTO - NUEVO</t>
        </is>
      </c>
      <c r="I280" t="inlineStr">
        <is>
          <t>NARIÑO</t>
        </is>
      </c>
      <c r="J280" t="inlineStr">
        <is>
          <t>ROBERTO PAYAN</t>
        </is>
      </c>
      <c r="K280" t="inlineStr">
        <is>
          <t>BARRIO LA PRIMAVERA ROBERTO PAYAN 1</t>
        </is>
      </c>
      <c r="L280" t="inlineStr">
        <is>
          <t>BANCOLOMBIA</t>
        </is>
      </c>
      <c r="M280" t="inlineStr">
        <is>
          <t>FO-25-1360123</t>
        </is>
      </c>
      <c r="N280" s="46" t="n">
        <v>45880.66180555556</v>
      </c>
      <c r="O280" s="46" t="n">
        <v>45882.31458333333</v>
      </c>
      <c r="P280" t="inlineStr">
        <is>
          <t>UNO A UNO</t>
        </is>
      </c>
      <c r="Q280" t="inlineStr">
        <is>
          <t>UNO A UNO</t>
        </is>
      </c>
      <c r="R280" t="inlineStr">
        <is>
          <t>EJECUTADO</t>
        </is>
      </c>
      <c r="S280" t="inlineStr">
        <is>
          <t>VISITA TECNICA</t>
        </is>
      </c>
      <c r="T280" t="inlineStr">
        <is>
          <t>FIZZZ289</t>
        </is>
      </c>
      <c r="U280" t="inlineStr">
        <is>
          <t>TIPO IV ESPECIAL</t>
        </is>
      </c>
      <c r="V280" t="inlineStr">
        <is>
          <t>FLUVIAL</t>
        </is>
      </c>
      <c r="W280" t="inlineStr">
        <is>
          <t>PAZ MARTINEZ RICHARD HUMBERTO</t>
        </is>
      </c>
      <c r="X280" t="inlineStr">
        <is>
          <t>Si</t>
        </is>
      </c>
      <c r="Y280" t="inlineStr">
        <is>
          <t>Si</t>
        </is>
      </c>
      <c r="Z280" s="45" t="n">
        <v>0</v>
      </c>
      <c r="AA280" t="inlineStr">
        <is>
          <t>0</t>
        </is>
      </c>
      <c r="AB280" s="45" t="n">
        <v>248376</v>
      </c>
      <c r="AC280" s="45" t="n">
        <v>0</v>
      </c>
    </row>
    <row r="281">
      <c r="A281" t="inlineStr">
        <is>
          <t>APARTADO</t>
        </is>
      </c>
      <c r="B281" t="inlineStr">
        <is>
          <t>NOROCCIDENTE</t>
        </is>
      </c>
      <c r="C281" t="inlineStr">
        <is>
          <t>0004-0005</t>
        </is>
      </c>
      <c r="D281" t="inlineStr">
        <is>
          <t>5665</t>
        </is>
      </c>
      <c r="E281" t="inlineStr">
        <is>
          <t>TA-25-952201</t>
        </is>
      </c>
      <c r="F281" t="inlineStr">
        <is>
          <t>3007080961</t>
        </is>
      </c>
      <c r="G281" t="inlineStr">
        <is>
          <t>APERTURA</t>
        </is>
      </c>
      <c r="H281" t="inlineStr">
        <is>
          <t>CB CRECIMIENTO - NUEVO</t>
        </is>
      </c>
      <c r="I281" t="inlineStr">
        <is>
          <t>ANTIOQUIA</t>
        </is>
      </c>
      <c r="J281" t="inlineStr">
        <is>
          <t>SAN PEDRO DE URABA</t>
        </is>
      </c>
      <c r="K281" t="inlineStr">
        <is>
          <t>BARRO ALFONSO LOPEZ SAN PEDRO DE URABA ANTIOQUIA SAN PEDRO DE URABA</t>
        </is>
      </c>
      <c r="L281" t="inlineStr">
        <is>
          <t>BANCOLOMBIA</t>
        </is>
      </c>
      <c r="M281" t="inlineStr">
        <is>
          <t>FO-25-1360142</t>
        </is>
      </c>
      <c r="N281" s="46" t="n">
        <v>45880.66388888889</v>
      </c>
      <c r="O281" s="46" t="n">
        <v>45889.64513888889</v>
      </c>
      <c r="P281" t="inlineStr">
        <is>
          <t>UNO A UNO</t>
        </is>
      </c>
      <c r="Q281" t="inlineStr">
        <is>
          <t>UNO A UNO</t>
        </is>
      </c>
      <c r="R281" t="inlineStr">
        <is>
          <t>EJECUTADO</t>
        </is>
      </c>
      <c r="S281" t="inlineStr">
        <is>
          <t>VISITA TECNICA</t>
        </is>
      </c>
      <c r="T281" t="inlineStr">
        <is>
          <t>FIZZZ290</t>
        </is>
      </c>
      <c r="U281" t="inlineStr">
        <is>
          <t>TIPO III</t>
        </is>
      </c>
      <c r="V281" t="inlineStr">
        <is>
          <t>TERRESTRE</t>
        </is>
      </c>
      <c r="W281" t="inlineStr">
        <is>
          <t>SALDARRIAGA MIRANDA SANTIAGO</t>
        </is>
      </c>
      <c r="X281" t="inlineStr">
        <is>
          <t>Si</t>
        </is>
      </c>
      <c r="Y281" t="inlineStr">
        <is>
          <t>Si</t>
        </is>
      </c>
      <c r="Z281" s="45" t="n">
        <v>0</v>
      </c>
      <c r="AA281" t="inlineStr">
        <is>
          <t>0</t>
        </is>
      </c>
      <c r="AB281" s="45" t="n">
        <v>248376</v>
      </c>
      <c r="AC281" s="45" t="n">
        <v>0</v>
      </c>
    </row>
    <row r="282">
      <c r="A282" t="inlineStr">
        <is>
          <t>MEDELLIN</t>
        </is>
      </c>
      <c r="B282" t="inlineStr">
        <is>
          <t>NOROCCIDENTE</t>
        </is>
      </c>
      <c r="C282" t="inlineStr">
        <is>
          <t>0004-0005</t>
        </is>
      </c>
      <c r="D282" t="inlineStr">
        <is>
          <t>5001</t>
        </is>
      </c>
      <c r="E282" t="inlineStr">
        <is>
          <t>TA-25-952233</t>
        </is>
      </c>
      <c r="F282" t="inlineStr">
        <is>
          <t>3007080987</t>
        </is>
      </c>
      <c r="G282" t="inlineStr">
        <is>
          <t>APERTURA</t>
        </is>
      </c>
      <c r="H282" t="inlineStr">
        <is>
          <t>CB CRECIMIENTO - NUEVO</t>
        </is>
      </c>
      <c r="I282" t="inlineStr">
        <is>
          <t>ANTIOQUIA</t>
        </is>
      </c>
      <c r="J282" t="inlineStr">
        <is>
          <t>MEDELLIN</t>
        </is>
      </c>
      <c r="K282" t="inlineStr">
        <is>
          <t>BARRIO PRADITO MEDELLIN 6</t>
        </is>
      </c>
      <c r="L282" t="inlineStr">
        <is>
          <t>BANCOLOMBIA</t>
        </is>
      </c>
      <c r="M282" t="inlineStr">
        <is>
          <t>FO-25-1360163</t>
        </is>
      </c>
      <c r="N282" s="46" t="n">
        <v>45880.66388888889</v>
      </c>
      <c r="O282" s="46" t="n">
        <v>45882.60555555556</v>
      </c>
      <c r="P282" t="inlineStr">
        <is>
          <t>UNO A UNO</t>
        </is>
      </c>
      <c r="Q282" t="inlineStr">
        <is>
          <t>UNO A UNO</t>
        </is>
      </c>
      <c r="R282" t="inlineStr">
        <is>
          <t>EJECUTADO</t>
        </is>
      </c>
      <c r="S282" t="inlineStr">
        <is>
          <t>VISITA TECNICA</t>
        </is>
      </c>
      <c r="T282" t="inlineStr">
        <is>
          <t>FIZZZ291</t>
        </is>
      </c>
      <c r="U282" t="inlineStr">
        <is>
          <t>TIPO I</t>
        </is>
      </c>
      <c r="V282" t="inlineStr">
        <is>
          <t>TERRESTRE</t>
        </is>
      </c>
      <c r="W282" t="inlineStr">
        <is>
          <t>ALVAREZ ARENAS VICTOR HUGO</t>
        </is>
      </c>
      <c r="X282" t="inlineStr">
        <is>
          <t>Si</t>
        </is>
      </c>
      <c r="Y282" t="inlineStr">
        <is>
          <t>Si</t>
        </is>
      </c>
      <c r="Z282" s="45" t="n">
        <v>0</v>
      </c>
      <c r="AA282" t="inlineStr">
        <is>
          <t>0</t>
        </is>
      </c>
      <c r="AB282" s="45" t="n">
        <v>194983</v>
      </c>
      <c r="AC282" s="45" t="n">
        <v>0</v>
      </c>
    </row>
    <row r="283">
      <c r="A283" t="inlineStr">
        <is>
          <t>CALI</t>
        </is>
      </c>
      <c r="B283" t="inlineStr">
        <is>
          <t>SUROCCIDENTE Y EJE CAFETERO</t>
        </is>
      </c>
      <c r="C283" t="inlineStr">
        <is>
          <t>0004-0003</t>
        </is>
      </c>
      <c r="D283" t="inlineStr">
        <is>
          <t>19001</t>
        </is>
      </c>
      <c r="E283" t="inlineStr">
        <is>
          <t>TA-25-952261</t>
        </is>
      </c>
      <c r="F283" t="inlineStr">
        <is>
          <t>3007080960</t>
        </is>
      </c>
      <c r="G283" t="inlineStr">
        <is>
          <t>APERTURA</t>
        </is>
      </c>
      <c r="H283" t="inlineStr">
        <is>
          <t>CB CRECIMIENTO - NUEVO</t>
        </is>
      </c>
      <c r="I283" t="inlineStr">
        <is>
          <t>CAUCA</t>
        </is>
      </c>
      <c r="J283" t="inlineStr">
        <is>
          <t>POPAYAN</t>
        </is>
      </c>
      <c r="K283" t="inlineStr">
        <is>
          <t>BARRIO LA MARIA OCCIDENTE POPAYAN 1</t>
        </is>
      </c>
      <c r="L283" t="inlineStr">
        <is>
          <t>BANCOLOMBIA</t>
        </is>
      </c>
      <c r="M283" t="inlineStr">
        <is>
          <t>FO-25-1360187</t>
        </is>
      </c>
      <c r="N283" s="46" t="n">
        <v>45880.69583333333</v>
      </c>
      <c r="O283" s="46" t="n">
        <v>45882.61458333334</v>
      </c>
      <c r="P283" t="inlineStr">
        <is>
          <t>UNO A UNO</t>
        </is>
      </c>
      <c r="Q283" t="inlineStr">
        <is>
          <t>UNO A UNO</t>
        </is>
      </c>
      <c r="R283" t="inlineStr">
        <is>
          <t>EJECUTADO</t>
        </is>
      </c>
      <c r="S283" t="inlineStr">
        <is>
          <t>VISITA TECNICA</t>
        </is>
      </c>
      <c r="T283" t="inlineStr">
        <is>
          <t>FIZZZ292</t>
        </is>
      </c>
      <c r="U283" t="inlineStr">
        <is>
          <t>TIPO III</t>
        </is>
      </c>
      <c r="V283" t="inlineStr">
        <is>
          <t>TERRESTRE</t>
        </is>
      </c>
      <c r="W283" t="inlineStr">
        <is>
          <t>GIMBUEL LASSO LUIS GERMAN</t>
        </is>
      </c>
      <c r="X283" t="inlineStr">
        <is>
          <t>Si</t>
        </is>
      </c>
      <c r="Y283" t="inlineStr">
        <is>
          <t>Si</t>
        </is>
      </c>
      <c r="Z283" s="45" t="n">
        <v>0</v>
      </c>
      <c r="AA283" t="inlineStr">
        <is>
          <t>0</t>
        </is>
      </c>
      <c r="AB283" s="45" t="n">
        <v>248376</v>
      </c>
      <c r="AC283" s="45" t="n">
        <v>0</v>
      </c>
    </row>
    <row r="284">
      <c r="A284" t="inlineStr">
        <is>
          <t>BOGOTA</t>
        </is>
      </c>
      <c r="B284" t="inlineStr">
        <is>
          <t>CUNDINAMARCA</t>
        </is>
      </c>
      <c r="C284" t="inlineStr">
        <is>
          <t>0004-0004</t>
        </is>
      </c>
      <c r="D284" t="inlineStr">
        <is>
          <t>25488</t>
        </is>
      </c>
      <c r="E284" t="inlineStr">
        <is>
          <t>TA-25-952286</t>
        </is>
      </c>
      <c r="F284" t="inlineStr">
        <is>
          <t>3007080929</t>
        </is>
      </c>
      <c r="G284" t="inlineStr">
        <is>
          <t>APERTURA</t>
        </is>
      </c>
      <c r="H284" t="inlineStr">
        <is>
          <t>CB CRECIMIENTO - NUEVO</t>
        </is>
      </c>
      <c r="I284" t="inlineStr">
        <is>
          <t>CUNDINAMARCA</t>
        </is>
      </c>
      <c r="J284" t="inlineStr">
        <is>
          <t>NILO</t>
        </is>
      </c>
      <c r="K284" t="inlineStr">
        <is>
          <t>BARRIO TOLEMAIDA NILO 1</t>
        </is>
      </c>
      <c r="L284" t="inlineStr">
        <is>
          <t>BANCOLOMBIA</t>
        </is>
      </c>
      <c r="M284" t="inlineStr">
        <is>
          <t>FO-25-1360203</t>
        </is>
      </c>
      <c r="N284" s="46" t="n">
        <v>45880.6875</v>
      </c>
      <c r="O284" s="46" t="n">
        <v>45882.29236111111</v>
      </c>
      <c r="P284" t="inlineStr">
        <is>
          <t>UNO A UNO</t>
        </is>
      </c>
      <c r="Q284" t="inlineStr">
        <is>
          <t>UNO A UNO</t>
        </is>
      </c>
      <c r="R284" t="inlineStr">
        <is>
          <t>EJECUTADO</t>
        </is>
      </c>
      <c r="S284" t="inlineStr">
        <is>
          <t>VISITA TECNICA</t>
        </is>
      </c>
      <c r="T284" t="inlineStr">
        <is>
          <t>FIZZZ293</t>
        </is>
      </c>
      <c r="U284" t="inlineStr">
        <is>
          <t>TIPO III</t>
        </is>
      </c>
      <c r="V284" t="inlineStr">
        <is>
          <t>TERRESTRE</t>
        </is>
      </c>
      <c r="W284" t="inlineStr">
        <is>
          <t>GALEANO SORIANO JUAN DAVID</t>
        </is>
      </c>
      <c r="X284" t="inlineStr">
        <is>
          <t>Si</t>
        </is>
      </c>
      <c r="Y284" t="inlineStr">
        <is>
          <t>Si</t>
        </is>
      </c>
      <c r="Z284" s="45" t="n">
        <v>0</v>
      </c>
      <c r="AA284" t="inlineStr">
        <is>
          <t>0</t>
        </is>
      </c>
      <c r="AB284" s="45" t="n">
        <v>248376</v>
      </c>
      <c r="AC284" s="45" t="n">
        <v>0</v>
      </c>
    </row>
    <row r="285">
      <c r="A285" t="inlineStr">
        <is>
          <t>MEDELLIN</t>
        </is>
      </c>
      <c r="B285" t="inlineStr">
        <is>
          <t>NOROCCIDENTE</t>
        </is>
      </c>
      <c r="C285" t="inlineStr">
        <is>
          <t>0004-0005</t>
        </is>
      </c>
      <c r="D285" t="inlineStr">
        <is>
          <t>5148</t>
        </is>
      </c>
      <c r="E285" t="inlineStr">
        <is>
          <t>TA-25-952313</t>
        </is>
      </c>
      <c r="F285" t="inlineStr">
        <is>
          <t>3007080981</t>
        </is>
      </c>
      <c r="G285" t="inlineStr">
        <is>
          <t>APERTURA</t>
        </is>
      </c>
      <c r="H285" t="inlineStr">
        <is>
          <t>CB CRECIMIENTO - NUEVO</t>
        </is>
      </c>
      <c r="I285" t="inlineStr">
        <is>
          <t>ANTIOQUIA</t>
        </is>
      </c>
      <c r="J285" t="inlineStr">
        <is>
          <t>EL CARMEN DE VIBORAL</t>
        </is>
      </c>
      <c r="K285" t="inlineStr">
        <is>
          <t>BARRIO OSPINA EL CARMEN DE VIBORAL</t>
        </is>
      </c>
      <c r="L285" t="inlineStr">
        <is>
          <t>BANCOLOMBIA</t>
        </is>
      </c>
      <c r="M285" t="inlineStr">
        <is>
          <t>FO-25-1360221</t>
        </is>
      </c>
      <c r="N285" s="46" t="n">
        <v>45880.66388888889</v>
      </c>
      <c r="O285" s="46" t="n">
        <v>45882.64930555555</v>
      </c>
      <c r="P285" t="inlineStr">
        <is>
          <t>UNO A UNO</t>
        </is>
      </c>
      <c r="Q285" t="inlineStr">
        <is>
          <t>UNO A UNO</t>
        </is>
      </c>
      <c r="R285" t="inlineStr">
        <is>
          <t>EJECUTADO</t>
        </is>
      </c>
      <c r="S285" t="inlineStr">
        <is>
          <t>VISITA TECNICA</t>
        </is>
      </c>
      <c r="T285" t="inlineStr">
        <is>
          <t>FIZZZ294</t>
        </is>
      </c>
      <c r="U285" t="inlineStr">
        <is>
          <t>TIPO II</t>
        </is>
      </c>
      <c r="V285" t="inlineStr">
        <is>
          <t>TERRESTRE</t>
        </is>
      </c>
      <c r="W285" t="inlineStr">
        <is>
          <t>MARTINEZ TOVAR OSCAR DAVID</t>
        </is>
      </c>
      <c r="X285" t="inlineStr">
        <is>
          <t>Si</t>
        </is>
      </c>
      <c r="Y285" t="inlineStr">
        <is>
          <t>Si</t>
        </is>
      </c>
      <c r="Z285" s="45" t="n">
        <v>0</v>
      </c>
      <c r="AA285" t="inlineStr">
        <is>
          <t>0</t>
        </is>
      </c>
      <c r="AB285" s="45" t="n">
        <v>248376</v>
      </c>
      <c r="AC285" s="45" t="n">
        <v>0</v>
      </c>
    </row>
    <row r="286">
      <c r="A286" t="inlineStr">
        <is>
          <t>APARTADO</t>
        </is>
      </c>
      <c r="B286" t="inlineStr">
        <is>
          <t>NOROCCIDENTE</t>
        </is>
      </c>
      <c r="C286" t="inlineStr">
        <is>
          <t>0004-0005</t>
        </is>
      </c>
      <c r="D286" t="inlineStr">
        <is>
          <t>27077</t>
        </is>
      </c>
      <c r="E286" t="inlineStr">
        <is>
          <t>TA-25-952341</t>
        </is>
      </c>
      <c r="F286" t="inlineStr">
        <is>
          <t>3007080971</t>
        </is>
      </c>
      <c r="G286" t="inlineStr">
        <is>
          <t>APERTURA</t>
        </is>
      </c>
      <c r="H286" t="inlineStr">
        <is>
          <t>CB CRECIMIENTO - NUEVO</t>
        </is>
      </c>
      <c r="I286" t="inlineStr">
        <is>
          <t>CHOCO</t>
        </is>
      </c>
      <c r="J286" t="inlineStr">
        <is>
          <t>BAJO BAUDO</t>
        </is>
      </c>
      <c r="K286" t="inlineStr">
        <is>
          <t>BARRIO PUEBLO NUEVO BAJO BAUDO 1</t>
        </is>
      </c>
      <c r="L286" t="inlineStr">
        <is>
          <t>BANCOLOMBIA</t>
        </is>
      </c>
      <c r="M286" t="inlineStr">
        <is>
          <t>FO-25-1360238</t>
        </is>
      </c>
      <c r="N286" s="46" t="n">
        <v>45880.35486111111</v>
      </c>
      <c r="O286" s="46" t="n">
        <v>45891.29027777778</v>
      </c>
      <c r="P286" t="inlineStr">
        <is>
          <t>UNO A UNO</t>
        </is>
      </c>
      <c r="Q286" t="inlineStr">
        <is>
          <t>UNO A UNO</t>
        </is>
      </c>
      <c r="R286" t="inlineStr">
        <is>
          <t>EJECUTADO</t>
        </is>
      </c>
      <c r="S286" t="inlineStr">
        <is>
          <t>VISITA TECNICA</t>
        </is>
      </c>
      <c r="T286" t="inlineStr">
        <is>
          <t>FIZZZ295</t>
        </is>
      </c>
      <c r="U286" t="inlineStr">
        <is>
          <t>TIPO IV ESPECIAL</t>
        </is>
      </c>
      <c r="V286" t="inlineStr">
        <is>
          <t>AEREO</t>
        </is>
      </c>
      <c r="W286" t="inlineStr">
        <is>
          <t>ROBLEDO DIAZ ANDRES FELIPE</t>
        </is>
      </c>
      <c r="X286" t="inlineStr">
        <is>
          <t>Si</t>
        </is>
      </c>
      <c r="Y286" t="inlineStr">
        <is>
          <t>Si</t>
        </is>
      </c>
      <c r="Z286" s="45" t="n">
        <v>0</v>
      </c>
      <c r="AA286" t="inlineStr">
        <is>
          <t>0</t>
        </is>
      </c>
      <c r="AB286" s="45" t="n">
        <v>248376</v>
      </c>
      <c r="AC286" s="45" t="n">
        <v>0</v>
      </c>
    </row>
    <row r="287">
      <c r="A287" t="inlineStr">
        <is>
          <t>MEDELLIN</t>
        </is>
      </c>
      <c r="B287" t="inlineStr">
        <is>
          <t>NOROCCIDENTE</t>
        </is>
      </c>
      <c r="C287" t="inlineStr">
        <is>
          <t>0004-0005</t>
        </is>
      </c>
      <c r="D287" t="inlineStr">
        <is>
          <t>5667</t>
        </is>
      </c>
      <c r="E287" t="inlineStr">
        <is>
          <t>TA-25-952369</t>
        </is>
      </c>
      <c r="F287" t="inlineStr">
        <is>
          <t>3007080962</t>
        </is>
      </c>
      <c r="G287" t="inlineStr">
        <is>
          <t>APERTURA</t>
        </is>
      </c>
      <c r="H287" t="inlineStr">
        <is>
          <t>CB CRECIMIENTO - NUEVO</t>
        </is>
      </c>
      <c r="I287" t="inlineStr">
        <is>
          <t>ANTIOQUIA</t>
        </is>
      </c>
      <c r="J287" t="inlineStr">
        <is>
          <t>SAN RAFAEL</t>
        </is>
      </c>
      <c r="K287" t="inlineStr">
        <is>
          <t>BARRIOS SAN RAFAEL SAN RAFAEL</t>
        </is>
      </c>
      <c r="L287" t="inlineStr">
        <is>
          <t>BANCOLOMBIA</t>
        </is>
      </c>
      <c r="M287" t="inlineStr">
        <is>
          <t>FO-25-1360257</t>
        </is>
      </c>
      <c r="N287" s="46" t="n">
        <v>45880.66388888889</v>
      </c>
      <c r="O287" s="46" t="n">
        <v>45882.59583333333</v>
      </c>
      <c r="P287" t="inlineStr">
        <is>
          <t>UNO A UNO</t>
        </is>
      </c>
      <c r="Q287" t="inlineStr">
        <is>
          <t>UNO A UNO</t>
        </is>
      </c>
      <c r="R287" t="inlineStr">
        <is>
          <t>EJECUTADO</t>
        </is>
      </c>
      <c r="S287" t="inlineStr">
        <is>
          <t>VISITA TECNICA</t>
        </is>
      </c>
      <c r="T287" t="inlineStr">
        <is>
          <t>FIZZZ296</t>
        </is>
      </c>
      <c r="U287" t="inlineStr">
        <is>
          <t>TIPO III</t>
        </is>
      </c>
      <c r="V287" t="inlineStr">
        <is>
          <t>TERRESTRE</t>
        </is>
      </c>
      <c r="W287" t="inlineStr">
        <is>
          <t>DIAZ ZABALA FRANCIS DUBAN</t>
        </is>
      </c>
      <c r="X287" t="inlineStr">
        <is>
          <t>Si</t>
        </is>
      </c>
      <c r="Y287" t="inlineStr">
        <is>
          <t>Si</t>
        </is>
      </c>
      <c r="Z287" s="45" t="n">
        <v>0</v>
      </c>
      <c r="AA287" t="inlineStr">
        <is>
          <t>0</t>
        </is>
      </c>
      <c r="AB287" s="45" t="n">
        <v>248376</v>
      </c>
      <c r="AC287" s="45" t="n">
        <v>0</v>
      </c>
    </row>
    <row r="288">
      <c r="A288" t="inlineStr">
        <is>
          <t>CALI</t>
        </is>
      </c>
      <c r="B288" t="inlineStr">
        <is>
          <t>SUROCCIDENTE Y EJE CAFETERO</t>
        </is>
      </c>
      <c r="C288" t="inlineStr">
        <is>
          <t>0004-0003</t>
        </is>
      </c>
      <c r="D288" t="inlineStr">
        <is>
          <t>76520</t>
        </is>
      </c>
      <c r="E288" t="inlineStr">
        <is>
          <t>TA-25-952397</t>
        </is>
      </c>
      <c r="F288" t="inlineStr">
        <is>
          <t>3007080952</t>
        </is>
      </c>
      <c r="G288" t="inlineStr">
        <is>
          <t>APERTURA</t>
        </is>
      </c>
      <c r="H288" t="inlineStr">
        <is>
          <t>CB CRECIMIENTO - NUEVO</t>
        </is>
      </c>
      <c r="I288" t="inlineStr">
        <is>
          <t>VALLE DEL CAUCA</t>
        </is>
      </c>
      <c r="J288" t="inlineStr">
        <is>
          <t>PALMIRA</t>
        </is>
      </c>
      <c r="K288" t="inlineStr">
        <is>
          <t>BARRIO ALTAMIRA PALMIRA 3</t>
        </is>
      </c>
      <c r="L288" t="inlineStr">
        <is>
          <t>BANCOLOMBIA</t>
        </is>
      </c>
      <c r="M288" t="inlineStr">
        <is>
          <t>FO-25-1360278</t>
        </is>
      </c>
      <c r="N288" s="46" t="n">
        <v>45880.71736111111</v>
      </c>
      <c r="O288" s="46" t="n">
        <v>45882.34722222222</v>
      </c>
      <c r="P288" t="inlineStr">
        <is>
          <t>UNO A UNO</t>
        </is>
      </c>
      <c r="Q288" t="inlineStr">
        <is>
          <t>UNO A UNO</t>
        </is>
      </c>
      <c r="R288" t="inlineStr">
        <is>
          <t>EJECUTADO</t>
        </is>
      </c>
      <c r="S288" t="inlineStr">
        <is>
          <t>VISITA TECNICA</t>
        </is>
      </c>
      <c r="T288" t="inlineStr">
        <is>
          <t>FIZZZ297</t>
        </is>
      </c>
      <c r="U288" t="inlineStr">
        <is>
          <t>TIPO I</t>
        </is>
      </c>
      <c r="V288" t="inlineStr">
        <is>
          <t>TERRESTRE</t>
        </is>
      </c>
      <c r="W288" t="inlineStr">
        <is>
          <t>SANCHEZ URREGO ROBINSON DAVID</t>
        </is>
      </c>
      <c r="X288" t="inlineStr">
        <is>
          <t>Si</t>
        </is>
      </c>
      <c r="Y288" t="inlineStr">
        <is>
          <t>Si</t>
        </is>
      </c>
      <c r="Z288" s="45" t="n">
        <v>0</v>
      </c>
      <c r="AA288" t="inlineStr">
        <is>
          <t>0</t>
        </is>
      </c>
      <c r="AB288" s="45" t="n">
        <v>194983</v>
      </c>
      <c r="AC288" s="45" t="n">
        <v>0</v>
      </c>
    </row>
    <row r="289">
      <c r="A289" t="inlineStr">
        <is>
          <t>CUCUTA</t>
        </is>
      </c>
      <c r="B289" t="inlineStr">
        <is>
          <t>SANTANDERES</t>
        </is>
      </c>
      <c r="C289" t="inlineStr">
        <is>
          <t>0004-0008</t>
        </is>
      </c>
      <c r="D289" t="inlineStr">
        <is>
          <t>54001</t>
        </is>
      </c>
      <c r="E289" t="inlineStr">
        <is>
          <t>TA-25-952466</t>
        </is>
      </c>
      <c r="F289" t="inlineStr">
        <is>
          <t>3007080942</t>
        </is>
      </c>
      <c r="G289" t="inlineStr">
        <is>
          <t>APERTURA</t>
        </is>
      </c>
      <c r="H289" t="inlineStr">
        <is>
          <t>CB CRECIMIENTO - NUEVO</t>
        </is>
      </c>
      <c r="I289" t="inlineStr">
        <is>
          <t>NORTE DE SANTANDER</t>
        </is>
      </c>
      <c r="J289" t="inlineStr">
        <is>
          <t>CUCUTA</t>
        </is>
      </c>
      <c r="K289" t="inlineStr">
        <is>
          <t>BARRIO CALLEJON CUCUTA 23</t>
        </is>
      </c>
      <c r="L289" t="inlineStr">
        <is>
          <t>BANCOLOMBIA</t>
        </is>
      </c>
      <c r="M289" t="inlineStr">
        <is>
          <t>FO-25-1360334</t>
        </is>
      </c>
      <c r="N289" s="46" t="n">
        <v>45880.62847222222</v>
      </c>
      <c r="O289" s="46" t="n">
        <v>45884.29930555556</v>
      </c>
      <c r="P289" t="inlineStr">
        <is>
          <t>UNO A UNO</t>
        </is>
      </c>
      <c r="Q289" t="inlineStr">
        <is>
          <t>UNO A UNO</t>
        </is>
      </c>
      <c r="R289" t="inlineStr">
        <is>
          <t>EJECUTADO</t>
        </is>
      </c>
      <c r="S289" t="inlineStr">
        <is>
          <t>VISITA TECNICA</t>
        </is>
      </c>
      <c r="T289" t="inlineStr">
        <is>
          <t>FIZZZ301</t>
        </is>
      </c>
      <c r="U289" t="inlineStr">
        <is>
          <t>TIPO I</t>
        </is>
      </c>
      <c r="V289" t="inlineStr">
        <is>
          <t>TERRESTRE</t>
        </is>
      </c>
      <c r="W289" t="inlineStr">
        <is>
          <t>PACHECO BUITRAGO JAVIER ALONSO</t>
        </is>
      </c>
      <c r="X289" t="inlineStr">
        <is>
          <t>Si</t>
        </is>
      </c>
      <c r="Y289" t="inlineStr">
        <is>
          <t>Si</t>
        </is>
      </c>
      <c r="Z289" s="45" t="n">
        <v>0</v>
      </c>
      <c r="AA289" t="inlineStr">
        <is>
          <t>0</t>
        </is>
      </c>
      <c r="AB289" s="45" t="n">
        <v>194983</v>
      </c>
      <c r="AC289" s="45" t="n">
        <v>0</v>
      </c>
    </row>
    <row r="290">
      <c r="A290" t="inlineStr">
        <is>
          <t>TUNJA</t>
        </is>
      </c>
      <c r="B290" t="inlineStr">
        <is>
          <t>SANTANDERES</t>
        </is>
      </c>
      <c r="C290" t="inlineStr">
        <is>
          <t>0004-0008</t>
        </is>
      </c>
      <c r="D290" t="inlineStr">
        <is>
          <t>15774</t>
        </is>
      </c>
      <c r="E290" t="inlineStr">
        <is>
          <t>TA-25-952467</t>
        </is>
      </c>
      <c r="F290" t="inlineStr">
        <is>
          <t>3007080976</t>
        </is>
      </c>
      <c r="G290" t="inlineStr">
        <is>
          <t>APERTURA</t>
        </is>
      </c>
      <c r="H290" t="inlineStr">
        <is>
          <t>CB CRECIMIENTO - NUEVO</t>
        </is>
      </c>
      <c r="I290" t="inlineStr">
        <is>
          <t>BOYACA</t>
        </is>
      </c>
      <c r="J290" t="inlineStr">
        <is>
          <t>SUSACON</t>
        </is>
      </c>
      <c r="K290" t="inlineStr">
        <is>
          <t>BARRIO VEREDA EL HATO ARBOL SOLO SUSACON</t>
        </is>
      </c>
      <c r="L290" t="inlineStr">
        <is>
          <t>BANCOLOMBIA</t>
        </is>
      </c>
      <c r="M290" t="inlineStr">
        <is>
          <t>FO-25-1360339</t>
        </is>
      </c>
      <c r="N290" s="46" t="n">
        <v>45880.62847222222</v>
      </c>
      <c r="O290" s="46" t="n">
        <v>45883.24097222222</v>
      </c>
      <c r="P290" t="inlineStr">
        <is>
          <t>UNO A UNO</t>
        </is>
      </c>
      <c r="Q290" t="inlineStr">
        <is>
          <t>UNO A UNO</t>
        </is>
      </c>
      <c r="R290" t="inlineStr">
        <is>
          <t>EJECUTADO</t>
        </is>
      </c>
      <c r="S290" t="inlineStr">
        <is>
          <t>VISITA TECNICA</t>
        </is>
      </c>
      <c r="T290" t="inlineStr">
        <is>
          <t>FIZZZ302</t>
        </is>
      </c>
      <c r="U290" t="inlineStr">
        <is>
          <t>TIPO III</t>
        </is>
      </c>
      <c r="V290" t="inlineStr">
        <is>
          <t>TERRESTRE</t>
        </is>
      </c>
      <c r="W290" t="inlineStr">
        <is>
          <t>ALVARADO MORENO CRISTHIAN</t>
        </is>
      </c>
      <c r="X290" t="inlineStr">
        <is>
          <t>Si</t>
        </is>
      </c>
      <c r="Y290" t="inlineStr">
        <is>
          <t>Si</t>
        </is>
      </c>
      <c r="Z290" s="45" t="n">
        <v>0</v>
      </c>
      <c r="AA290" t="inlineStr">
        <is>
          <t>0</t>
        </is>
      </c>
      <c r="AB290" s="45" t="n">
        <v>248376</v>
      </c>
      <c r="AC290" s="45" t="n">
        <v>0</v>
      </c>
    </row>
    <row r="291">
      <c r="A291" t="inlineStr">
        <is>
          <t>BOGOTA</t>
        </is>
      </c>
      <c r="B291" t="inlineStr">
        <is>
          <t>CUNDINAMARCA</t>
        </is>
      </c>
      <c r="C291" t="inlineStr">
        <is>
          <t>0004-0004</t>
        </is>
      </c>
      <c r="D291" t="inlineStr">
        <is>
          <t>11001</t>
        </is>
      </c>
      <c r="E291" t="inlineStr">
        <is>
          <t>TA-25-952468</t>
        </is>
      </c>
      <c r="F291" t="inlineStr">
        <is>
          <t>3007080932</t>
        </is>
      </c>
      <c r="G291" t="inlineStr">
        <is>
          <t>APERTURA</t>
        </is>
      </c>
      <c r="H291" t="inlineStr">
        <is>
          <t>CB CRECIMIENTO - NUEVO</t>
        </is>
      </c>
      <c r="I291" t="inlineStr">
        <is>
          <t>CUNDINAMARCA</t>
        </is>
      </c>
      <c r="J291" t="inlineStr">
        <is>
          <t>BOGOTA</t>
        </is>
      </c>
      <c r="K291" t="inlineStr">
        <is>
          <t>BARRIO SAN FRANCISCO BOGOTA 16</t>
        </is>
      </c>
      <c r="L291" t="inlineStr">
        <is>
          <t>BANCOLOMBIA</t>
        </is>
      </c>
      <c r="M291" t="inlineStr">
        <is>
          <t>FO-25-1360343</t>
        </is>
      </c>
      <c r="N291" s="46" t="n">
        <v>45880.6875</v>
      </c>
      <c r="O291" s="46" t="n">
        <v>45882.35555555556</v>
      </c>
      <c r="P291" t="inlineStr">
        <is>
          <t>UNO A UNO</t>
        </is>
      </c>
      <c r="Q291" t="inlineStr">
        <is>
          <t>UNO A UNO</t>
        </is>
      </c>
      <c r="R291" t="inlineStr">
        <is>
          <t>EJECUTADO</t>
        </is>
      </c>
      <c r="S291" t="inlineStr">
        <is>
          <t>VISITA TECNICA</t>
        </is>
      </c>
      <c r="T291" t="inlineStr">
        <is>
          <t>FIZZZ304</t>
        </is>
      </c>
      <c r="U291" t="inlineStr">
        <is>
          <t>TIPO I</t>
        </is>
      </c>
      <c r="V291" t="inlineStr">
        <is>
          <t>TERRESTRE</t>
        </is>
      </c>
      <c r="W291" t="inlineStr">
        <is>
          <t>ROMERO ROJAS BREIDY JHOHAN</t>
        </is>
      </c>
      <c r="X291" t="inlineStr">
        <is>
          <t>Si</t>
        </is>
      </c>
      <c r="Y291" t="inlineStr">
        <is>
          <t>Si</t>
        </is>
      </c>
      <c r="Z291" s="45" t="n">
        <v>0</v>
      </c>
      <c r="AA291" t="inlineStr">
        <is>
          <t>0</t>
        </is>
      </c>
      <c r="AB291" s="45" t="n">
        <v>194983</v>
      </c>
      <c r="AC291" s="45" t="n">
        <v>0</v>
      </c>
    </row>
    <row r="292">
      <c r="A292" t="inlineStr">
        <is>
          <t>CALI</t>
        </is>
      </c>
      <c r="B292" t="inlineStr">
        <is>
          <t>SUROCCIDENTE Y EJE CAFETERO</t>
        </is>
      </c>
      <c r="C292" t="inlineStr">
        <is>
          <t>0004-0003</t>
        </is>
      </c>
      <c r="D292" t="inlineStr">
        <is>
          <t>76001</t>
        </is>
      </c>
      <c r="E292" t="inlineStr">
        <is>
          <t>TA-25-952469</t>
        </is>
      </c>
      <c r="F292" t="inlineStr">
        <is>
          <t>3007080937</t>
        </is>
      </c>
      <c r="G292" t="inlineStr">
        <is>
          <t>APERTURA</t>
        </is>
      </c>
      <c r="H292" t="inlineStr">
        <is>
          <t>CB CRECIMIENTO - NUEVO</t>
        </is>
      </c>
      <c r="I292" t="inlineStr">
        <is>
          <t>VALLE DEL CAUCA</t>
        </is>
      </c>
      <c r="J292" t="inlineStr">
        <is>
          <t>CALI</t>
        </is>
      </c>
      <c r="K292" t="inlineStr">
        <is>
          <t>BARRIO UNION DE VIVIENDA POPULAR CALI</t>
        </is>
      </c>
      <c r="L292" t="inlineStr">
        <is>
          <t>BANCOLOMBIA</t>
        </is>
      </c>
      <c r="M292" t="inlineStr">
        <is>
          <t>FO-25-1360347</t>
        </is>
      </c>
      <c r="N292" s="46" t="n">
        <v>45880.73611111111</v>
      </c>
      <c r="O292" s="46" t="n">
        <v>45884.30972222222</v>
      </c>
      <c r="P292" t="inlineStr">
        <is>
          <t>UNO A UNO</t>
        </is>
      </c>
      <c r="Q292" t="inlineStr">
        <is>
          <t>UNO A UNO</t>
        </is>
      </c>
      <c r="R292" t="inlineStr">
        <is>
          <t>EJECUTADO</t>
        </is>
      </c>
      <c r="S292" t="inlineStr">
        <is>
          <t>VISITA TECNICA</t>
        </is>
      </c>
      <c r="T292" t="inlineStr">
        <is>
          <t>FIZZZ305</t>
        </is>
      </c>
      <c r="U292" t="inlineStr">
        <is>
          <t>TIPO I</t>
        </is>
      </c>
      <c r="V292" t="inlineStr">
        <is>
          <t>TERRESTRE</t>
        </is>
      </c>
      <c r="W292" t="inlineStr">
        <is>
          <t>CUERO RUIZ JHONNY</t>
        </is>
      </c>
      <c r="X292" t="inlineStr">
        <is>
          <t>Si</t>
        </is>
      </c>
      <c r="Y292" t="inlineStr">
        <is>
          <t>Si</t>
        </is>
      </c>
      <c r="Z292" s="45" t="n">
        <v>0</v>
      </c>
      <c r="AA292" t="inlineStr">
        <is>
          <t>0</t>
        </is>
      </c>
      <c r="AB292" s="45" t="n">
        <v>194983</v>
      </c>
      <c r="AC292" s="45" t="n">
        <v>0</v>
      </c>
    </row>
    <row r="293">
      <c r="A293" t="inlineStr">
        <is>
          <t>TUNJA</t>
        </is>
      </c>
      <c r="B293" t="inlineStr">
        <is>
          <t>SANTANDERES</t>
        </is>
      </c>
      <c r="C293" t="inlineStr">
        <is>
          <t>0004-0008</t>
        </is>
      </c>
      <c r="D293" t="inlineStr">
        <is>
          <t>15407</t>
        </is>
      </c>
      <c r="E293" t="inlineStr">
        <is>
          <t>TA-25-952470</t>
        </is>
      </c>
      <c r="F293" t="inlineStr">
        <is>
          <t>3007080978</t>
        </is>
      </c>
      <c r="G293" t="inlineStr">
        <is>
          <t>APERTURA</t>
        </is>
      </c>
      <c r="H293" t="inlineStr">
        <is>
          <t>CB CRECIMIENTO - NUEVO</t>
        </is>
      </c>
      <c r="I293" t="inlineStr">
        <is>
          <t>BOYACA</t>
        </is>
      </c>
      <c r="J293" t="inlineStr">
        <is>
          <t>VILLA DE LEYVA</t>
        </is>
      </c>
      <c r="K293" t="inlineStr">
        <is>
          <t>BARRIO SANTA ANA VILLA DE LEYVA</t>
        </is>
      </c>
      <c r="L293" t="inlineStr">
        <is>
          <t>BANCOLOMBIA</t>
        </is>
      </c>
      <c r="M293" t="inlineStr">
        <is>
          <t>FO-25-1360349</t>
        </is>
      </c>
      <c r="N293" s="46" t="n">
        <v>45880.62847222222</v>
      </c>
      <c r="O293" s="46" t="n">
        <v>45882.62083333333</v>
      </c>
      <c r="P293" t="inlineStr">
        <is>
          <t>UNO A UNO</t>
        </is>
      </c>
      <c r="Q293" t="inlineStr">
        <is>
          <t>UNO A UNO</t>
        </is>
      </c>
      <c r="R293" t="inlineStr">
        <is>
          <t>EJECUTADO</t>
        </is>
      </c>
      <c r="S293" t="inlineStr">
        <is>
          <t>VISITA TECNICA</t>
        </is>
      </c>
      <c r="T293" t="inlineStr">
        <is>
          <t>FIZZZ306</t>
        </is>
      </c>
      <c r="U293" t="inlineStr">
        <is>
          <t>TIPO II</t>
        </is>
      </c>
      <c r="V293" t="inlineStr">
        <is>
          <t>TERRESTRE</t>
        </is>
      </c>
      <c r="W293" t="inlineStr">
        <is>
          <t>GONZALEZ GONZALEZ MARIO ALBERTO</t>
        </is>
      </c>
      <c r="X293" t="inlineStr">
        <is>
          <t>Si</t>
        </is>
      </c>
      <c r="Y293" t="inlineStr">
        <is>
          <t>Si</t>
        </is>
      </c>
      <c r="Z293" s="45" t="n">
        <v>0</v>
      </c>
      <c r="AA293" t="inlineStr">
        <is>
          <t>0</t>
        </is>
      </c>
      <c r="AB293" s="45" t="n">
        <v>248376</v>
      </c>
      <c r="AC293" s="45" t="n">
        <v>0</v>
      </c>
    </row>
    <row r="294">
      <c r="A294" t="inlineStr">
        <is>
          <t>CALI</t>
        </is>
      </c>
      <c r="B294" t="inlineStr">
        <is>
          <t>SUROCCIDENTE Y EJE CAFETERO</t>
        </is>
      </c>
      <c r="C294" t="inlineStr">
        <is>
          <t>0004-0003</t>
        </is>
      </c>
      <c r="D294" t="inlineStr">
        <is>
          <t>76001</t>
        </is>
      </c>
      <c r="E294" t="inlineStr">
        <is>
          <t>TA-25-952471</t>
        </is>
      </c>
      <c r="F294" t="inlineStr">
        <is>
          <t>3007080936</t>
        </is>
      </c>
      <c r="G294" t="inlineStr">
        <is>
          <t>APERTURA</t>
        </is>
      </c>
      <c r="H294" t="inlineStr">
        <is>
          <t>CB CRECIMIENTO - NUEVO</t>
        </is>
      </c>
      <c r="I294" t="inlineStr">
        <is>
          <t>VALLE DEL CAUCA</t>
        </is>
      </c>
      <c r="J294" t="inlineStr">
        <is>
          <t>CALI</t>
        </is>
      </c>
      <c r="K294" t="inlineStr">
        <is>
          <t>BARRIO MELENDEZ CALI 5</t>
        </is>
      </c>
      <c r="L294" t="inlineStr">
        <is>
          <t>BANCOLOMBIA</t>
        </is>
      </c>
      <c r="M294" t="inlineStr">
        <is>
          <t>FO-25-1360351</t>
        </is>
      </c>
      <c r="N294" s="46" t="n">
        <v>45880.70416666667</v>
      </c>
      <c r="O294" s="46" t="n">
        <v>45883.25555555556</v>
      </c>
      <c r="P294" t="inlineStr">
        <is>
          <t>UNO A UNO</t>
        </is>
      </c>
      <c r="Q294" t="inlineStr">
        <is>
          <t>UNO A UNO</t>
        </is>
      </c>
      <c r="R294" t="inlineStr">
        <is>
          <t>EJECUTADO</t>
        </is>
      </c>
      <c r="S294" t="inlineStr">
        <is>
          <t>VISITA TECNICA</t>
        </is>
      </c>
      <c r="T294" t="inlineStr">
        <is>
          <t>FIZZZ307</t>
        </is>
      </c>
      <c r="U294" t="inlineStr">
        <is>
          <t>TIPO I</t>
        </is>
      </c>
      <c r="V294" t="inlineStr">
        <is>
          <t>TERRESTRE</t>
        </is>
      </c>
      <c r="W294" t="inlineStr">
        <is>
          <t>MONTERO MUESES GIAN CARLO</t>
        </is>
      </c>
      <c r="X294" t="inlineStr">
        <is>
          <t>Si</t>
        </is>
      </c>
      <c r="Y294" t="inlineStr">
        <is>
          <t>Si</t>
        </is>
      </c>
      <c r="Z294" s="45" t="n">
        <v>0</v>
      </c>
      <c r="AA294" t="inlineStr">
        <is>
          <t>0</t>
        </is>
      </c>
      <c r="AB294" s="45" t="n">
        <v>194983</v>
      </c>
      <c r="AC294" s="45" t="n">
        <v>0</v>
      </c>
    </row>
    <row r="295">
      <c r="A295" t="inlineStr">
        <is>
          <t>TUNJA</t>
        </is>
      </c>
      <c r="B295" t="inlineStr">
        <is>
          <t>SANTANDERES</t>
        </is>
      </c>
      <c r="C295" t="inlineStr">
        <is>
          <t>0004-0008</t>
        </is>
      </c>
      <c r="D295" t="inlineStr">
        <is>
          <t>15774</t>
        </is>
      </c>
      <c r="E295" t="inlineStr">
        <is>
          <t>TA-25-952472</t>
        </is>
      </c>
      <c r="F295" t="inlineStr">
        <is>
          <t>3007080977</t>
        </is>
      </c>
      <c r="G295" t="inlineStr">
        <is>
          <t>APERTURA</t>
        </is>
      </c>
      <c r="H295" t="inlineStr">
        <is>
          <t>CB CRECIMIENTO - NUEVO</t>
        </is>
      </c>
      <c r="I295" t="inlineStr">
        <is>
          <t>BOYACA</t>
        </is>
      </c>
      <c r="J295" t="inlineStr">
        <is>
          <t>SUSACON</t>
        </is>
      </c>
      <c r="K295" t="inlineStr">
        <is>
          <t>BARRIO CENTRO SUSACON 2</t>
        </is>
      </c>
      <c r="L295" t="inlineStr">
        <is>
          <t>BANCOLOMBIA</t>
        </is>
      </c>
      <c r="M295" t="inlineStr">
        <is>
          <t>FO-25-1360353</t>
        </is>
      </c>
      <c r="N295" s="46" t="n">
        <v>45880.62847222222</v>
      </c>
      <c r="O295" s="46" t="n">
        <v>45883.24305555555</v>
      </c>
      <c r="P295" t="inlineStr">
        <is>
          <t>UNO A UNO</t>
        </is>
      </c>
      <c r="Q295" t="inlineStr">
        <is>
          <t>UNO A UNO</t>
        </is>
      </c>
      <c r="R295" t="inlineStr">
        <is>
          <t>EJECUTADO</t>
        </is>
      </c>
      <c r="S295" t="inlineStr">
        <is>
          <t>VISITA TECNICA</t>
        </is>
      </c>
      <c r="T295" t="inlineStr">
        <is>
          <t>FIZZZ308</t>
        </is>
      </c>
      <c r="U295" t="inlineStr">
        <is>
          <t>TIPO III</t>
        </is>
      </c>
      <c r="V295" t="inlineStr">
        <is>
          <t>TERRESTRE</t>
        </is>
      </c>
      <c r="W295" t="inlineStr">
        <is>
          <t>ALVARADO MORENO CRISTHIAN</t>
        </is>
      </c>
      <c r="X295" t="inlineStr">
        <is>
          <t>Si</t>
        </is>
      </c>
      <c r="Y295" t="inlineStr">
        <is>
          <t>Si</t>
        </is>
      </c>
      <c r="Z295" s="45" t="n">
        <v>0</v>
      </c>
      <c r="AA295" t="inlineStr">
        <is>
          <t>0</t>
        </is>
      </c>
      <c r="AB295" s="45" t="n">
        <v>248376</v>
      </c>
      <c r="AC295" s="45" t="n">
        <v>0</v>
      </c>
    </row>
    <row r="296">
      <c r="A296" t="inlineStr">
        <is>
          <t>BOGOTA</t>
        </is>
      </c>
      <c r="B296" t="inlineStr">
        <is>
          <t>CUNDINAMARCA</t>
        </is>
      </c>
      <c r="C296" t="inlineStr">
        <is>
          <t>0004-0004</t>
        </is>
      </c>
      <c r="D296" t="inlineStr">
        <is>
          <t>11001</t>
        </is>
      </c>
      <c r="E296" t="inlineStr">
        <is>
          <t>TA-25-952475</t>
        </is>
      </c>
      <c r="F296" t="inlineStr">
        <is>
          <t>3007080930</t>
        </is>
      </c>
      <c r="G296" t="inlineStr">
        <is>
          <t>APERTURA</t>
        </is>
      </c>
      <c r="H296" t="inlineStr">
        <is>
          <t>CB CRECIMIENTO - NUEVO</t>
        </is>
      </c>
      <c r="I296" t="inlineStr">
        <is>
          <t>CUNDINAMARCA</t>
        </is>
      </c>
      <c r="J296" t="inlineStr">
        <is>
          <t>BOGOTA</t>
        </is>
      </c>
      <c r="K296" t="inlineStr">
        <is>
          <t>BARRIO VILLA CLAUDIA BOGOTA 1</t>
        </is>
      </c>
      <c r="L296" t="inlineStr">
        <is>
          <t>BANCOLOMBIA</t>
        </is>
      </c>
      <c r="M296" t="inlineStr">
        <is>
          <t>FO-25-1360358</t>
        </is>
      </c>
      <c r="N296" s="46" t="n">
        <v>45880.68819444445</v>
      </c>
      <c r="O296" s="46" t="n">
        <v>45881.62083333333</v>
      </c>
      <c r="P296" t="inlineStr">
        <is>
          <t>UNO A UNO</t>
        </is>
      </c>
      <c r="Q296" t="inlineStr">
        <is>
          <t>UNO A UNO</t>
        </is>
      </c>
      <c r="R296" t="inlineStr">
        <is>
          <t>EJECUTADO</t>
        </is>
      </c>
      <c r="S296" t="inlineStr">
        <is>
          <t>VISITA TECNICA</t>
        </is>
      </c>
      <c r="T296" t="inlineStr">
        <is>
          <t>FIZZZ309</t>
        </is>
      </c>
      <c r="U296" t="inlineStr">
        <is>
          <t>TIPO I</t>
        </is>
      </c>
      <c r="V296" t="inlineStr">
        <is>
          <t>TERRESTRE</t>
        </is>
      </c>
      <c r="W296" t="inlineStr">
        <is>
          <t>LOZADA ROJAS CHRISTIAN ANDRES</t>
        </is>
      </c>
      <c r="X296" t="inlineStr">
        <is>
          <t>Si</t>
        </is>
      </c>
      <c r="Y296" t="inlineStr">
        <is>
          <t>Si</t>
        </is>
      </c>
      <c r="Z296" s="45" t="n">
        <v>0</v>
      </c>
      <c r="AA296" t="inlineStr">
        <is>
          <t>0</t>
        </is>
      </c>
      <c r="AB296" s="45" t="n">
        <v>194983</v>
      </c>
      <c r="AC296" s="45" t="n">
        <v>0</v>
      </c>
    </row>
    <row r="297">
      <c r="A297" t="inlineStr">
        <is>
          <t>MEDELLIN</t>
        </is>
      </c>
      <c r="B297" t="inlineStr">
        <is>
          <t>NOROCCIDENTE</t>
        </is>
      </c>
      <c r="C297" t="inlineStr">
        <is>
          <t>0004-0005</t>
        </is>
      </c>
      <c r="D297" t="inlineStr">
        <is>
          <t>5887</t>
        </is>
      </c>
      <c r="E297" t="inlineStr">
        <is>
          <t>TA-25-952476</t>
        </is>
      </c>
      <c r="F297" t="inlineStr">
        <is>
          <t>3007080988</t>
        </is>
      </c>
      <c r="G297" t="inlineStr">
        <is>
          <t>APERTURA</t>
        </is>
      </c>
      <c r="H297" t="inlineStr">
        <is>
          <t>CB CRECIMIENTO - NUEVO</t>
        </is>
      </c>
      <c r="I297" t="inlineStr">
        <is>
          <t>ANTIOQUIA</t>
        </is>
      </c>
      <c r="J297" t="inlineStr">
        <is>
          <t>YARUMAL</t>
        </is>
      </c>
      <c r="K297" t="inlineStr">
        <is>
          <t>BARRIO VARIANTE YARUMAL</t>
        </is>
      </c>
      <c r="L297" t="inlineStr">
        <is>
          <t>BANCOLOMBIA</t>
        </is>
      </c>
      <c r="M297" t="inlineStr">
        <is>
          <t>FO-25-1360360</t>
        </is>
      </c>
      <c r="N297" s="46" t="n">
        <v>45880.66388888889</v>
      </c>
      <c r="O297" s="46" t="n">
        <v>45882.62361111111</v>
      </c>
      <c r="P297" t="inlineStr">
        <is>
          <t>UNO A UNO</t>
        </is>
      </c>
      <c r="Q297" t="inlineStr">
        <is>
          <t>UNO A UNO</t>
        </is>
      </c>
      <c r="R297" t="inlineStr">
        <is>
          <t>EJECUTADO</t>
        </is>
      </c>
      <c r="S297" t="inlineStr">
        <is>
          <t>VISITA TECNICA</t>
        </is>
      </c>
      <c r="T297" t="inlineStr">
        <is>
          <t>FIZZZ310</t>
        </is>
      </c>
      <c r="U297" t="inlineStr">
        <is>
          <t>TIPO III</t>
        </is>
      </c>
      <c r="V297" t="inlineStr">
        <is>
          <t>TERRESTRE</t>
        </is>
      </c>
      <c r="W297" t="inlineStr">
        <is>
          <t>BADEL ACUÑA LUIS ALBERTO</t>
        </is>
      </c>
      <c r="X297" t="inlineStr">
        <is>
          <t>Si</t>
        </is>
      </c>
      <c r="Y297" t="inlineStr">
        <is>
          <t>Si</t>
        </is>
      </c>
      <c r="Z297" s="45" t="n">
        <v>0</v>
      </c>
      <c r="AA297" t="inlineStr">
        <is>
          <t>0</t>
        </is>
      </c>
      <c r="AB297" s="45" t="n">
        <v>248376</v>
      </c>
      <c r="AC297" s="45" t="n">
        <v>0</v>
      </c>
    </row>
    <row r="298">
      <c r="A298" t="inlineStr">
        <is>
          <t>APARTADO</t>
        </is>
      </c>
      <c r="B298" t="inlineStr">
        <is>
          <t>NOROCCIDENTE</t>
        </is>
      </c>
      <c r="C298" t="inlineStr">
        <is>
          <t>0004-0005</t>
        </is>
      </c>
      <c r="D298" t="inlineStr">
        <is>
          <t>5490</t>
        </is>
      </c>
      <c r="E298" t="inlineStr">
        <is>
          <t>TA-25-952478</t>
        </is>
      </c>
      <c r="F298" t="inlineStr">
        <is>
          <t>3007080940</t>
        </is>
      </c>
      <c r="G298" t="inlineStr">
        <is>
          <t>APERTURA</t>
        </is>
      </c>
      <c r="H298" t="inlineStr">
        <is>
          <t>CB CRECIMIENTO - NUEVO</t>
        </is>
      </c>
      <c r="I298" t="inlineStr">
        <is>
          <t>ANTIOQUIA</t>
        </is>
      </c>
      <c r="J298" t="inlineStr">
        <is>
          <t>NECOCLI</t>
        </is>
      </c>
      <c r="K298" t="inlineStr">
        <is>
          <t>BARRIO NECOCLI ANTIOQUIA NECOCLI</t>
        </is>
      </c>
      <c r="L298" t="inlineStr">
        <is>
          <t>BANCOLOMBIA</t>
        </is>
      </c>
      <c r="M298" t="inlineStr">
        <is>
          <t>FO-25-1360365</t>
        </is>
      </c>
      <c r="N298" s="46" t="n">
        <v>45880.66319444445</v>
      </c>
      <c r="O298" s="46" t="n">
        <v>45882.36319444444</v>
      </c>
      <c r="P298" t="inlineStr">
        <is>
          <t>UNO A UNO</t>
        </is>
      </c>
      <c r="Q298" t="inlineStr">
        <is>
          <t>UNO A UNO</t>
        </is>
      </c>
      <c r="R298" t="inlineStr">
        <is>
          <t>EJECUTADO</t>
        </is>
      </c>
      <c r="S298" t="inlineStr">
        <is>
          <t>VISITA TECNICA</t>
        </is>
      </c>
      <c r="T298" t="inlineStr">
        <is>
          <t>FIZZZ311</t>
        </is>
      </c>
      <c r="U298" t="inlineStr">
        <is>
          <t>TIPO II</t>
        </is>
      </c>
      <c r="V298" t="inlineStr">
        <is>
          <t>TERRESTRE</t>
        </is>
      </c>
      <c r="W298" t="inlineStr">
        <is>
          <t>SALDARRIAGA MIRANDA SANTIAGO</t>
        </is>
      </c>
      <c r="X298" t="inlineStr">
        <is>
          <t>Si</t>
        </is>
      </c>
      <c r="Y298" t="inlineStr">
        <is>
          <t>Si</t>
        </is>
      </c>
      <c r="Z298" s="45" t="n">
        <v>0</v>
      </c>
      <c r="AA298" t="inlineStr">
        <is>
          <t>0</t>
        </is>
      </c>
      <c r="AB298" s="45" t="n">
        <v>248376</v>
      </c>
      <c r="AC298" s="45" t="n">
        <v>0</v>
      </c>
    </row>
    <row r="299">
      <c r="A299" t="inlineStr">
        <is>
          <t>PEREIRA</t>
        </is>
      </c>
      <c r="B299" t="inlineStr">
        <is>
          <t>SUROCCIDENTE Y EJE CAFETERO</t>
        </is>
      </c>
      <c r="C299" t="inlineStr">
        <is>
          <t>0004-0002</t>
        </is>
      </c>
      <c r="D299" t="inlineStr">
        <is>
          <t>66001</t>
        </is>
      </c>
      <c r="E299" t="inlineStr">
        <is>
          <t>TA-25-952479</t>
        </is>
      </c>
      <c r="F299" t="inlineStr">
        <is>
          <t>3007080959</t>
        </is>
      </c>
      <c r="G299" t="inlineStr">
        <is>
          <t>APERTURA</t>
        </is>
      </c>
      <c r="H299" t="inlineStr">
        <is>
          <t>CB CRECIMIENTO - NUEVO</t>
        </is>
      </c>
      <c r="I299" t="inlineStr">
        <is>
          <t>RISARALDA</t>
        </is>
      </c>
      <c r="J299" t="inlineStr">
        <is>
          <t>PEREIRA</t>
        </is>
      </c>
      <c r="K299" t="inlineStr">
        <is>
          <t>BARRIO CENTRO PEREIRA 54</t>
        </is>
      </c>
      <c r="L299" t="inlineStr">
        <is>
          <t>BANCOLOMBIA</t>
        </is>
      </c>
      <c r="M299" t="inlineStr">
        <is>
          <t>FO-25-1360368</t>
        </is>
      </c>
      <c r="N299" s="46" t="n">
        <v>45880.62638888889</v>
      </c>
      <c r="O299" s="46" t="n">
        <v>45882.36597222222</v>
      </c>
      <c r="P299" t="inlineStr">
        <is>
          <t>UNO A UNO</t>
        </is>
      </c>
      <c r="Q299" t="inlineStr">
        <is>
          <t>UNO A UNO</t>
        </is>
      </c>
      <c r="R299" t="inlineStr">
        <is>
          <t>EJECUTADO</t>
        </is>
      </c>
      <c r="S299" t="inlineStr">
        <is>
          <t>VISITA TECNICA</t>
        </is>
      </c>
      <c r="T299" t="inlineStr">
        <is>
          <t>FIZZZ312</t>
        </is>
      </c>
      <c r="U299" t="inlineStr">
        <is>
          <t>TIPO I</t>
        </is>
      </c>
      <c r="V299" t="inlineStr">
        <is>
          <t>TERRESTRE</t>
        </is>
      </c>
      <c r="W299" t="inlineStr">
        <is>
          <t>ARROYAVE CANO MANUEL GUILLERMO</t>
        </is>
      </c>
      <c r="X299" t="inlineStr">
        <is>
          <t>Si</t>
        </is>
      </c>
      <c r="Y299" t="inlineStr">
        <is>
          <t>Si</t>
        </is>
      </c>
      <c r="Z299" s="45" t="n">
        <v>0</v>
      </c>
      <c r="AA299" t="inlineStr">
        <is>
          <t>0</t>
        </is>
      </c>
      <c r="AB299" s="45" t="n">
        <v>194983</v>
      </c>
      <c r="AC299" s="45" t="n">
        <v>0</v>
      </c>
    </row>
    <row r="300">
      <c r="A300" t="inlineStr">
        <is>
          <t>PASTO</t>
        </is>
      </c>
      <c r="B300" t="inlineStr">
        <is>
          <t>SUROCCIDENTE Y EJE CAFETERO</t>
        </is>
      </c>
      <c r="C300" t="inlineStr">
        <is>
          <t>0004-0003</t>
        </is>
      </c>
      <c r="D300" t="inlineStr">
        <is>
          <t>52001</t>
        </is>
      </c>
      <c r="E300" t="inlineStr">
        <is>
          <t>TA-25-952483</t>
        </is>
      </c>
      <c r="F300" t="inlineStr">
        <is>
          <t>3007080956</t>
        </is>
      </c>
      <c r="G300" t="inlineStr">
        <is>
          <t>APERTURA</t>
        </is>
      </c>
      <c r="H300" t="inlineStr">
        <is>
          <t>CB CRECIMIENTO - NUEVO</t>
        </is>
      </c>
      <c r="I300" t="inlineStr">
        <is>
          <t>NARIÑO</t>
        </is>
      </c>
      <c r="J300" t="inlineStr">
        <is>
          <t>PASTO</t>
        </is>
      </c>
      <c r="K300" t="inlineStr">
        <is>
          <t>BARRIO CORR DE SANTA BARBARA PASTO</t>
        </is>
      </c>
      <c r="L300" t="inlineStr">
        <is>
          <t>BANCOLOMBIA</t>
        </is>
      </c>
      <c r="M300" t="inlineStr">
        <is>
          <t>FO-25-1360373</t>
        </is>
      </c>
      <c r="N300" s="46" t="n">
        <v>45880.65972222222</v>
      </c>
      <c r="O300" s="46" t="n">
        <v>45882.30555555555</v>
      </c>
      <c r="P300" t="inlineStr">
        <is>
          <t>UNO A UNO</t>
        </is>
      </c>
      <c r="Q300" t="inlineStr">
        <is>
          <t>UNO A UNO</t>
        </is>
      </c>
      <c r="R300" t="inlineStr">
        <is>
          <t>EJECUTADO</t>
        </is>
      </c>
      <c r="S300" t="inlineStr">
        <is>
          <t>VISITA TECNICA</t>
        </is>
      </c>
      <c r="T300" t="inlineStr">
        <is>
          <t>FIZZZ313</t>
        </is>
      </c>
      <c r="U300" t="inlineStr">
        <is>
          <t>TIPO I</t>
        </is>
      </c>
      <c r="V300" t="inlineStr">
        <is>
          <t>TERRESTRE</t>
        </is>
      </c>
      <c r="W300" t="inlineStr">
        <is>
          <t>GUERRERO RAMIREZ OSCAR DARIO</t>
        </is>
      </c>
      <c r="X300" t="inlineStr">
        <is>
          <t>Si</t>
        </is>
      </c>
      <c r="Y300" t="inlineStr">
        <is>
          <t>Si</t>
        </is>
      </c>
      <c r="Z300" s="45" t="n">
        <v>0</v>
      </c>
      <c r="AA300" t="inlineStr">
        <is>
          <t>0</t>
        </is>
      </c>
      <c r="AB300" s="45" t="n">
        <v>194983</v>
      </c>
      <c r="AC300" s="45" t="n">
        <v>0</v>
      </c>
    </row>
    <row r="301">
      <c r="A301" t="inlineStr">
        <is>
          <t>TUNJA</t>
        </is>
      </c>
      <c r="B301" t="inlineStr">
        <is>
          <t>SANTANDERES</t>
        </is>
      </c>
      <c r="C301" t="inlineStr">
        <is>
          <t>0004-0008</t>
        </is>
      </c>
      <c r="D301" t="inlineStr">
        <is>
          <t>15001</t>
        </is>
      </c>
      <c r="E301" t="inlineStr">
        <is>
          <t>TA-25-952485</t>
        </is>
      </c>
      <c r="F301" t="inlineStr">
        <is>
          <t>3007080972</t>
        </is>
      </c>
      <c r="G301" t="inlineStr">
        <is>
          <t>APERTURA</t>
        </is>
      </c>
      <c r="H301" t="inlineStr">
        <is>
          <t>CB CRECIMIENTO - NUEVO</t>
        </is>
      </c>
      <c r="I301" t="inlineStr">
        <is>
          <t>BOYACA</t>
        </is>
      </c>
      <c r="J301" t="inlineStr">
        <is>
          <t>TUNJA</t>
        </is>
      </c>
      <c r="K301" t="inlineStr">
        <is>
          <t>BARRIO LOS MUISCAS TUNJA 9</t>
        </is>
      </c>
      <c r="L301" t="inlineStr">
        <is>
          <t>BANCOLOMBIA</t>
        </is>
      </c>
      <c r="M301" t="inlineStr">
        <is>
          <t>FO-25-1360377</t>
        </is>
      </c>
      <c r="N301" s="46" t="n">
        <v>45880.62847222222</v>
      </c>
      <c r="O301" s="46" t="n">
        <v>45882.36875</v>
      </c>
      <c r="P301" t="inlineStr">
        <is>
          <t>UNO A UNO</t>
        </is>
      </c>
      <c r="Q301" t="inlineStr">
        <is>
          <t>UNO A UNO</t>
        </is>
      </c>
      <c r="R301" t="inlineStr">
        <is>
          <t>EJECUTADO</t>
        </is>
      </c>
      <c r="S301" t="inlineStr">
        <is>
          <t>VISITA TECNICA</t>
        </is>
      </c>
      <c r="T301" t="inlineStr">
        <is>
          <t>FIZZZ314</t>
        </is>
      </c>
      <c r="U301" t="inlineStr">
        <is>
          <t>TIPO I</t>
        </is>
      </c>
      <c r="V301" t="inlineStr">
        <is>
          <t>TERRESTRE</t>
        </is>
      </c>
      <c r="W301" t="inlineStr">
        <is>
          <t>GONZALEZ GONZALEZ MARIO ALBERTO</t>
        </is>
      </c>
      <c r="X301" t="inlineStr">
        <is>
          <t>Si</t>
        </is>
      </c>
      <c r="Y301" t="inlineStr">
        <is>
          <t>Si</t>
        </is>
      </c>
      <c r="Z301" s="45" t="n">
        <v>0</v>
      </c>
      <c r="AA301" t="inlineStr">
        <is>
          <t>0</t>
        </is>
      </c>
      <c r="AB301" s="45" t="n">
        <v>194983</v>
      </c>
      <c r="AC301" s="45" t="n">
        <v>0</v>
      </c>
    </row>
    <row r="302">
      <c r="A302" t="inlineStr">
        <is>
          <t>CUCUTA</t>
        </is>
      </c>
      <c r="B302" t="inlineStr">
        <is>
          <t>SANTANDERES</t>
        </is>
      </c>
      <c r="C302" t="inlineStr">
        <is>
          <t>0004-0008</t>
        </is>
      </c>
      <c r="D302" t="inlineStr">
        <is>
          <t>54518</t>
        </is>
      </c>
      <c r="E302" t="inlineStr">
        <is>
          <t>TA-25-952486</t>
        </is>
      </c>
      <c r="F302" t="inlineStr">
        <is>
          <t>3007080953</t>
        </is>
      </c>
      <c r="G302" t="inlineStr">
        <is>
          <t>APERTURA</t>
        </is>
      </c>
      <c r="H302" t="inlineStr">
        <is>
          <t>CB CRECIMIENTO - NUEVO</t>
        </is>
      </c>
      <c r="I302" t="inlineStr">
        <is>
          <t>NORTE DE SANTANDER</t>
        </is>
      </c>
      <c r="J302" t="inlineStr">
        <is>
          <t>PAMPLONA</t>
        </is>
      </c>
      <c r="K302" t="inlineStr">
        <is>
          <t>BARRIO LOS CEREZOS PAMPLONA</t>
        </is>
      </c>
      <c r="L302" t="inlineStr">
        <is>
          <t>BANCOLOMBIA</t>
        </is>
      </c>
      <c r="M302" t="inlineStr">
        <is>
          <t>FO-25-1360379</t>
        </is>
      </c>
      <c r="N302" s="46" t="n">
        <v>45880.62847222222</v>
      </c>
      <c r="O302" s="46" t="n">
        <v>45882.65138888889</v>
      </c>
      <c r="P302" t="inlineStr">
        <is>
          <t>UNO A UNO</t>
        </is>
      </c>
      <c r="Q302" t="inlineStr">
        <is>
          <t>UNO A UNO</t>
        </is>
      </c>
      <c r="R302" t="inlineStr">
        <is>
          <t>EJECUTADO</t>
        </is>
      </c>
      <c r="S302" t="inlineStr">
        <is>
          <t>VISITA TECNICA</t>
        </is>
      </c>
      <c r="T302" t="inlineStr">
        <is>
          <t>FIZZZ315</t>
        </is>
      </c>
      <c r="U302" t="inlineStr">
        <is>
          <t>TIPO III</t>
        </is>
      </c>
      <c r="V302" t="inlineStr">
        <is>
          <t>TERRESTRE</t>
        </is>
      </c>
      <c r="W302" t="inlineStr">
        <is>
          <t>MORA VEGA JEAMPIER</t>
        </is>
      </c>
      <c r="X302" t="inlineStr">
        <is>
          <t>Si</t>
        </is>
      </c>
      <c r="Y302" t="inlineStr">
        <is>
          <t>Si</t>
        </is>
      </c>
      <c r="Z302" s="45" t="n">
        <v>0</v>
      </c>
      <c r="AA302" t="inlineStr">
        <is>
          <t>0</t>
        </is>
      </c>
      <c r="AB302" s="45" t="n">
        <v>248376</v>
      </c>
      <c r="AC302" s="45" t="n">
        <v>0</v>
      </c>
    </row>
    <row r="303">
      <c r="A303" t="inlineStr">
        <is>
          <t>CUCUTA</t>
        </is>
      </c>
      <c r="B303" t="inlineStr">
        <is>
          <t>SANTANDERES</t>
        </is>
      </c>
      <c r="C303" t="inlineStr">
        <is>
          <t>0004-0008</t>
        </is>
      </c>
      <c r="D303" t="inlineStr">
        <is>
          <t>54518</t>
        </is>
      </c>
      <c r="E303" t="inlineStr">
        <is>
          <t>TA-25-952488</t>
        </is>
      </c>
      <c r="F303" t="inlineStr">
        <is>
          <t>3007080954</t>
        </is>
      </c>
      <c r="G303" t="inlineStr">
        <is>
          <t>APERTURA</t>
        </is>
      </c>
      <c r="H303" t="inlineStr">
        <is>
          <t>CB CRECIMIENTO - NUEVO</t>
        </is>
      </c>
      <c r="I303" t="inlineStr">
        <is>
          <t>NORTE DE SANTANDER</t>
        </is>
      </c>
      <c r="J303" t="inlineStr">
        <is>
          <t>PAMPLONA</t>
        </is>
      </c>
      <c r="K303" t="inlineStr">
        <is>
          <t>BARRIO SANTO DOMINGO PAMPLONA 2</t>
        </is>
      </c>
      <c r="L303" t="inlineStr">
        <is>
          <t>BANCOLOMBIA</t>
        </is>
      </c>
      <c r="M303" t="inlineStr">
        <is>
          <t>FO-25-1360385</t>
        </is>
      </c>
      <c r="N303" s="46" t="n">
        <v>45880.62847222222</v>
      </c>
      <c r="O303" s="46" t="n">
        <v>45882.48472222222</v>
      </c>
      <c r="P303" t="inlineStr">
        <is>
          <t>UNO A UNO</t>
        </is>
      </c>
      <c r="Q303" t="inlineStr">
        <is>
          <t>UNO A UNO</t>
        </is>
      </c>
      <c r="R303" t="inlineStr">
        <is>
          <t>EJECUTADO</t>
        </is>
      </c>
      <c r="S303" t="inlineStr">
        <is>
          <t>VISITA TECNICA</t>
        </is>
      </c>
      <c r="T303" t="inlineStr">
        <is>
          <t>FIZZZ316</t>
        </is>
      </c>
      <c r="U303" t="inlineStr">
        <is>
          <t>TIPO III</t>
        </is>
      </c>
      <c r="V303" t="inlineStr">
        <is>
          <t>TERRESTRE</t>
        </is>
      </c>
      <c r="W303" t="inlineStr">
        <is>
          <t>MORA VEGA JEAMPIER</t>
        </is>
      </c>
      <c r="X303" t="inlineStr">
        <is>
          <t>Si</t>
        </is>
      </c>
      <c r="Y303" t="inlineStr">
        <is>
          <t>Si</t>
        </is>
      </c>
      <c r="Z303" s="45" t="n">
        <v>0</v>
      </c>
      <c r="AA303" t="inlineStr">
        <is>
          <t>0</t>
        </is>
      </c>
      <c r="AB303" s="45" t="n">
        <v>248376</v>
      </c>
      <c r="AC303" s="45" t="n">
        <v>0</v>
      </c>
    </row>
    <row r="304">
      <c r="A304" t="inlineStr">
        <is>
          <t>BOGOTA</t>
        </is>
      </c>
      <c r="B304" t="inlineStr">
        <is>
          <t>CUNDINAMARCA</t>
        </is>
      </c>
      <c r="C304" t="inlineStr">
        <is>
          <t>0004-0004</t>
        </is>
      </c>
      <c r="D304" t="inlineStr">
        <is>
          <t>11001</t>
        </is>
      </c>
      <c r="E304" t="inlineStr">
        <is>
          <t>TA-25-952490</t>
        </is>
      </c>
      <c r="F304" t="inlineStr">
        <is>
          <t>3007080931</t>
        </is>
      </c>
      <c r="G304" t="inlineStr">
        <is>
          <t>APERTURA</t>
        </is>
      </c>
      <c r="H304" t="inlineStr">
        <is>
          <t>CB CRECIMIENTO - NUEVO</t>
        </is>
      </c>
      <c r="I304" t="inlineStr">
        <is>
          <t>CUNDINAMARCA</t>
        </is>
      </c>
      <c r="J304" t="inlineStr">
        <is>
          <t>BOGOTA</t>
        </is>
      </c>
      <c r="K304" t="inlineStr">
        <is>
          <t>BARRIO LA ESPERANZA BOGOTA 4</t>
        </is>
      </c>
      <c r="L304" t="inlineStr">
        <is>
          <t>BANCOLOMBIA</t>
        </is>
      </c>
      <c r="M304" t="inlineStr">
        <is>
          <t>FO-25-1360389</t>
        </is>
      </c>
      <c r="N304" s="46" t="n">
        <v>45880.68819444445</v>
      </c>
      <c r="O304" s="46" t="n">
        <v>45882.37152777778</v>
      </c>
      <c r="P304" t="inlineStr">
        <is>
          <t>UNO A UNO</t>
        </is>
      </c>
      <c r="Q304" t="inlineStr">
        <is>
          <t>UNO A UNO</t>
        </is>
      </c>
      <c r="R304" t="inlineStr">
        <is>
          <t>EJECUTADO</t>
        </is>
      </c>
      <c r="S304" t="inlineStr">
        <is>
          <t>VISITA TECNICA</t>
        </is>
      </c>
      <c r="T304" t="inlineStr">
        <is>
          <t>FIZZZ317</t>
        </is>
      </c>
      <c r="U304" t="inlineStr">
        <is>
          <t>TIPO I</t>
        </is>
      </c>
      <c r="V304" t="inlineStr">
        <is>
          <t>TERRESTRE</t>
        </is>
      </c>
      <c r="W304" t="inlineStr">
        <is>
          <t>MURCIA HERNANDEZ HARVEY IGNACIO</t>
        </is>
      </c>
      <c r="X304" t="inlineStr">
        <is>
          <t>Si</t>
        </is>
      </c>
      <c r="Y304" t="inlineStr">
        <is>
          <t>Si</t>
        </is>
      </c>
      <c r="Z304" s="45" t="n">
        <v>0</v>
      </c>
      <c r="AA304" t="inlineStr">
        <is>
          <t>0</t>
        </is>
      </c>
      <c r="AB304" s="45" t="n">
        <v>194983</v>
      </c>
      <c r="AC304" s="45" t="n">
        <v>0</v>
      </c>
    </row>
    <row r="305">
      <c r="A305" t="inlineStr">
        <is>
          <t>CALI</t>
        </is>
      </c>
      <c r="B305" t="inlineStr">
        <is>
          <t>SUROCCIDENTE Y EJE CAFETERO</t>
        </is>
      </c>
      <c r="C305" t="inlineStr">
        <is>
          <t>0004-0003</t>
        </is>
      </c>
      <c r="D305" t="inlineStr">
        <is>
          <t>76130</t>
        </is>
      </c>
      <c r="E305" t="inlineStr">
        <is>
          <t>TA-25-952491</t>
        </is>
      </c>
      <c r="F305" t="inlineStr">
        <is>
          <t>3007080939</t>
        </is>
      </c>
      <c r="G305" t="inlineStr">
        <is>
          <t>APERTURA</t>
        </is>
      </c>
      <c r="H305" t="inlineStr">
        <is>
          <t>CB CRECIMIENTO - NUEVO</t>
        </is>
      </c>
      <c r="I305" t="inlineStr">
        <is>
          <t>VALLE DEL CAUCA</t>
        </is>
      </c>
      <c r="J305" t="inlineStr">
        <is>
          <t>CANDELARIA</t>
        </is>
      </c>
      <c r="K305" t="inlineStr">
        <is>
          <t>BARRIO ARMANDO VASQUEZ CANDELARIA</t>
        </is>
      </c>
      <c r="L305" t="inlineStr">
        <is>
          <t>BANCOLOMBIA</t>
        </is>
      </c>
      <c r="M305" t="inlineStr">
        <is>
          <t>FO-25-1360392</t>
        </is>
      </c>
      <c r="N305" s="46" t="n">
        <v>45880.70763888889</v>
      </c>
      <c r="O305" s="46" t="n">
        <v>45882.37361111111</v>
      </c>
      <c r="P305" t="inlineStr">
        <is>
          <t>UNO A UNO</t>
        </is>
      </c>
      <c r="Q305" t="inlineStr">
        <is>
          <t>UNO A UNO</t>
        </is>
      </c>
      <c r="R305" t="inlineStr">
        <is>
          <t>EJECUTADO</t>
        </is>
      </c>
      <c r="S305" t="inlineStr">
        <is>
          <t>VISITA TECNICA</t>
        </is>
      </c>
      <c r="T305" t="inlineStr">
        <is>
          <t>FIZZZ318</t>
        </is>
      </c>
      <c r="U305" t="inlineStr">
        <is>
          <t>TIPO II</t>
        </is>
      </c>
      <c r="V305" t="inlineStr">
        <is>
          <t>TERRESTRE</t>
        </is>
      </c>
      <c r="W305" t="inlineStr">
        <is>
          <t>TORRES GARCIA JENDRY JOSE</t>
        </is>
      </c>
      <c r="X305" t="inlineStr">
        <is>
          <t>Si</t>
        </is>
      </c>
      <c r="Y305" t="inlineStr">
        <is>
          <t>Si</t>
        </is>
      </c>
      <c r="Z305" s="45" t="n">
        <v>0</v>
      </c>
      <c r="AA305" t="inlineStr">
        <is>
          <t>0</t>
        </is>
      </c>
      <c r="AB305" s="45" t="n">
        <v>248376</v>
      </c>
      <c r="AC305" s="45" t="n">
        <v>0</v>
      </c>
    </row>
    <row r="306">
      <c r="A306" t="inlineStr">
        <is>
          <t>MANIZALES</t>
        </is>
      </c>
      <c r="B306" t="inlineStr">
        <is>
          <t>SUROCCIDENTE Y EJE CAFETERO</t>
        </is>
      </c>
      <c r="C306" t="inlineStr">
        <is>
          <t>0004-0002</t>
        </is>
      </c>
      <c r="D306" t="inlineStr">
        <is>
          <t>17001</t>
        </is>
      </c>
      <c r="E306" t="inlineStr">
        <is>
          <t>TA-25-952494</t>
        </is>
      </c>
      <c r="F306" t="inlineStr">
        <is>
          <t>3007080949</t>
        </is>
      </c>
      <c r="G306" t="inlineStr">
        <is>
          <t>APERTURA</t>
        </is>
      </c>
      <c r="H306" t="inlineStr">
        <is>
          <t>CB CRECIMIENTO - NUEVO</t>
        </is>
      </c>
      <c r="I306" t="inlineStr">
        <is>
          <t>CALDAS</t>
        </is>
      </c>
      <c r="J306" t="inlineStr">
        <is>
          <t>MANIZALES</t>
        </is>
      </c>
      <c r="K306" t="inlineStr">
        <is>
          <t>BARRIO NEVADO MANIZALES 2</t>
        </is>
      </c>
      <c r="L306" t="inlineStr">
        <is>
          <t>BANCOLOMBIA</t>
        </is>
      </c>
      <c r="M306" t="inlineStr">
        <is>
          <t>FO-25-1360397</t>
        </is>
      </c>
      <c r="N306" s="46" t="n">
        <v>45880.65555555555</v>
      </c>
      <c r="O306" s="46" t="n">
        <v>45881.62361111111</v>
      </c>
      <c r="P306" t="inlineStr">
        <is>
          <t>UNO A UNO</t>
        </is>
      </c>
      <c r="Q306" t="inlineStr">
        <is>
          <t>UNO A UNO</t>
        </is>
      </c>
      <c r="R306" t="inlineStr">
        <is>
          <t>EJECUTADO</t>
        </is>
      </c>
      <c r="S306" t="inlineStr">
        <is>
          <t>VISITA TECNICA</t>
        </is>
      </c>
      <c r="T306" t="inlineStr">
        <is>
          <t>FIZZZ319</t>
        </is>
      </c>
      <c r="U306" t="inlineStr">
        <is>
          <t>TIPO I</t>
        </is>
      </c>
      <c r="V306" t="inlineStr">
        <is>
          <t>TERRESTRE</t>
        </is>
      </c>
      <c r="W306" t="inlineStr">
        <is>
          <t>AGUIRRE HENAO RAUL EDUARDO</t>
        </is>
      </c>
      <c r="X306" t="inlineStr">
        <is>
          <t>Si</t>
        </is>
      </c>
      <c r="Y306" t="inlineStr">
        <is>
          <t>Si</t>
        </is>
      </c>
      <c r="Z306" s="45" t="n">
        <v>0</v>
      </c>
      <c r="AA306" t="inlineStr">
        <is>
          <t>0</t>
        </is>
      </c>
      <c r="AB306" s="45" t="n">
        <v>194983</v>
      </c>
      <c r="AC306" s="45" t="n">
        <v>0</v>
      </c>
    </row>
    <row r="307">
      <c r="A307" t="inlineStr">
        <is>
          <t>BOGOTA</t>
        </is>
      </c>
      <c r="B307" t="inlineStr">
        <is>
          <t>CUNDINAMARCA</t>
        </is>
      </c>
      <c r="C307" t="inlineStr">
        <is>
          <t>0004-0004</t>
        </is>
      </c>
      <c r="D307" t="inlineStr">
        <is>
          <t>11001</t>
        </is>
      </c>
      <c r="E307" t="inlineStr">
        <is>
          <t>TA-25-952495</t>
        </is>
      </c>
      <c r="F307" t="inlineStr">
        <is>
          <t>3007080934</t>
        </is>
      </c>
      <c r="G307" t="inlineStr">
        <is>
          <t>APERTURA</t>
        </is>
      </c>
      <c r="H307" t="inlineStr">
        <is>
          <t>CB CRECIMIENTO - NUEVO</t>
        </is>
      </c>
      <c r="I307" t="inlineStr">
        <is>
          <t>CUNDINAMARCA</t>
        </is>
      </c>
      <c r="J307" t="inlineStr">
        <is>
          <t>BOGOTA</t>
        </is>
      </c>
      <c r="K307" t="inlineStr">
        <is>
          <t>BARRIO BOSA CARBONEL BOGOTA 1</t>
        </is>
      </c>
      <c r="L307" t="inlineStr">
        <is>
          <t>BANCOLOMBIA</t>
        </is>
      </c>
      <c r="M307" t="inlineStr">
        <is>
          <t>FO-25-1374679</t>
        </is>
      </c>
      <c r="N307" s="46" t="n">
        <v>45880.68819444445</v>
      </c>
      <c r="O307" s="46" t="n">
        <v>45883.55694444444</v>
      </c>
      <c r="P307" t="inlineStr">
        <is>
          <t>UNO A UNO</t>
        </is>
      </c>
      <c r="Q307" t="inlineStr">
        <is>
          <t>UNO A UNO</t>
        </is>
      </c>
      <c r="R307" t="inlineStr">
        <is>
          <t>EJECUTADO</t>
        </is>
      </c>
      <c r="S307" t="inlineStr">
        <is>
          <t>VISITA TECNICA</t>
        </is>
      </c>
      <c r="T307" t="inlineStr">
        <is>
          <t>FIZZZ320</t>
        </is>
      </c>
      <c r="U307" t="inlineStr">
        <is>
          <t>TIPO I</t>
        </is>
      </c>
      <c r="V307" t="inlineStr">
        <is>
          <t>TERRESTRE</t>
        </is>
      </c>
      <c r="W307" t="inlineStr">
        <is>
          <t>LOZADA ROJAS CHRISTIAN ANDRES</t>
        </is>
      </c>
      <c r="X307" t="inlineStr">
        <is>
          <t>Si</t>
        </is>
      </c>
      <c r="Y307" t="inlineStr">
        <is>
          <t>Si</t>
        </is>
      </c>
      <c r="Z307" s="45" t="n">
        <v>44560</v>
      </c>
      <c r="AA307" t="inlineStr">
        <is>
          <t>0</t>
        </is>
      </c>
      <c r="AB307" s="45" t="n">
        <v>309813</v>
      </c>
      <c r="AC307" s="45" t="n">
        <v>0</v>
      </c>
    </row>
    <row r="308">
      <c r="A308" t="inlineStr">
        <is>
          <t>CUCUTA</t>
        </is>
      </c>
      <c r="B308" t="inlineStr">
        <is>
          <t>SANTANDERES</t>
        </is>
      </c>
      <c r="C308" t="inlineStr">
        <is>
          <t>0004-0008</t>
        </is>
      </c>
      <c r="D308" t="inlineStr">
        <is>
          <t>54001</t>
        </is>
      </c>
      <c r="E308" t="inlineStr">
        <is>
          <t>TA-25-952497</t>
        </is>
      </c>
      <c r="F308" t="inlineStr">
        <is>
          <t>3007080941</t>
        </is>
      </c>
      <c r="G308" t="inlineStr">
        <is>
          <t>APERTURA</t>
        </is>
      </c>
      <c r="H308" t="inlineStr">
        <is>
          <t>CB CRECIMIENTO - NUEVO</t>
        </is>
      </c>
      <c r="I308" t="inlineStr">
        <is>
          <t>NORTE DE SANTANDER</t>
        </is>
      </c>
      <c r="J308" t="inlineStr">
        <is>
          <t>CUCUTA</t>
        </is>
      </c>
      <c r="K308" t="inlineStr">
        <is>
          <t>BARRIO URB NIZA CUCUTA 2</t>
        </is>
      </c>
      <c r="L308" t="inlineStr">
        <is>
          <t>BANCOLOMBIA</t>
        </is>
      </c>
      <c r="M308" t="inlineStr">
        <is>
          <t>FO-25-1360408</t>
        </is>
      </c>
      <c r="N308" s="46" t="n">
        <v>45880.62847222222</v>
      </c>
      <c r="O308" s="46" t="n">
        <v>45882.37708333333</v>
      </c>
      <c r="P308" t="inlineStr">
        <is>
          <t>UNO A UNO</t>
        </is>
      </c>
      <c r="Q308" t="inlineStr">
        <is>
          <t>UNO A UNO</t>
        </is>
      </c>
      <c r="R308" t="inlineStr">
        <is>
          <t>EJECUTADO</t>
        </is>
      </c>
      <c r="S308" t="inlineStr">
        <is>
          <t>VISITA TECNICA</t>
        </is>
      </c>
      <c r="T308" t="inlineStr">
        <is>
          <t>FIZZZ322</t>
        </is>
      </c>
      <c r="U308" t="inlineStr">
        <is>
          <t>TIPO I</t>
        </is>
      </c>
      <c r="V308" t="inlineStr">
        <is>
          <t>TERRESTRE</t>
        </is>
      </c>
      <c r="W308" t="inlineStr">
        <is>
          <t>DURAN ACOSTA FRANK YONNY</t>
        </is>
      </c>
      <c r="X308" t="inlineStr">
        <is>
          <t>Si</t>
        </is>
      </c>
      <c r="Y308" t="inlineStr">
        <is>
          <t>Si</t>
        </is>
      </c>
      <c r="Z308" s="45" t="n">
        <v>0</v>
      </c>
      <c r="AA308" t="inlineStr">
        <is>
          <t>0</t>
        </is>
      </c>
      <c r="AB308" s="45" t="n">
        <v>194983</v>
      </c>
      <c r="AC308" s="45" t="n">
        <v>0</v>
      </c>
    </row>
    <row r="309">
      <c r="A309" t="inlineStr">
        <is>
          <t>SINCELEJO</t>
        </is>
      </c>
      <c r="B309" t="inlineStr">
        <is>
          <t>COSTA</t>
        </is>
      </c>
      <c r="C309" t="inlineStr">
        <is>
          <t>0004-0001</t>
        </is>
      </c>
      <c r="D309" t="inlineStr">
        <is>
          <t>70001</t>
        </is>
      </c>
      <c r="E309" t="inlineStr">
        <is>
          <t>TA-25-952498</t>
        </is>
      </c>
      <c r="F309" t="inlineStr">
        <is>
          <t>3007080968</t>
        </is>
      </c>
      <c r="G309" t="inlineStr">
        <is>
          <t>APERTURA</t>
        </is>
      </c>
      <c r="H309" t="inlineStr">
        <is>
          <t>CB CRECIMIENTO - NUEVO</t>
        </is>
      </c>
      <c r="I309" t="inlineStr">
        <is>
          <t>SUCRE</t>
        </is>
      </c>
      <c r="J309" t="inlineStr">
        <is>
          <t>SINCELEJO</t>
        </is>
      </c>
      <c r="K309" t="inlineStr">
        <is>
          <t>BARRIO VEINTE DE JULIO SINCELEJO</t>
        </is>
      </c>
      <c r="L309" t="inlineStr">
        <is>
          <t>BANCOLOMBIA</t>
        </is>
      </c>
      <c r="M309" t="inlineStr">
        <is>
          <t>FO-25-1360411</t>
        </is>
      </c>
      <c r="N309" s="46" t="n">
        <v>45880.62222222222</v>
      </c>
      <c r="O309" s="46" t="n">
        <v>45882.37986111111</v>
      </c>
      <c r="P309" t="inlineStr">
        <is>
          <t>UNO A UNO</t>
        </is>
      </c>
      <c r="Q309" t="inlineStr">
        <is>
          <t>UNO A UNO</t>
        </is>
      </c>
      <c r="R309" t="inlineStr">
        <is>
          <t>EJECUTADO</t>
        </is>
      </c>
      <c r="S309" t="inlineStr">
        <is>
          <t>VISITA TECNICA</t>
        </is>
      </c>
      <c r="T309" t="inlineStr">
        <is>
          <t>FIZZZ323</t>
        </is>
      </c>
      <c r="U309" t="inlineStr">
        <is>
          <t>TIPO I</t>
        </is>
      </c>
      <c r="V309" t="inlineStr">
        <is>
          <t>TERRESTRE</t>
        </is>
      </c>
      <c r="W309" t="inlineStr">
        <is>
          <t>SANTOS GUZMAN CHRISTIAN FELIPE</t>
        </is>
      </c>
      <c r="X309" t="inlineStr">
        <is>
          <t>Si</t>
        </is>
      </c>
      <c r="Y309" t="inlineStr">
        <is>
          <t>Si</t>
        </is>
      </c>
      <c r="Z309" s="45" t="n">
        <v>0</v>
      </c>
      <c r="AA309" t="inlineStr">
        <is>
          <t>0</t>
        </is>
      </c>
      <c r="AB309" s="45" t="n">
        <v>194983</v>
      </c>
      <c r="AC309" s="45" t="n">
        <v>0</v>
      </c>
    </row>
    <row r="310">
      <c r="A310" t="inlineStr">
        <is>
          <t>MEDELLIN</t>
        </is>
      </c>
      <c r="B310" t="inlineStr">
        <is>
          <t>NOROCCIDENTE</t>
        </is>
      </c>
      <c r="C310" t="inlineStr">
        <is>
          <t>0004-0005</t>
        </is>
      </c>
      <c r="D310" t="inlineStr">
        <is>
          <t>5001</t>
        </is>
      </c>
      <c r="E310" t="inlineStr">
        <is>
          <t>TA-25-952502</t>
        </is>
      </c>
      <c r="F310" t="inlineStr">
        <is>
          <t>3007080985</t>
        </is>
      </c>
      <c r="G310" t="inlineStr">
        <is>
          <t>APERTURA</t>
        </is>
      </c>
      <c r="H310" t="inlineStr">
        <is>
          <t>CB CRECIMIENTO - NUEVO</t>
        </is>
      </c>
      <c r="I310" t="inlineStr">
        <is>
          <t>ANTIOQUIA</t>
        </is>
      </c>
      <c r="J310" t="inlineStr">
        <is>
          <t>MEDELLIN</t>
        </is>
      </c>
      <c r="K310" t="inlineStr">
        <is>
          <t>BARRIO CENTRO ORIENTAL CON HUEVO MEDELLIN</t>
        </is>
      </c>
      <c r="L310" t="inlineStr">
        <is>
          <t>BANCOLOMBIA</t>
        </is>
      </c>
      <c r="M310" t="inlineStr">
        <is>
          <t>FO-25-1360419</t>
        </is>
      </c>
      <c r="N310" s="46" t="n">
        <v>45880.66319444445</v>
      </c>
      <c r="O310" s="46" t="n">
        <v>45881.63680555556</v>
      </c>
      <c r="P310" t="inlineStr">
        <is>
          <t>UNO A UNO</t>
        </is>
      </c>
      <c r="Q310" t="inlineStr">
        <is>
          <t>UNO A UNO</t>
        </is>
      </c>
      <c r="R310" t="inlineStr">
        <is>
          <t>EJECUTADO</t>
        </is>
      </c>
      <c r="S310" t="inlineStr">
        <is>
          <t>VISITA TECNICA</t>
        </is>
      </c>
      <c r="T310" t="inlineStr">
        <is>
          <t>FIZZZ325</t>
        </is>
      </c>
      <c r="U310" t="inlineStr">
        <is>
          <t>TIPO I</t>
        </is>
      </c>
      <c r="V310" t="inlineStr">
        <is>
          <t>TERRESTRE</t>
        </is>
      </c>
      <c r="W310" t="inlineStr">
        <is>
          <t>MARTINEZ TOVAR OSCAR DAVID</t>
        </is>
      </c>
      <c r="X310" t="inlineStr">
        <is>
          <t>Si</t>
        </is>
      </c>
      <c r="Y310" t="inlineStr">
        <is>
          <t>Si</t>
        </is>
      </c>
      <c r="Z310" s="45" t="n">
        <v>0</v>
      </c>
      <c r="AA310" t="inlineStr">
        <is>
          <t>0</t>
        </is>
      </c>
      <c r="AB310" s="45" t="n">
        <v>194983</v>
      </c>
      <c r="AC310" s="45" t="n">
        <v>0</v>
      </c>
    </row>
    <row r="311">
      <c r="A311" t="inlineStr">
        <is>
          <t>PEREIRA</t>
        </is>
      </c>
      <c r="B311" t="inlineStr">
        <is>
          <t>SUROCCIDENTE Y EJE CAFETERO</t>
        </is>
      </c>
      <c r="C311" t="inlineStr">
        <is>
          <t>0004-0002</t>
        </is>
      </c>
      <c r="D311" t="inlineStr">
        <is>
          <t>66440</t>
        </is>
      </c>
      <c r="E311" t="inlineStr">
        <is>
          <t>TA-25-952504</t>
        </is>
      </c>
      <c r="F311" t="inlineStr">
        <is>
          <t>3007080950</t>
        </is>
      </c>
      <c r="G311" t="inlineStr">
        <is>
          <t>APERTURA</t>
        </is>
      </c>
      <c r="H311" t="inlineStr">
        <is>
          <t>CB CRECIMIENTO - NUEVO</t>
        </is>
      </c>
      <c r="I311" t="inlineStr">
        <is>
          <t>RISARALDA</t>
        </is>
      </c>
      <c r="J311" t="inlineStr">
        <is>
          <t>MARSELLA</t>
        </is>
      </c>
      <c r="K311" t="inlineStr">
        <is>
          <t>BARRIO CENTRO MARSELLA 7</t>
        </is>
      </c>
      <c r="L311" t="inlineStr">
        <is>
          <t>BANCOLOMBIA</t>
        </is>
      </c>
      <c r="M311" t="inlineStr">
        <is>
          <t>FO-25-1360428</t>
        </is>
      </c>
      <c r="N311" s="46" t="n">
        <v>45880.64444444444</v>
      </c>
      <c r="O311" s="46" t="n">
        <v>45882.30069444444</v>
      </c>
      <c r="P311" t="inlineStr">
        <is>
          <t>UNO A UNO</t>
        </is>
      </c>
      <c r="Q311" t="inlineStr">
        <is>
          <t>UNO A UNO</t>
        </is>
      </c>
      <c r="R311" t="inlineStr">
        <is>
          <t>EJECUTADO</t>
        </is>
      </c>
      <c r="S311" t="inlineStr">
        <is>
          <t>VISITA TECNICA</t>
        </is>
      </c>
      <c r="T311" t="inlineStr">
        <is>
          <t>FIZZZ327</t>
        </is>
      </c>
      <c r="U311" t="inlineStr">
        <is>
          <t>TIPO II</t>
        </is>
      </c>
      <c r="V311" t="inlineStr">
        <is>
          <t>TERRESTRE</t>
        </is>
      </c>
      <c r="W311" t="inlineStr">
        <is>
          <t>FRANCO CAÑAVERAL YAMID RAUL</t>
        </is>
      </c>
      <c r="X311" t="inlineStr">
        <is>
          <t>Si</t>
        </is>
      </c>
      <c r="Y311" t="inlineStr">
        <is>
          <t>Si</t>
        </is>
      </c>
      <c r="Z311" s="45" t="n">
        <v>0</v>
      </c>
      <c r="AA311" t="inlineStr">
        <is>
          <t>0</t>
        </is>
      </c>
      <c r="AB311" s="45" t="n">
        <v>248376</v>
      </c>
      <c r="AC311" s="45" t="n">
        <v>0</v>
      </c>
    </row>
    <row r="312">
      <c r="A312" t="inlineStr">
        <is>
          <t>PEREIRA</t>
        </is>
      </c>
      <c r="B312" t="inlineStr">
        <is>
          <t>SUROCCIDENTE Y EJE CAFETERO</t>
        </is>
      </c>
      <c r="C312" t="inlineStr">
        <is>
          <t>0004-0002</t>
        </is>
      </c>
      <c r="D312" t="inlineStr">
        <is>
          <t>66383</t>
        </is>
      </c>
      <c r="E312" t="inlineStr">
        <is>
          <t>TA-25-952505</t>
        </is>
      </c>
      <c r="F312" t="inlineStr">
        <is>
          <t>3007080946</t>
        </is>
      </c>
      <c r="G312" t="inlineStr">
        <is>
          <t>APERTURA</t>
        </is>
      </c>
      <c r="H312" t="inlineStr">
        <is>
          <t>CB CRECIMIENTO - NUEVO</t>
        </is>
      </c>
      <c r="I312" t="inlineStr">
        <is>
          <t>RISARALDA</t>
        </is>
      </c>
      <c r="J312" t="inlineStr">
        <is>
          <t>LA CELIA</t>
        </is>
      </c>
      <c r="K312" t="inlineStr">
        <is>
          <t>BARRIO CENTRO LA CELIA 7</t>
        </is>
      </c>
      <c r="L312" t="inlineStr">
        <is>
          <t>BANCOLOMBIA</t>
        </is>
      </c>
      <c r="M312" t="inlineStr">
        <is>
          <t>FO-25-1360430</t>
        </is>
      </c>
      <c r="N312" s="46" t="n">
        <v>45880.68055555555</v>
      </c>
      <c r="O312" s="46" t="n">
        <v>45882.63125</v>
      </c>
      <c r="P312" t="inlineStr">
        <is>
          <t>UNO A UNO</t>
        </is>
      </c>
      <c r="Q312" t="inlineStr">
        <is>
          <t>UNO A UNO</t>
        </is>
      </c>
      <c r="R312" t="inlineStr">
        <is>
          <t>EJECUTADO</t>
        </is>
      </c>
      <c r="S312" t="inlineStr">
        <is>
          <t>VISITA TECNICA</t>
        </is>
      </c>
      <c r="T312" t="inlineStr">
        <is>
          <t>FIZZZ328</t>
        </is>
      </c>
      <c r="U312" t="inlineStr">
        <is>
          <t>TIPO II</t>
        </is>
      </c>
      <c r="V312" t="inlineStr">
        <is>
          <t>TERRESTRE</t>
        </is>
      </c>
      <c r="W312" t="inlineStr">
        <is>
          <t>ARROYAVE CANO MANUEL GUILLERMO</t>
        </is>
      </c>
      <c r="X312" t="inlineStr">
        <is>
          <t>Si</t>
        </is>
      </c>
      <c r="Y312" t="inlineStr">
        <is>
          <t>Si</t>
        </is>
      </c>
      <c r="Z312" s="45" t="n">
        <v>0</v>
      </c>
      <c r="AA312" t="inlineStr">
        <is>
          <t>0</t>
        </is>
      </c>
      <c r="AB312" s="45" t="n">
        <v>248376</v>
      </c>
      <c r="AC312" s="45" t="n">
        <v>0</v>
      </c>
    </row>
    <row r="313">
      <c r="A313" t="inlineStr">
        <is>
          <t>BOGOTA</t>
        </is>
      </c>
      <c r="B313" t="inlineStr">
        <is>
          <t>CUNDINAMARCA</t>
        </is>
      </c>
      <c r="C313" t="inlineStr">
        <is>
          <t>0004-0004</t>
        </is>
      </c>
      <c r="D313" t="inlineStr">
        <is>
          <t>11001</t>
        </is>
      </c>
      <c r="E313" t="inlineStr">
        <is>
          <t>TA-25-952506</t>
        </is>
      </c>
      <c r="F313" t="inlineStr">
        <is>
          <t>3007080935</t>
        </is>
      </c>
      <c r="G313" t="inlineStr">
        <is>
          <t>APERTURA</t>
        </is>
      </c>
      <c r="H313" t="inlineStr">
        <is>
          <t>CB CRECIMIENTO - NUEVO</t>
        </is>
      </c>
      <c r="I313" t="inlineStr">
        <is>
          <t>CUNDINAMARCA</t>
        </is>
      </c>
      <c r="J313" t="inlineStr">
        <is>
          <t>BOGOTA</t>
        </is>
      </c>
      <c r="K313" t="inlineStr">
        <is>
          <t>BARRIO MARCO FIDEL SUAREZ BOGOTA 8</t>
        </is>
      </c>
      <c r="L313" t="inlineStr">
        <is>
          <t>BANCOLOMBIA</t>
        </is>
      </c>
      <c r="M313" t="inlineStr">
        <is>
          <t>FO-25-1360435</t>
        </is>
      </c>
      <c r="N313" s="46" t="n">
        <v>45880.68819444445</v>
      </c>
      <c r="O313" s="46" t="n">
        <v>45881.57708333333</v>
      </c>
      <c r="P313" t="inlineStr">
        <is>
          <t>UNO A UNO</t>
        </is>
      </c>
      <c r="Q313" t="inlineStr">
        <is>
          <t>UNO A UNO</t>
        </is>
      </c>
      <c r="R313" t="inlineStr">
        <is>
          <t>EJECUTADO</t>
        </is>
      </c>
      <c r="S313" t="inlineStr">
        <is>
          <t>VISITA TECNICA</t>
        </is>
      </c>
      <c r="T313" t="inlineStr">
        <is>
          <t>FIZZZ329</t>
        </is>
      </c>
      <c r="U313" t="inlineStr">
        <is>
          <t>TIPO I</t>
        </is>
      </c>
      <c r="V313" t="inlineStr">
        <is>
          <t>TERRESTRE</t>
        </is>
      </c>
      <c r="W313" t="inlineStr">
        <is>
          <t>ROMERO ROJAS BREIDY JHOHAN</t>
        </is>
      </c>
      <c r="X313" t="inlineStr">
        <is>
          <t>Si</t>
        </is>
      </c>
      <c r="Y313" t="inlineStr">
        <is>
          <t>Si</t>
        </is>
      </c>
      <c r="Z313" s="45" t="n">
        <v>0</v>
      </c>
      <c r="AA313" t="inlineStr">
        <is>
          <t>0</t>
        </is>
      </c>
      <c r="AB313" s="45" t="n">
        <v>194983</v>
      </c>
      <c r="AC313" s="45" t="n">
        <v>0</v>
      </c>
    </row>
    <row r="314">
      <c r="A314" t="inlineStr">
        <is>
          <t>BUCARAMANGA</t>
        </is>
      </c>
      <c r="B314" t="inlineStr">
        <is>
          <t>SANTANDERES</t>
        </is>
      </c>
      <c r="C314" t="inlineStr">
        <is>
          <t>0004-0008</t>
        </is>
      </c>
      <c r="D314" t="inlineStr">
        <is>
          <t>68418</t>
        </is>
      </c>
      <c r="E314" t="inlineStr">
        <is>
          <t>TA-25-952507</t>
        </is>
      </c>
      <c r="F314" t="inlineStr">
        <is>
          <t>3007080948</t>
        </is>
      </c>
      <c r="G314" t="inlineStr">
        <is>
          <t>APERTURA</t>
        </is>
      </c>
      <c r="H314" t="inlineStr">
        <is>
          <t>CB CRECIMIENTO - NUEVO</t>
        </is>
      </c>
      <c r="I314" t="inlineStr">
        <is>
          <t>SANTANDER</t>
        </is>
      </c>
      <c r="J314" t="inlineStr">
        <is>
          <t>LOS SANTOS</t>
        </is>
      </c>
      <c r="K314" t="inlineStr">
        <is>
          <t>BARRIO LOS SANTOS LOS SANTOS 1</t>
        </is>
      </c>
      <c r="L314" t="inlineStr">
        <is>
          <t>BANCOLOMBIA</t>
        </is>
      </c>
      <c r="M314" t="inlineStr">
        <is>
          <t>FO-25-1360440</t>
        </is>
      </c>
      <c r="N314" s="46" t="n">
        <v>45880.62847222222</v>
      </c>
      <c r="O314" s="46" t="n">
        <v>45881.65902777778</v>
      </c>
      <c r="P314" t="inlineStr">
        <is>
          <t>UNO A UNO</t>
        </is>
      </c>
      <c r="Q314" t="inlineStr">
        <is>
          <t>UNO A UNO</t>
        </is>
      </c>
      <c r="R314" t="inlineStr">
        <is>
          <t>EJECUTADO</t>
        </is>
      </c>
      <c r="S314" t="inlineStr">
        <is>
          <t>VISITA TECNICA</t>
        </is>
      </c>
      <c r="T314" t="inlineStr">
        <is>
          <t>FIZZZ330</t>
        </is>
      </c>
      <c r="U314" t="inlineStr">
        <is>
          <t>TIPO II</t>
        </is>
      </c>
      <c r="V314" t="inlineStr">
        <is>
          <t>TERRESTRE</t>
        </is>
      </c>
      <c r="W314" t="inlineStr">
        <is>
          <t>GONZALEZ ESTUPIÑAN YEISON WALTER ANTONIO</t>
        </is>
      </c>
      <c r="X314" t="inlineStr">
        <is>
          <t>Si</t>
        </is>
      </c>
      <c r="Y314" t="inlineStr">
        <is>
          <t>Si</t>
        </is>
      </c>
      <c r="Z314" s="45" t="n">
        <v>0</v>
      </c>
      <c r="AA314" t="inlineStr">
        <is>
          <t>0</t>
        </is>
      </c>
      <c r="AB314" s="45" t="n">
        <v>248376</v>
      </c>
      <c r="AC314" s="45" t="n">
        <v>0</v>
      </c>
    </row>
    <row r="315">
      <c r="A315" t="inlineStr">
        <is>
          <t>IBAGUE</t>
        </is>
      </c>
      <c r="B315" t="inlineStr">
        <is>
          <t>REMOTAS</t>
        </is>
      </c>
      <c r="C315" t="inlineStr">
        <is>
          <t>0004-0007</t>
        </is>
      </c>
      <c r="D315" t="inlineStr">
        <is>
          <t>73001</t>
        </is>
      </c>
      <c r="E315" t="inlineStr">
        <is>
          <t>TA-25-952508</t>
        </is>
      </c>
      <c r="F315" t="inlineStr">
        <is>
          <t>3007080945</t>
        </is>
      </c>
      <c r="G315" t="inlineStr">
        <is>
          <t>APERTURA</t>
        </is>
      </c>
      <c r="H315" t="inlineStr">
        <is>
          <t>CB CRECIMIENTO - NUEVO</t>
        </is>
      </c>
      <c r="I315" t="inlineStr">
        <is>
          <t>TOLIMA</t>
        </is>
      </c>
      <c r="J315" t="inlineStr">
        <is>
          <t>IBAGUE</t>
        </is>
      </c>
      <c r="K315" t="inlineStr">
        <is>
          <t>BARRIO LA POLA IBAGUE 7</t>
        </is>
      </c>
      <c r="L315" t="inlineStr">
        <is>
          <t>BANCOLOMBIA</t>
        </is>
      </c>
      <c r="M315" t="inlineStr">
        <is>
          <t>FO-25-1360444</t>
        </is>
      </c>
      <c r="N315" s="46" t="n">
        <v>45880.68888888889</v>
      </c>
      <c r="O315" s="46" t="n">
        <v>45882.3125</v>
      </c>
      <c r="P315" t="inlineStr">
        <is>
          <t>UNO A UNO</t>
        </is>
      </c>
      <c r="Q315" t="inlineStr">
        <is>
          <t>UNO A UNO</t>
        </is>
      </c>
      <c r="R315" t="inlineStr">
        <is>
          <t>EJECUTADO</t>
        </is>
      </c>
      <c r="S315" t="inlineStr">
        <is>
          <t>VISITA TECNICA</t>
        </is>
      </c>
      <c r="T315" t="inlineStr">
        <is>
          <t>FIZZZ331</t>
        </is>
      </c>
      <c r="U315" t="inlineStr">
        <is>
          <t>TIPO I</t>
        </is>
      </c>
      <c r="V315" t="inlineStr">
        <is>
          <t>TERRESTRE</t>
        </is>
      </c>
      <c r="W315" t="inlineStr">
        <is>
          <t>BARRAGAN TAFUR EDWIN ESTEBAN</t>
        </is>
      </c>
      <c r="X315" t="inlineStr">
        <is>
          <t>Si</t>
        </is>
      </c>
      <c r="Y315" t="inlineStr">
        <is>
          <t>Si</t>
        </is>
      </c>
      <c r="Z315" s="45" t="n">
        <v>0</v>
      </c>
      <c r="AA315" t="inlineStr">
        <is>
          <t>0</t>
        </is>
      </c>
      <c r="AB315" s="45" t="n">
        <v>194983</v>
      </c>
      <c r="AC315" s="45" t="n">
        <v>0</v>
      </c>
    </row>
    <row r="316">
      <c r="A316" t="inlineStr">
        <is>
          <t>VILLAVICENCIO</t>
        </is>
      </c>
      <c r="B316" t="inlineStr">
        <is>
          <t>REMOTAS</t>
        </is>
      </c>
      <c r="C316" t="inlineStr">
        <is>
          <t>0004-0007</t>
        </is>
      </c>
      <c r="D316" t="inlineStr">
        <is>
          <t>50001</t>
        </is>
      </c>
      <c r="E316" t="inlineStr">
        <is>
          <t>TA-25-952514</t>
        </is>
      </c>
      <c r="F316" t="inlineStr">
        <is>
          <t>3007080923</t>
        </is>
      </c>
      <c r="G316" t="inlineStr">
        <is>
          <t>APERTURA</t>
        </is>
      </c>
      <c r="H316" t="inlineStr">
        <is>
          <t>CB CRECIMIENTO - OTRAS LISTAS</t>
        </is>
      </c>
      <c r="I316" t="inlineStr">
        <is>
          <t>META</t>
        </is>
      </c>
      <c r="J316" t="inlineStr">
        <is>
          <t>VILLAVICENCIO</t>
        </is>
      </c>
      <c r="K316" t="inlineStr">
        <is>
          <t>BARRIO ACAPULCO VILLAVICENCIO 2</t>
        </is>
      </c>
      <c r="L316" t="inlineStr">
        <is>
          <t>BANCOLOMBIA</t>
        </is>
      </c>
      <c r="M316" t="inlineStr">
        <is>
          <t>FO-25-1360451</t>
        </is>
      </c>
      <c r="N316" s="46" t="n">
        <v>45880.68888888889</v>
      </c>
      <c r="O316" s="46" t="n">
        <v>45882.63263888889</v>
      </c>
      <c r="P316" t="inlineStr">
        <is>
          <t>UNO A UNO</t>
        </is>
      </c>
      <c r="Q316" t="inlineStr">
        <is>
          <t>UNO A UNO</t>
        </is>
      </c>
      <c r="R316" t="inlineStr">
        <is>
          <t>EJECUTADO</t>
        </is>
      </c>
      <c r="S316" t="inlineStr">
        <is>
          <t>VISITA TECNICA</t>
        </is>
      </c>
      <c r="T316" t="inlineStr">
        <is>
          <t>FIZZZ333</t>
        </is>
      </c>
      <c r="U316" t="inlineStr">
        <is>
          <t>TIPO I</t>
        </is>
      </c>
      <c r="V316" t="inlineStr">
        <is>
          <t>TERRESTRE</t>
        </is>
      </c>
      <c r="W316" t="inlineStr">
        <is>
          <t>PEDREROS CONTRERAS MICHAEL STEVENS</t>
        </is>
      </c>
      <c r="X316" t="inlineStr">
        <is>
          <t>Si</t>
        </is>
      </c>
      <c r="Y316" t="inlineStr">
        <is>
          <t>Si</t>
        </is>
      </c>
      <c r="Z316" s="45" t="n">
        <v>0</v>
      </c>
      <c r="AA316" t="inlineStr">
        <is>
          <t>0</t>
        </is>
      </c>
      <c r="AB316" s="45" t="n">
        <v>194983</v>
      </c>
      <c r="AC316" s="45" t="n">
        <v>0</v>
      </c>
    </row>
    <row r="317">
      <c r="A317" t="inlineStr">
        <is>
          <t>MEDELLIN</t>
        </is>
      </c>
      <c r="B317" t="inlineStr">
        <is>
          <t>NOROCCIDENTE</t>
        </is>
      </c>
      <c r="C317" t="inlineStr">
        <is>
          <t>0004-0005</t>
        </is>
      </c>
      <c r="D317" t="inlineStr">
        <is>
          <t>5001</t>
        </is>
      </c>
      <c r="E317" t="inlineStr">
        <is>
          <t>TA-25-969495</t>
        </is>
      </c>
      <c r="F317" t="inlineStr">
        <is>
          <t>3007081036</t>
        </is>
      </c>
      <c r="G317" t="inlineStr">
        <is>
          <t>APERTURA</t>
        </is>
      </c>
      <c r="H317" t="inlineStr">
        <is>
          <t>CB CRECIMIENTO ALIANZA - NUEVO</t>
        </is>
      </c>
      <c r="I317" t="inlineStr">
        <is>
          <t>ANTIOQUIA</t>
        </is>
      </c>
      <c r="J317" t="inlineStr">
        <is>
          <t>MEDELLIN</t>
        </is>
      </c>
      <c r="K317" t="inlineStr">
        <is>
          <t>DISTRICOL PET SHOP MI TAPITO</t>
        </is>
      </c>
      <c r="L317" t="inlineStr">
        <is>
          <t>BANCOLOMBIA</t>
        </is>
      </c>
      <c r="M317" t="inlineStr">
        <is>
          <t>FO-25-1371520</t>
        </is>
      </c>
      <c r="N317" s="46" t="n">
        <v>45882.69861111111</v>
      </c>
      <c r="O317" s="46" t="n">
        <v>45883.50763888889</v>
      </c>
      <c r="P317" t="inlineStr">
        <is>
          <t>AGREGADOR</t>
        </is>
      </c>
      <c r="Q317" t="inlineStr">
        <is>
          <t>DISTRICOL</t>
        </is>
      </c>
      <c r="R317" t="inlineStr">
        <is>
          <t>EJECUTADO</t>
        </is>
      </c>
      <c r="S317" t="inlineStr">
        <is>
          <t>VISITA TECNICA</t>
        </is>
      </c>
      <c r="T317" t="inlineStr">
        <is>
          <t>FJZZZ887</t>
        </is>
      </c>
      <c r="U317" t="inlineStr">
        <is>
          <t>TIPO I</t>
        </is>
      </c>
      <c r="V317" t="inlineStr">
        <is>
          <t>TERRESTRE</t>
        </is>
      </c>
      <c r="W317" t="inlineStr">
        <is>
          <t>PAREJA ECHAVARRIA JHON DAVID</t>
        </is>
      </c>
      <c r="X317" t="inlineStr">
        <is>
          <t>Si</t>
        </is>
      </c>
      <c r="Y317" t="inlineStr">
        <is>
          <t>Si</t>
        </is>
      </c>
      <c r="Z317" s="45" t="n">
        <v>0</v>
      </c>
      <c r="AA317" t="inlineStr">
        <is>
          <t>0</t>
        </is>
      </c>
      <c r="AB317" s="45" t="n">
        <v>194983</v>
      </c>
      <c r="AC317" s="45" t="n">
        <v>0</v>
      </c>
    </row>
    <row r="318">
      <c r="A318" t="inlineStr">
        <is>
          <t>MEDELLIN</t>
        </is>
      </c>
      <c r="B318" t="inlineStr">
        <is>
          <t>NOROCCIDENTE</t>
        </is>
      </c>
      <c r="C318" t="inlineStr">
        <is>
          <t>0004-0005</t>
        </is>
      </c>
      <c r="D318" t="inlineStr">
        <is>
          <t>5001</t>
        </is>
      </c>
      <c r="E318" t="inlineStr">
        <is>
          <t>TA-25-969518</t>
        </is>
      </c>
      <c r="F318" t="inlineStr">
        <is>
          <t>3007081037</t>
        </is>
      </c>
      <c r="G318" t="inlineStr">
        <is>
          <t>APERTURA</t>
        </is>
      </c>
      <c r="H318" t="inlineStr">
        <is>
          <t>CB CRECIMIENTO ALIANZA - NUEVO</t>
        </is>
      </c>
      <c r="I318" t="inlineStr">
        <is>
          <t>ANTIOQUIA</t>
        </is>
      </c>
      <c r="J318" t="inlineStr">
        <is>
          <t>MEDELLIN</t>
        </is>
      </c>
      <c r="K318" t="inlineStr">
        <is>
          <t>DISTRICOL LA VIÑA JCI</t>
        </is>
      </c>
      <c r="L318" t="inlineStr">
        <is>
          <t>BANCOLOMBIA</t>
        </is>
      </c>
      <c r="M318" t="inlineStr">
        <is>
          <t>FO-25-1371529</t>
        </is>
      </c>
      <c r="N318" s="46" t="n">
        <v>45882.69861111111</v>
      </c>
      <c r="O318" s="46" t="n">
        <v>45883.67291666667</v>
      </c>
      <c r="P318" t="inlineStr">
        <is>
          <t>AGREGADOR</t>
        </is>
      </c>
      <c r="Q318" t="inlineStr">
        <is>
          <t>DISTRICOL</t>
        </is>
      </c>
      <c r="R318" t="inlineStr">
        <is>
          <t>EJECUTADO</t>
        </is>
      </c>
      <c r="S318" t="inlineStr">
        <is>
          <t>VISITA TECNICA</t>
        </is>
      </c>
      <c r="T318" t="inlineStr">
        <is>
          <t>FJZZZ888</t>
        </is>
      </c>
      <c r="U318" t="inlineStr">
        <is>
          <t>TIPO I</t>
        </is>
      </c>
      <c r="V318" t="inlineStr">
        <is>
          <t>TERRESTRE</t>
        </is>
      </c>
      <c r="W318" t="inlineStr">
        <is>
          <t>PAREJA ECHAVARRIA JHON DAVID</t>
        </is>
      </c>
      <c r="X318" t="inlineStr">
        <is>
          <t>Si</t>
        </is>
      </c>
      <c r="Y318" t="inlineStr">
        <is>
          <t>Si</t>
        </is>
      </c>
      <c r="Z318" s="45" t="n">
        <v>0</v>
      </c>
      <c r="AA318" t="inlineStr">
        <is>
          <t>0</t>
        </is>
      </c>
      <c r="AB318" s="45" t="n">
        <v>194983</v>
      </c>
      <c r="AC318" s="45" t="n">
        <v>0</v>
      </c>
    </row>
    <row r="319">
      <c r="A319" t="inlineStr">
        <is>
          <t>MEDELLIN</t>
        </is>
      </c>
      <c r="B319" t="inlineStr">
        <is>
          <t>NOROCCIDENTE</t>
        </is>
      </c>
      <c r="C319" t="inlineStr">
        <is>
          <t>0004-0005</t>
        </is>
      </c>
      <c r="D319" t="inlineStr">
        <is>
          <t>5001</t>
        </is>
      </c>
      <c r="E319" t="inlineStr">
        <is>
          <t>TA-25-969535</t>
        </is>
      </c>
      <c r="F319" t="inlineStr">
        <is>
          <t>3007081038</t>
        </is>
      </c>
      <c r="G319" t="inlineStr">
        <is>
          <t>APERTURA</t>
        </is>
      </c>
      <c r="H319" t="inlineStr">
        <is>
          <t>CB CRECIMIENTO ALIANZA - NUEVO</t>
        </is>
      </c>
      <c r="I319" t="inlineStr">
        <is>
          <t>ANTIOQUIA</t>
        </is>
      </c>
      <c r="J319" t="inlineStr">
        <is>
          <t>MEDELLIN</t>
        </is>
      </c>
      <c r="K319" t="inlineStr">
        <is>
          <t>DISTRICOL EDEMAT GROUP S.A.S.</t>
        </is>
      </c>
      <c r="L319" t="inlineStr">
        <is>
          <t>BANCOLOMBIA</t>
        </is>
      </c>
      <c r="M319" t="inlineStr">
        <is>
          <t>FO-25-1371534</t>
        </is>
      </c>
      <c r="N319" s="46" t="n">
        <v>45882.69930555556</v>
      </c>
      <c r="O319" s="46" t="n">
        <v>45884.57222222222</v>
      </c>
      <c r="P319" t="inlineStr">
        <is>
          <t>AGREGADOR</t>
        </is>
      </c>
      <c r="Q319" t="inlineStr">
        <is>
          <t>DISTRICOL</t>
        </is>
      </c>
      <c r="R319" t="inlineStr">
        <is>
          <t>EJECUTADO</t>
        </is>
      </c>
      <c r="S319" t="inlineStr">
        <is>
          <t>VISITA TECNICA</t>
        </is>
      </c>
      <c r="T319" t="inlineStr">
        <is>
          <t>FJZZZ889</t>
        </is>
      </c>
      <c r="U319" t="inlineStr">
        <is>
          <t>TIPO I</t>
        </is>
      </c>
      <c r="V319" t="inlineStr">
        <is>
          <t>TERRESTRE</t>
        </is>
      </c>
      <c r="W319" t="inlineStr">
        <is>
          <t>BADEL ACUÑA LUIS ALBERTO</t>
        </is>
      </c>
      <c r="X319" t="inlineStr">
        <is>
          <t>Si</t>
        </is>
      </c>
      <c r="Y319" t="inlineStr">
        <is>
          <t>Si</t>
        </is>
      </c>
      <c r="Z319" s="45" t="n">
        <v>0</v>
      </c>
      <c r="AA319" t="inlineStr">
        <is>
          <t>0</t>
        </is>
      </c>
      <c r="AB319" s="45" t="n">
        <v>194983</v>
      </c>
      <c r="AC319" s="45" t="n">
        <v>0</v>
      </c>
    </row>
    <row r="320">
      <c r="A320" t="inlineStr">
        <is>
          <t>MEDELLIN</t>
        </is>
      </c>
      <c r="B320" t="inlineStr">
        <is>
          <t>NOROCCIDENTE</t>
        </is>
      </c>
      <c r="C320" t="inlineStr">
        <is>
          <t>0004-0005</t>
        </is>
      </c>
      <c r="D320" t="inlineStr">
        <is>
          <t>5001</t>
        </is>
      </c>
      <c r="E320" t="inlineStr">
        <is>
          <t>TA-25-969537</t>
        </is>
      </c>
      <c r="F320" t="inlineStr">
        <is>
          <t>3007081039</t>
        </is>
      </c>
      <c r="G320" t="inlineStr">
        <is>
          <t>APERTURA</t>
        </is>
      </c>
      <c r="H320" t="inlineStr">
        <is>
          <t>CB CRECIMIENTO ALIANZA - NUEVO</t>
        </is>
      </c>
      <c r="I320" t="inlineStr">
        <is>
          <t>ANTIOQUIA</t>
        </is>
      </c>
      <c r="J320" t="inlineStr">
        <is>
          <t>MEDELLIN</t>
        </is>
      </c>
      <c r="K320" t="inlineStr">
        <is>
          <t>DISTRICOL CARNES LAS MERCEDES</t>
        </is>
      </c>
      <c r="L320" t="inlineStr">
        <is>
          <t>BANCOLOMBIA</t>
        </is>
      </c>
      <c r="M320" t="inlineStr">
        <is>
          <t>FO-25-1371536</t>
        </is>
      </c>
      <c r="N320" s="46" t="n">
        <v>45882.69930555556</v>
      </c>
      <c r="O320" s="46" t="n">
        <v>45884.63680555556</v>
      </c>
      <c r="P320" t="inlineStr">
        <is>
          <t>AGREGADOR</t>
        </is>
      </c>
      <c r="Q320" t="inlineStr">
        <is>
          <t>DISTRICOL</t>
        </is>
      </c>
      <c r="R320" t="inlineStr">
        <is>
          <t>EJECUTADO</t>
        </is>
      </c>
      <c r="S320" t="inlineStr">
        <is>
          <t>VISITA TECNICA</t>
        </is>
      </c>
      <c r="T320" t="inlineStr">
        <is>
          <t>FJZZZ890</t>
        </is>
      </c>
      <c r="U320" t="inlineStr">
        <is>
          <t>TIPO I</t>
        </is>
      </c>
      <c r="V320" t="inlineStr">
        <is>
          <t>TERRESTRE</t>
        </is>
      </c>
      <c r="W320" t="inlineStr">
        <is>
          <t>BADEL ACUÑA LUIS ALBERTO</t>
        </is>
      </c>
      <c r="X320" t="inlineStr">
        <is>
          <t>Si</t>
        </is>
      </c>
      <c r="Y320" t="inlineStr">
        <is>
          <t>Si</t>
        </is>
      </c>
      <c r="Z320" s="45" t="n">
        <v>0</v>
      </c>
      <c r="AA320" t="inlineStr">
        <is>
          <t>0</t>
        </is>
      </c>
      <c r="AB320" s="45" t="n">
        <v>194983</v>
      </c>
      <c r="AC320" s="45" t="n">
        <v>0</v>
      </c>
    </row>
    <row r="321">
      <c r="A321" t="inlineStr">
        <is>
          <t>MEDELLIN</t>
        </is>
      </c>
      <c r="B321" t="inlineStr">
        <is>
          <t>NOROCCIDENTE</t>
        </is>
      </c>
      <c r="C321" t="inlineStr">
        <is>
          <t>0004-0005</t>
        </is>
      </c>
      <c r="D321" t="inlineStr">
        <is>
          <t>5001</t>
        </is>
      </c>
      <c r="E321" t="inlineStr">
        <is>
          <t>TA-25-969539</t>
        </is>
      </c>
      <c r="F321" t="inlineStr">
        <is>
          <t>3007081040</t>
        </is>
      </c>
      <c r="G321" t="inlineStr">
        <is>
          <t>APERTURA</t>
        </is>
      </c>
      <c r="H321" t="inlineStr">
        <is>
          <t>CB CRECIMIENTO ALIANZA - NUEVO</t>
        </is>
      </c>
      <c r="I321" t="inlineStr">
        <is>
          <t>ANTIOQUIA</t>
        </is>
      </c>
      <c r="J321" t="inlineStr">
        <is>
          <t>MEDELLIN</t>
        </is>
      </c>
      <c r="K321" t="inlineStr">
        <is>
          <t>DISTRICOL PC BELEN 76</t>
        </is>
      </c>
      <c r="L321" t="inlineStr">
        <is>
          <t>BANCOLOMBIA</t>
        </is>
      </c>
      <c r="M321" t="inlineStr">
        <is>
          <t>FO-25-1371538</t>
        </is>
      </c>
      <c r="N321" s="46" t="n">
        <v>45882.69930555556</v>
      </c>
      <c r="O321" s="46" t="n">
        <v>45883.54861111111</v>
      </c>
      <c r="P321" t="inlineStr">
        <is>
          <t>AGREGADOR</t>
        </is>
      </c>
      <c r="Q321" t="inlineStr">
        <is>
          <t>DISTRICOL</t>
        </is>
      </c>
      <c r="R321" t="inlineStr">
        <is>
          <t>EJECUTADO</t>
        </is>
      </c>
      <c r="S321" t="inlineStr">
        <is>
          <t>VISITA TECNICA</t>
        </is>
      </c>
      <c r="T321" t="inlineStr">
        <is>
          <t>FJZZZ891</t>
        </is>
      </c>
      <c r="U321" t="inlineStr">
        <is>
          <t>TIPO I</t>
        </is>
      </c>
      <c r="V321" t="inlineStr">
        <is>
          <t>TERRESTRE</t>
        </is>
      </c>
      <c r="W321" t="inlineStr">
        <is>
          <t>BADEL ACUÑA LUIS ALBERTO</t>
        </is>
      </c>
      <c r="X321" t="inlineStr">
        <is>
          <t>Si</t>
        </is>
      </c>
      <c r="Y321" t="inlineStr">
        <is>
          <t>Si</t>
        </is>
      </c>
      <c r="Z321" s="45" t="n">
        <v>0</v>
      </c>
      <c r="AA321" t="inlineStr">
        <is>
          <t>0</t>
        </is>
      </c>
      <c r="AB321" s="45" t="n">
        <v>194983</v>
      </c>
      <c r="AC321" s="45" t="n">
        <v>0</v>
      </c>
    </row>
    <row r="322">
      <c r="A322" t="inlineStr">
        <is>
          <t>MEDELLIN</t>
        </is>
      </c>
      <c r="B322" t="inlineStr">
        <is>
          <t>NOROCCIDENTE</t>
        </is>
      </c>
      <c r="C322" t="inlineStr">
        <is>
          <t>0004-0005</t>
        </is>
      </c>
      <c r="D322" t="inlineStr">
        <is>
          <t>5001</t>
        </is>
      </c>
      <c r="E322" t="inlineStr">
        <is>
          <t>TA-25-969540</t>
        </is>
      </c>
      <c r="F322" t="inlineStr">
        <is>
          <t>3007081041</t>
        </is>
      </c>
      <c r="G322" t="inlineStr">
        <is>
          <t>APERTURA</t>
        </is>
      </c>
      <c r="H322" t="inlineStr">
        <is>
          <t>CB CRECIMIENTO ALIANZA - NUEVO</t>
        </is>
      </c>
      <c r="I322" t="inlineStr">
        <is>
          <t>ANTIOQUIA</t>
        </is>
      </c>
      <c r="J322" t="inlineStr">
        <is>
          <t>MEDELLIN</t>
        </is>
      </c>
      <c r="K322" t="inlineStr">
        <is>
          <t>PTM MEDELLIN AUTOSERVICIO LA P</t>
        </is>
      </c>
      <c r="L322" t="inlineStr">
        <is>
          <t>BANCOLOMBIA</t>
        </is>
      </c>
      <c r="M322" t="inlineStr">
        <is>
          <t>FO-25-1371541</t>
        </is>
      </c>
      <c r="N322" s="46" t="n">
        <v>45882.69930555556</v>
      </c>
      <c r="O322" s="46" t="n">
        <v>45884.57569444444</v>
      </c>
      <c r="P322" t="inlineStr">
        <is>
          <t>AGREGADOR</t>
        </is>
      </c>
      <c r="Q322" t="inlineStr">
        <is>
          <t>COMCARD - PTM</t>
        </is>
      </c>
      <c r="R322" t="inlineStr">
        <is>
          <t>EJECUTADO</t>
        </is>
      </c>
      <c r="S322" t="inlineStr">
        <is>
          <t>VISITA TECNICA</t>
        </is>
      </c>
      <c r="T322" t="inlineStr">
        <is>
          <t>FJZZZ892 - FJZZZ470</t>
        </is>
      </c>
      <c r="U322" t="inlineStr">
        <is>
          <t>TIPO I</t>
        </is>
      </c>
      <c r="V322" t="inlineStr">
        <is>
          <t>TERRESTRE</t>
        </is>
      </c>
      <c r="W322" t="inlineStr">
        <is>
          <t>CASTAÑEDA PALACIO CARLOS FELIPE</t>
        </is>
      </c>
      <c r="X322" t="inlineStr">
        <is>
          <t>Si</t>
        </is>
      </c>
      <c r="Y322" t="inlineStr">
        <is>
          <t>Si</t>
        </is>
      </c>
      <c r="Z322" s="45" t="n">
        <v>0</v>
      </c>
      <c r="AA322" t="inlineStr">
        <is>
          <t>0</t>
        </is>
      </c>
      <c r="AB322" s="45" t="n">
        <v>194983</v>
      </c>
      <c r="AC322" s="45" t="n">
        <v>0</v>
      </c>
    </row>
    <row r="323">
      <c r="A323" t="inlineStr">
        <is>
          <t>MEDELLIN</t>
        </is>
      </c>
      <c r="B323" t="inlineStr">
        <is>
          <t>NOROCCIDENTE</t>
        </is>
      </c>
      <c r="C323" t="inlineStr">
        <is>
          <t>0004-0005</t>
        </is>
      </c>
      <c r="D323" t="inlineStr">
        <is>
          <t>5001</t>
        </is>
      </c>
      <c r="E323" t="inlineStr">
        <is>
          <t>TA-25-969541</t>
        </is>
      </c>
      <c r="F323" t="inlineStr">
        <is>
          <t>3007081042</t>
        </is>
      </c>
      <c r="G323" t="inlineStr">
        <is>
          <t>APERTURA</t>
        </is>
      </c>
      <c r="H323" t="inlineStr">
        <is>
          <t>CB CRECIMIENTO ALIANZA - NUEVO</t>
        </is>
      </c>
      <c r="I323" t="inlineStr">
        <is>
          <t>ANTIOQUIA</t>
        </is>
      </c>
      <c r="J323" t="inlineStr">
        <is>
          <t>MEDELLIN</t>
        </is>
      </c>
      <c r="K323" t="inlineStr">
        <is>
          <t>PTM MEDELLIN AJN TRAVEL</t>
        </is>
      </c>
      <c r="L323" t="inlineStr">
        <is>
          <t>BANCOLOMBIA</t>
        </is>
      </c>
      <c r="M323" t="inlineStr">
        <is>
          <t>FO-25-1371543</t>
        </is>
      </c>
      <c r="N323" s="46" t="n">
        <v>45882.69930555556</v>
      </c>
      <c r="O323" s="46" t="n">
        <v>45884.30277777778</v>
      </c>
      <c r="P323" t="inlineStr">
        <is>
          <t>AGREGADOR</t>
        </is>
      </c>
      <c r="Q323" t="inlineStr">
        <is>
          <t>COMCARD - PTM</t>
        </is>
      </c>
      <c r="R323" t="inlineStr">
        <is>
          <t>EJECUTADO</t>
        </is>
      </c>
      <c r="S323" t="inlineStr">
        <is>
          <t>VISITA TECNICA</t>
        </is>
      </c>
      <c r="T323" t="inlineStr">
        <is>
          <t>FJZZZ893-FJZZZ471</t>
        </is>
      </c>
      <c r="U323" t="inlineStr">
        <is>
          <t>TIPO I</t>
        </is>
      </c>
      <c r="V323" t="inlineStr">
        <is>
          <t>TERRESTRE</t>
        </is>
      </c>
      <c r="W323" t="inlineStr">
        <is>
          <t>BADEL ACUÑA LUIS ALBERTO</t>
        </is>
      </c>
      <c r="X323" t="inlineStr">
        <is>
          <t>Si</t>
        </is>
      </c>
      <c r="Y323" t="inlineStr">
        <is>
          <t>Si</t>
        </is>
      </c>
      <c r="Z323" s="45" t="n">
        <v>0</v>
      </c>
      <c r="AA323" t="inlineStr">
        <is>
          <t>0</t>
        </is>
      </c>
      <c r="AB323" s="45" t="n">
        <v>194983</v>
      </c>
      <c r="AC323" s="45" t="n">
        <v>0</v>
      </c>
    </row>
    <row r="324">
      <c r="A324" t="inlineStr">
        <is>
          <t>MEDELLIN</t>
        </is>
      </c>
      <c r="B324" t="inlineStr">
        <is>
          <t>NOROCCIDENTE</t>
        </is>
      </c>
      <c r="C324" t="inlineStr">
        <is>
          <t>0004-0005</t>
        </is>
      </c>
      <c r="D324" t="inlineStr">
        <is>
          <t>5001</t>
        </is>
      </c>
      <c r="E324" t="inlineStr">
        <is>
          <t>TA-25-969543</t>
        </is>
      </c>
      <c r="F324" t="inlineStr">
        <is>
          <t>3007081043</t>
        </is>
      </c>
      <c r="G324" t="inlineStr">
        <is>
          <t>APERTURA</t>
        </is>
      </c>
      <c r="H324" t="inlineStr">
        <is>
          <t>CB CRECIMIENTO ALIANZA - NUEVO</t>
        </is>
      </c>
      <c r="I324" t="inlineStr">
        <is>
          <t>ANTIOQUIA</t>
        </is>
      </c>
      <c r="J324" t="inlineStr">
        <is>
          <t>MEDELLIN</t>
        </is>
      </c>
      <c r="K324" t="inlineStr">
        <is>
          <t>PTM MEDELLIN MISCELANEA LA TAT</t>
        </is>
      </c>
      <c r="L324" t="inlineStr">
        <is>
          <t>BANCOLOMBIA</t>
        </is>
      </c>
      <c r="M324" t="inlineStr">
        <is>
          <t>FO-25-1371545</t>
        </is>
      </c>
      <c r="N324" s="46" t="n">
        <v>45882.69930555556</v>
      </c>
      <c r="O324" s="46" t="n">
        <v>45884.57777777778</v>
      </c>
      <c r="P324" t="inlineStr">
        <is>
          <t>AGREGADOR</t>
        </is>
      </c>
      <c r="Q324" t="inlineStr">
        <is>
          <t>COMCARD - PTM</t>
        </is>
      </c>
      <c r="R324" t="inlineStr">
        <is>
          <t>EJECUTADO</t>
        </is>
      </c>
      <c r="S324" t="inlineStr">
        <is>
          <t>VISITA TECNICA</t>
        </is>
      </c>
      <c r="T324" t="inlineStr">
        <is>
          <t>FJZZZ894 - FJZZZ472</t>
        </is>
      </c>
      <c r="U324" t="inlineStr">
        <is>
          <t>TIPO I</t>
        </is>
      </c>
      <c r="V324" t="inlineStr">
        <is>
          <t>TERRESTRE</t>
        </is>
      </c>
      <c r="W324" t="inlineStr">
        <is>
          <t>MARTINEZ TOVAR OSCAR DAVID</t>
        </is>
      </c>
      <c r="X324" t="inlineStr">
        <is>
          <t>Si</t>
        </is>
      </c>
      <c r="Y324" t="inlineStr">
        <is>
          <t>Si</t>
        </is>
      </c>
      <c r="Z324" s="45" t="n">
        <v>0</v>
      </c>
      <c r="AA324" t="inlineStr">
        <is>
          <t>0</t>
        </is>
      </c>
      <c r="AB324" s="45" t="n">
        <v>194983</v>
      </c>
      <c r="AC324" s="45" t="n">
        <v>0</v>
      </c>
    </row>
    <row r="325">
      <c r="A325" t="inlineStr">
        <is>
          <t>MEDELLIN</t>
        </is>
      </c>
      <c r="B325" t="inlineStr">
        <is>
          <t>NOROCCIDENTE</t>
        </is>
      </c>
      <c r="C325" t="inlineStr">
        <is>
          <t>0004-0005</t>
        </is>
      </c>
      <c r="D325" t="inlineStr">
        <is>
          <t>5088</t>
        </is>
      </c>
      <c r="E325" t="inlineStr">
        <is>
          <t>TA-25-969547</t>
        </is>
      </c>
      <c r="F325" t="inlineStr">
        <is>
          <t>3007081032</t>
        </is>
      </c>
      <c r="G325" t="inlineStr">
        <is>
          <t>APERTURA</t>
        </is>
      </c>
      <c r="H325" t="inlineStr">
        <is>
          <t>CB CRECIMIENTO ALIANZA - NUEVO</t>
        </is>
      </c>
      <c r="I325" t="inlineStr">
        <is>
          <t>ANTIOQUIA</t>
        </is>
      </c>
      <c r="J325" t="inlineStr">
        <is>
          <t>BELLO</t>
        </is>
      </c>
      <c r="K325" t="inlineStr">
        <is>
          <t>PTM BELLO MISCELANEA SOLUCION</t>
        </is>
      </c>
      <c r="L325" t="inlineStr">
        <is>
          <t>BANCOLOMBIA</t>
        </is>
      </c>
      <c r="M325" t="inlineStr">
        <is>
          <t>FO-25-1371547</t>
        </is>
      </c>
      <c r="N325" s="46" t="n">
        <v>45882.69930555556</v>
      </c>
      <c r="O325" s="46" t="n">
        <v>45885.30416666667</v>
      </c>
      <c r="P325" t="inlineStr">
        <is>
          <t>AGREGADOR</t>
        </is>
      </c>
      <c r="Q325" t="inlineStr">
        <is>
          <t>COMCARD - PTM</t>
        </is>
      </c>
      <c r="R325" t="inlineStr">
        <is>
          <t>EJECUTADO</t>
        </is>
      </c>
      <c r="S325" t="inlineStr">
        <is>
          <t>VISITA TECNICA</t>
        </is>
      </c>
      <c r="T325" t="inlineStr">
        <is>
          <t>FJZZZ491 - FJZZZ895</t>
        </is>
      </c>
      <c r="U325" t="inlineStr">
        <is>
          <t>TIPO I</t>
        </is>
      </c>
      <c r="V325" t="inlineStr">
        <is>
          <t>TERRESTRE</t>
        </is>
      </c>
      <c r="W325" t="inlineStr">
        <is>
          <t>MARTINEZ TOVAR OSCAR DAVID</t>
        </is>
      </c>
      <c r="X325" t="inlineStr">
        <is>
          <t>Si</t>
        </is>
      </c>
      <c r="Y325" t="inlineStr">
        <is>
          <t>Si</t>
        </is>
      </c>
      <c r="Z325" s="45" t="n">
        <v>0</v>
      </c>
      <c r="AA325" t="inlineStr">
        <is>
          <t>0</t>
        </is>
      </c>
      <c r="AB325" s="45" t="n">
        <v>194983</v>
      </c>
      <c r="AC325" s="45" t="n">
        <v>0</v>
      </c>
    </row>
    <row r="326">
      <c r="A326" t="inlineStr">
        <is>
          <t>MEDELLIN</t>
        </is>
      </c>
      <c r="B326" t="inlineStr">
        <is>
          <t>NOROCCIDENTE</t>
        </is>
      </c>
      <c r="C326" t="inlineStr">
        <is>
          <t>0004-0005</t>
        </is>
      </c>
      <c r="D326" t="inlineStr">
        <is>
          <t>5129</t>
        </is>
      </c>
      <c r="E326" t="inlineStr">
        <is>
          <t>TA-25-969548</t>
        </is>
      </c>
      <c r="F326" t="inlineStr">
        <is>
          <t>3007081006</t>
        </is>
      </c>
      <c r="G326" t="inlineStr">
        <is>
          <t>APERTURA</t>
        </is>
      </c>
      <c r="H326" t="inlineStr">
        <is>
          <t>CB CRECIMIENTO ALIANZA - NUEVO</t>
        </is>
      </c>
      <c r="I326" t="inlineStr">
        <is>
          <t>ANTIOQUIA</t>
        </is>
      </c>
      <c r="J326" t="inlineStr">
        <is>
          <t>CALDAS</t>
        </is>
      </c>
      <c r="K326" t="inlineStr">
        <is>
          <t>PTM CALDAS BOTANICASALOMON</t>
        </is>
      </c>
      <c r="L326" t="inlineStr">
        <is>
          <t>BANCOLOMBIA</t>
        </is>
      </c>
      <c r="M326" t="inlineStr">
        <is>
          <t>FO-25-1371550</t>
        </is>
      </c>
      <c r="N326" s="46" t="n">
        <v>45882.69930555556</v>
      </c>
      <c r="O326" s="46" t="n">
        <v>45885.32083333333</v>
      </c>
      <c r="P326" t="inlineStr">
        <is>
          <t>AGREGADOR</t>
        </is>
      </c>
      <c r="Q326" t="inlineStr">
        <is>
          <t>COMCARD - PTM</t>
        </is>
      </c>
      <c r="R326" t="inlineStr">
        <is>
          <t>EJECUTADO</t>
        </is>
      </c>
      <c r="S326" t="inlineStr">
        <is>
          <t>VISITA TECNICA</t>
        </is>
      </c>
      <c r="T326" t="inlineStr">
        <is>
          <t>FJZZZ896 - FJZZZ502</t>
        </is>
      </c>
      <c r="U326" t="inlineStr">
        <is>
          <t>TIPO I</t>
        </is>
      </c>
      <c r="V326" t="inlineStr">
        <is>
          <t>TERRESTRE</t>
        </is>
      </c>
      <c r="W326" t="inlineStr">
        <is>
          <t>CASTAÑEDA PALACIO CARLOS FELIPE</t>
        </is>
      </c>
      <c r="X326" t="inlineStr">
        <is>
          <t>Si</t>
        </is>
      </c>
      <c r="Y326" t="inlineStr">
        <is>
          <t>Si</t>
        </is>
      </c>
      <c r="Z326" s="45" t="n">
        <v>0</v>
      </c>
      <c r="AA326" t="inlineStr">
        <is>
          <t>0</t>
        </is>
      </c>
      <c r="AB326" s="45" t="n">
        <v>194983</v>
      </c>
      <c r="AC326" s="45" t="n">
        <v>0</v>
      </c>
    </row>
    <row r="327">
      <c r="A327" t="inlineStr">
        <is>
          <t>MEDELLIN</t>
        </is>
      </c>
      <c r="B327" t="inlineStr">
        <is>
          <t>NOROCCIDENTE</t>
        </is>
      </c>
      <c r="C327" t="inlineStr">
        <is>
          <t>0004-0005</t>
        </is>
      </c>
      <c r="D327" t="inlineStr">
        <is>
          <t>5148</t>
        </is>
      </c>
      <c r="E327" t="inlineStr">
        <is>
          <t>TA-25-969549</t>
        </is>
      </c>
      <c r="F327" t="inlineStr">
        <is>
          <t>3007081033</t>
        </is>
      </c>
      <c r="G327" t="inlineStr">
        <is>
          <t>APERTURA</t>
        </is>
      </c>
      <c r="H327" t="inlineStr">
        <is>
          <t>CB CRECIMIENTO ALIANZA - NUEVO</t>
        </is>
      </c>
      <c r="I327" t="inlineStr">
        <is>
          <t>ANTIOQUIA</t>
        </is>
      </c>
      <c r="J327" t="inlineStr">
        <is>
          <t>EL CARMEN DE VIBORAL</t>
        </is>
      </c>
      <c r="K327" t="inlineStr">
        <is>
          <t>DISTRICOL TIENDA ISABELLA´S</t>
        </is>
      </c>
      <c r="L327" t="inlineStr">
        <is>
          <t>BANCOLOMBIA</t>
        </is>
      </c>
      <c r="M327" t="inlineStr">
        <is>
          <t>FO-25-1371553</t>
        </is>
      </c>
      <c r="N327" s="46" t="n">
        <v>45882.69930555556</v>
      </c>
      <c r="O327" s="46" t="n">
        <v>45884.28888888889</v>
      </c>
      <c r="P327" t="inlineStr">
        <is>
          <t>AGREGADOR</t>
        </is>
      </c>
      <c r="Q327" t="inlineStr">
        <is>
          <t>DISTRICOL</t>
        </is>
      </c>
      <c r="R327" t="inlineStr">
        <is>
          <t>EJECUTADO</t>
        </is>
      </c>
      <c r="S327" t="inlineStr">
        <is>
          <t>VISITA TECNICA</t>
        </is>
      </c>
      <c r="T327" t="inlineStr">
        <is>
          <t>FJZZZ897</t>
        </is>
      </c>
      <c r="U327" t="inlineStr">
        <is>
          <t>TIPO II</t>
        </is>
      </c>
      <c r="V327" t="inlineStr">
        <is>
          <t>TERRESTRE</t>
        </is>
      </c>
      <c r="W327" t="inlineStr">
        <is>
          <t>MARTINEZ TOVAR OSCAR DAVID</t>
        </is>
      </c>
      <c r="X327" t="inlineStr">
        <is>
          <t>Si</t>
        </is>
      </c>
      <c r="Y327" t="inlineStr">
        <is>
          <t>Si</t>
        </is>
      </c>
      <c r="Z327" s="45" t="n">
        <v>0</v>
      </c>
      <c r="AA327" t="inlineStr">
        <is>
          <t>0</t>
        </is>
      </c>
      <c r="AB327" s="45" t="n">
        <v>248376</v>
      </c>
      <c r="AC327" s="45" t="n">
        <v>0</v>
      </c>
    </row>
    <row r="328">
      <c r="A328" t="inlineStr">
        <is>
          <t>MEDELLIN</t>
        </is>
      </c>
      <c r="B328" t="inlineStr">
        <is>
          <t>NOROCCIDENTE</t>
        </is>
      </c>
      <c r="C328" t="inlineStr">
        <is>
          <t>0004-0005</t>
        </is>
      </c>
      <c r="D328" t="inlineStr">
        <is>
          <t>5376</t>
        </is>
      </c>
      <c r="E328" t="inlineStr">
        <is>
          <t>TA-25-969553</t>
        </is>
      </c>
      <c r="F328" t="inlineStr">
        <is>
          <t>3007081035</t>
        </is>
      </c>
      <c r="G328" t="inlineStr">
        <is>
          <t>APERTURA</t>
        </is>
      </c>
      <c r="H328" t="inlineStr">
        <is>
          <t>CB CRECIMIENTO ALIANZA - NUEVO</t>
        </is>
      </c>
      <c r="I328" t="inlineStr">
        <is>
          <t>ANTIOQUIA</t>
        </is>
      </c>
      <c r="J328" t="inlineStr">
        <is>
          <t>LA CEJA</t>
        </is>
      </c>
      <c r="K328" t="inlineStr">
        <is>
          <t>DISTRICOL CREDIPLUS M Y M</t>
        </is>
      </c>
      <c r="L328" t="inlineStr">
        <is>
          <t>BANCOLOMBIA</t>
        </is>
      </c>
      <c r="M328" t="inlineStr">
        <is>
          <t>FO-25-1371556</t>
        </is>
      </c>
      <c r="N328" s="46" t="n">
        <v>45882.69930555556</v>
      </c>
      <c r="O328" s="46" t="n">
        <v>45883.65972222222</v>
      </c>
      <c r="P328" t="inlineStr">
        <is>
          <t>AGREGADOR</t>
        </is>
      </c>
      <c r="Q328" t="inlineStr">
        <is>
          <t>DISTRICOL</t>
        </is>
      </c>
      <c r="R328" t="inlineStr">
        <is>
          <t>EJECUTADO</t>
        </is>
      </c>
      <c r="S328" t="inlineStr">
        <is>
          <t>VISITA TECNICA</t>
        </is>
      </c>
      <c r="T328" t="inlineStr">
        <is>
          <t>FJZZZ898</t>
        </is>
      </c>
      <c r="U328" t="inlineStr">
        <is>
          <t>TIPO II</t>
        </is>
      </c>
      <c r="V328" t="inlineStr">
        <is>
          <t>TERRESTRE</t>
        </is>
      </c>
      <c r="W328" t="inlineStr">
        <is>
          <t>DIAZ ZABALA FRANCIS DUBAN</t>
        </is>
      </c>
      <c r="X328" t="inlineStr">
        <is>
          <t>Si</t>
        </is>
      </c>
      <c r="Y328" t="inlineStr">
        <is>
          <t>Si</t>
        </is>
      </c>
      <c r="Z328" s="45" t="n">
        <v>0</v>
      </c>
      <c r="AA328" t="inlineStr">
        <is>
          <t>0</t>
        </is>
      </c>
      <c r="AB328" s="45" t="n">
        <v>248376</v>
      </c>
      <c r="AC328" s="45" t="n">
        <v>0</v>
      </c>
    </row>
    <row r="329">
      <c r="A329" t="inlineStr">
        <is>
          <t>BARRANQUILLA</t>
        </is>
      </c>
      <c r="B329" t="inlineStr">
        <is>
          <t>COSTA</t>
        </is>
      </c>
      <c r="C329" t="inlineStr">
        <is>
          <t>0004-0001</t>
        </is>
      </c>
      <c r="D329" t="inlineStr">
        <is>
          <t>8001</t>
        </is>
      </c>
      <c r="E329" t="inlineStr">
        <is>
          <t>TA-25-969556</t>
        </is>
      </c>
      <c r="F329" t="inlineStr">
        <is>
          <t>3007080994</t>
        </is>
      </c>
      <c r="G329" t="inlineStr">
        <is>
          <t>APERTURA</t>
        </is>
      </c>
      <c r="H329" t="inlineStr">
        <is>
          <t>CB CRECIMIENTO ALIANZA - NUEVO</t>
        </is>
      </c>
      <c r="I329" t="inlineStr">
        <is>
          <t>ATLANTICO</t>
        </is>
      </c>
      <c r="J329" t="inlineStr">
        <is>
          <t>BARRANQUILLA</t>
        </is>
      </c>
      <c r="K329" t="inlineStr">
        <is>
          <t>DISTRICOL Q´CHICHA S.A.S.</t>
        </is>
      </c>
      <c r="L329" t="inlineStr">
        <is>
          <t>BANCOLOMBIA</t>
        </is>
      </c>
      <c r="M329" t="inlineStr">
        <is>
          <t>FO-25-1371558</t>
        </is>
      </c>
      <c r="N329" s="46" t="n">
        <v>45882.6</v>
      </c>
      <c r="O329" s="46" t="n">
        <v>45883.68125</v>
      </c>
      <c r="P329" t="inlineStr">
        <is>
          <t>AGREGADOR</t>
        </is>
      </c>
      <c r="Q329" t="inlineStr">
        <is>
          <t>DISTRICOL</t>
        </is>
      </c>
      <c r="R329" t="inlineStr">
        <is>
          <t>EJECUTADO</t>
        </is>
      </c>
      <c r="S329" t="inlineStr">
        <is>
          <t>VISITA TECNICA</t>
        </is>
      </c>
      <c r="T329" t="inlineStr">
        <is>
          <t>FJZZZ899</t>
        </is>
      </c>
      <c r="U329" t="inlineStr">
        <is>
          <t>TIPO I</t>
        </is>
      </c>
      <c r="V329" t="inlineStr">
        <is>
          <t>TERRESTRE</t>
        </is>
      </c>
      <c r="W329" t="inlineStr">
        <is>
          <t>DE AVILA SIADES ALBERTO ENRIQUE</t>
        </is>
      </c>
      <c r="X329" t="inlineStr">
        <is>
          <t>Si</t>
        </is>
      </c>
      <c r="Y329" t="inlineStr">
        <is>
          <t>Si</t>
        </is>
      </c>
      <c r="Z329" s="45" t="n">
        <v>0</v>
      </c>
      <c r="AA329" t="inlineStr">
        <is>
          <t>0</t>
        </is>
      </c>
      <c r="AB329" s="45" t="n">
        <v>194983</v>
      </c>
      <c r="AC329" s="45" t="n">
        <v>0</v>
      </c>
    </row>
    <row r="330">
      <c r="A330" t="inlineStr">
        <is>
          <t>TUNJA</t>
        </is>
      </c>
      <c r="B330" t="inlineStr">
        <is>
          <t>SANTANDERES</t>
        </is>
      </c>
      <c r="C330" t="inlineStr">
        <is>
          <t>0004-0008</t>
        </is>
      </c>
      <c r="D330" t="inlineStr">
        <is>
          <t>15238</t>
        </is>
      </c>
      <c r="E330" t="inlineStr">
        <is>
          <t>TA-25-969557</t>
        </is>
      </c>
      <c r="F330" t="inlineStr">
        <is>
          <t>3007081011</t>
        </is>
      </c>
      <c r="G330" t="inlineStr">
        <is>
          <t>APERTURA</t>
        </is>
      </c>
      <c r="H330" t="inlineStr">
        <is>
          <t>CB CRECIMIENTO ALIANZA - NUEVO</t>
        </is>
      </c>
      <c r="I330" t="inlineStr">
        <is>
          <t>BOYACA</t>
        </is>
      </c>
      <c r="J330" t="inlineStr">
        <is>
          <t>DUITAMA</t>
        </is>
      </c>
      <c r="K330" t="inlineStr">
        <is>
          <t>DISTRICOL FREA HOM</t>
        </is>
      </c>
      <c r="L330" t="inlineStr">
        <is>
          <t>BANCOLOMBIA</t>
        </is>
      </c>
      <c r="M330" t="inlineStr">
        <is>
          <t>FO-25-1371561</t>
        </is>
      </c>
      <c r="N330" s="46" t="n">
        <v>45882.71875</v>
      </c>
      <c r="O330" s="46" t="n">
        <v>45884.63888888889</v>
      </c>
      <c r="P330" t="inlineStr">
        <is>
          <t>AGREGADOR</t>
        </is>
      </c>
      <c r="Q330" t="inlineStr">
        <is>
          <t>DISTRICOL</t>
        </is>
      </c>
      <c r="R330" t="inlineStr">
        <is>
          <t>EJECUTADO</t>
        </is>
      </c>
      <c r="S330" t="inlineStr">
        <is>
          <t>VISITA TECNICA</t>
        </is>
      </c>
      <c r="T330" t="inlineStr">
        <is>
          <t>FJZZZ900</t>
        </is>
      </c>
      <c r="U330" t="inlineStr">
        <is>
          <t>TIPO II</t>
        </is>
      </c>
      <c r="V330" t="inlineStr">
        <is>
          <t>TERRESTRE</t>
        </is>
      </c>
      <c r="W330" t="inlineStr">
        <is>
          <t>RODRIGUEZ MURCIA YERSON IVAN</t>
        </is>
      </c>
      <c r="X330" t="inlineStr">
        <is>
          <t>Si</t>
        </is>
      </c>
      <c r="Y330" t="inlineStr">
        <is>
          <t>Si</t>
        </is>
      </c>
      <c r="Z330" s="45" t="n">
        <v>0</v>
      </c>
      <c r="AA330" t="inlineStr">
        <is>
          <t>0</t>
        </is>
      </c>
      <c r="AB330" s="45" t="n">
        <v>248376</v>
      </c>
      <c r="AC330" s="45" t="n">
        <v>0</v>
      </c>
    </row>
    <row r="331">
      <c r="A331" t="inlineStr">
        <is>
          <t>TUNJA</t>
        </is>
      </c>
      <c r="B331" t="inlineStr">
        <is>
          <t>SANTANDERES</t>
        </is>
      </c>
      <c r="C331" t="inlineStr">
        <is>
          <t>0004-0008</t>
        </is>
      </c>
      <c r="D331" t="inlineStr">
        <is>
          <t>15238</t>
        </is>
      </c>
      <c r="E331" t="inlineStr">
        <is>
          <t>TA-25-969558</t>
        </is>
      </c>
      <c r="F331" t="inlineStr">
        <is>
          <t>3007081012</t>
        </is>
      </c>
      <c r="G331" t="inlineStr">
        <is>
          <t>APERTURA</t>
        </is>
      </c>
      <c r="H331" t="inlineStr">
        <is>
          <t>CB CRECIMIENTO ALIANZA - NUEVO</t>
        </is>
      </c>
      <c r="I331" t="inlineStr">
        <is>
          <t>BOYACA</t>
        </is>
      </c>
      <c r="J331" t="inlineStr">
        <is>
          <t>DUITAMA</t>
        </is>
      </c>
      <c r="K331" t="inlineStr">
        <is>
          <t>DISTRICOL R&amp;M SEGUROS SERVICIO</t>
        </is>
      </c>
      <c r="L331" t="inlineStr">
        <is>
          <t>BANCOLOMBIA</t>
        </is>
      </c>
      <c r="M331" t="inlineStr">
        <is>
          <t>FO-25-1371563</t>
        </is>
      </c>
      <c r="N331" s="46" t="n">
        <v>45882.71875</v>
      </c>
      <c r="O331" s="46" t="n">
        <v>45884.58958333333</v>
      </c>
      <c r="P331" t="inlineStr">
        <is>
          <t>AGREGADOR</t>
        </is>
      </c>
      <c r="Q331" t="inlineStr">
        <is>
          <t>DISTRICOL</t>
        </is>
      </c>
      <c r="R331" t="inlineStr">
        <is>
          <t>EJECUTADO</t>
        </is>
      </c>
      <c r="S331" t="inlineStr">
        <is>
          <t>VISITA TECNICA</t>
        </is>
      </c>
      <c r="T331" t="inlineStr">
        <is>
          <t>FJZZZ901</t>
        </is>
      </c>
      <c r="U331" t="inlineStr">
        <is>
          <t>TIPO II</t>
        </is>
      </c>
      <c r="V331" t="inlineStr">
        <is>
          <t>TERRESTRE</t>
        </is>
      </c>
      <c r="W331" t="inlineStr">
        <is>
          <t>RODRIGUEZ MURCIA YERSON IVAN</t>
        </is>
      </c>
      <c r="X331" t="inlineStr">
        <is>
          <t>Si</t>
        </is>
      </c>
      <c r="Y331" t="inlineStr">
        <is>
          <t>Si</t>
        </is>
      </c>
      <c r="Z331" s="45" t="n">
        <v>0</v>
      </c>
      <c r="AA331" t="inlineStr">
        <is>
          <t>0</t>
        </is>
      </c>
      <c r="AB331" s="45" t="n">
        <v>248376</v>
      </c>
      <c r="AC331" s="45" t="n">
        <v>0</v>
      </c>
    </row>
    <row r="332">
      <c r="A332" t="inlineStr">
        <is>
          <t>TUNJA</t>
        </is>
      </c>
      <c r="B332" t="inlineStr">
        <is>
          <t>SANTANDERES</t>
        </is>
      </c>
      <c r="C332" t="inlineStr">
        <is>
          <t>0004-0008</t>
        </is>
      </c>
      <c r="D332" t="inlineStr">
        <is>
          <t>15686</t>
        </is>
      </c>
      <c r="E332" t="inlineStr">
        <is>
          <t>TA-25-969559</t>
        </is>
      </c>
      <c r="F332" t="inlineStr">
        <is>
          <t>3007081025</t>
        </is>
      </c>
      <c r="G332" t="inlineStr">
        <is>
          <t>APERTURA</t>
        </is>
      </c>
      <c r="H332" t="inlineStr">
        <is>
          <t>CB CRECIMIENTO ALIANZA - NUEVO</t>
        </is>
      </c>
      <c r="I332" t="inlineStr">
        <is>
          <t>BOYACA</t>
        </is>
      </c>
      <c r="J332" t="inlineStr">
        <is>
          <t>SANTANA</t>
        </is>
      </c>
      <c r="K332" t="inlineStr">
        <is>
          <t>DISTRICOL KAROLAY PLATINUM</t>
        </is>
      </c>
      <c r="L332" t="inlineStr">
        <is>
          <t>BANCOLOMBIA</t>
        </is>
      </c>
      <c r="M332" t="inlineStr">
        <is>
          <t>FO-25-1371565</t>
        </is>
      </c>
      <c r="N332" s="46" t="n">
        <v>45882.71875</v>
      </c>
      <c r="O332" s="46" t="n">
        <v>45884.70277777778</v>
      </c>
      <c r="P332" t="inlineStr">
        <is>
          <t>AGREGADOR</t>
        </is>
      </c>
      <c r="Q332" t="inlineStr">
        <is>
          <t>DISTRICOL</t>
        </is>
      </c>
      <c r="R332" t="inlineStr">
        <is>
          <t>EJECUTADO</t>
        </is>
      </c>
      <c r="S332" t="inlineStr">
        <is>
          <t>VISITA TECNICA</t>
        </is>
      </c>
      <c r="T332" t="inlineStr">
        <is>
          <t>FJZZZ902</t>
        </is>
      </c>
      <c r="U332" t="inlineStr">
        <is>
          <t>TIPO III</t>
        </is>
      </c>
      <c r="V332" t="inlineStr">
        <is>
          <t>TERRESTRE</t>
        </is>
      </c>
      <c r="W332" t="inlineStr">
        <is>
          <t>HERRERA GARZON JEYSON STEVENT</t>
        </is>
      </c>
      <c r="X332" t="inlineStr">
        <is>
          <t>Si</t>
        </is>
      </c>
      <c r="Y332" t="inlineStr">
        <is>
          <t>Si</t>
        </is>
      </c>
      <c r="Z332" s="45" t="n">
        <v>0</v>
      </c>
      <c r="AA332" t="inlineStr">
        <is>
          <t>0</t>
        </is>
      </c>
      <c r="AB332" s="45" t="n">
        <v>248376</v>
      </c>
      <c r="AC332" s="45" t="n">
        <v>0</v>
      </c>
    </row>
    <row r="333">
      <c r="A333" t="inlineStr">
        <is>
          <t>NEIVA</t>
        </is>
      </c>
      <c r="B333" t="inlineStr">
        <is>
          <t>REMOTAS</t>
        </is>
      </c>
      <c r="C333" t="inlineStr">
        <is>
          <t>0004-0007</t>
        </is>
      </c>
      <c r="D333" t="inlineStr">
        <is>
          <t>18150</t>
        </is>
      </c>
      <c r="E333" t="inlineStr">
        <is>
          <t>TA-25-969567</t>
        </is>
      </c>
      <c r="F333" t="inlineStr">
        <is>
          <t>3007081005</t>
        </is>
      </c>
      <c r="G333" t="inlineStr">
        <is>
          <t>APERTURA</t>
        </is>
      </c>
      <c r="H333" t="inlineStr">
        <is>
          <t>CB CRECIMIENTO ALIANZA - NUEVO</t>
        </is>
      </c>
      <c r="I333" t="inlineStr">
        <is>
          <t>CAQUETA</t>
        </is>
      </c>
      <c r="J333" t="inlineStr">
        <is>
          <t>CARTAGENA DEL CHAIRA</t>
        </is>
      </c>
      <c r="K333" t="inlineStr">
        <is>
          <t>DISTRICOL CROCHET ROSA MONTANA</t>
        </is>
      </c>
      <c r="L333" t="inlineStr">
        <is>
          <t>BANCOLOMBIA</t>
        </is>
      </c>
      <c r="M333" t="inlineStr">
        <is>
          <t>FO-25-1371573</t>
        </is>
      </c>
      <c r="N333" s="46" t="n">
        <v>45882.73819444444</v>
      </c>
      <c r="O333" s="46" t="n">
        <v>45889.47847222222</v>
      </c>
      <c r="P333" t="inlineStr">
        <is>
          <t>AGREGADOR</t>
        </is>
      </c>
      <c r="Q333" t="inlineStr">
        <is>
          <t>DISTRICOL</t>
        </is>
      </c>
      <c r="R333" t="inlineStr">
        <is>
          <t>EJECUTADO</t>
        </is>
      </c>
      <c r="S333" t="inlineStr">
        <is>
          <t>VISITA TECNICA</t>
        </is>
      </c>
      <c r="T333" t="inlineStr">
        <is>
          <t>FJZZZ904</t>
        </is>
      </c>
      <c r="U333" t="inlineStr">
        <is>
          <t>TIPO IV ESPECIAL</t>
        </is>
      </c>
      <c r="V333" t="inlineStr">
        <is>
          <t>TERRESTRE</t>
        </is>
      </c>
      <c r="W333" t="inlineStr">
        <is>
          <t>BERMUDEZ SANCHEZ JOSE NEYBER</t>
        </is>
      </c>
      <c r="X333" t="inlineStr">
        <is>
          <t>Si</t>
        </is>
      </c>
      <c r="Y333" t="inlineStr">
        <is>
          <t>Si</t>
        </is>
      </c>
      <c r="Z333" s="45" t="n">
        <v>0</v>
      </c>
      <c r="AA333" t="inlineStr">
        <is>
          <t>0</t>
        </is>
      </c>
      <c r="AB333" s="45" t="n">
        <v>248376</v>
      </c>
      <c r="AC333" s="45" t="n">
        <v>0</v>
      </c>
    </row>
    <row r="334">
      <c r="A334" t="inlineStr">
        <is>
          <t>NEIVA</t>
        </is>
      </c>
      <c r="B334" t="inlineStr">
        <is>
          <t>REMOTAS</t>
        </is>
      </c>
      <c r="C334" t="inlineStr">
        <is>
          <t>0004-0007</t>
        </is>
      </c>
      <c r="D334" t="inlineStr">
        <is>
          <t>18460</t>
        </is>
      </c>
      <c r="E334" t="inlineStr">
        <is>
          <t>TA-25-969568</t>
        </is>
      </c>
      <c r="F334" t="inlineStr">
        <is>
          <t>3007081016</t>
        </is>
      </c>
      <c r="G334" t="inlineStr">
        <is>
          <t>APERTURA</t>
        </is>
      </c>
      <c r="H334" t="inlineStr">
        <is>
          <t>CB CRECIMIENTO ALIANZA - NUEVO</t>
        </is>
      </c>
      <c r="I334" t="inlineStr">
        <is>
          <t>CAQUETA</t>
        </is>
      </c>
      <c r="J334" t="inlineStr">
        <is>
          <t>MILAN</t>
        </is>
      </c>
      <c r="K334" t="inlineStr">
        <is>
          <t>DISTRICOL MISELANEA FAMILIAR</t>
        </is>
      </c>
      <c r="L334" t="inlineStr">
        <is>
          <t>BANCOLOMBIA</t>
        </is>
      </c>
      <c r="M334" t="inlineStr">
        <is>
          <t>FO-25-1371575</t>
        </is>
      </c>
      <c r="N334" s="46" t="n">
        <v>45882.73819444444</v>
      </c>
      <c r="O334" s="46" t="n">
        <v>45884.57986111111</v>
      </c>
      <c r="P334" t="inlineStr">
        <is>
          <t>AGREGADOR</t>
        </is>
      </c>
      <c r="Q334" t="inlineStr">
        <is>
          <t>DISTRICOL</t>
        </is>
      </c>
      <c r="R334" t="inlineStr">
        <is>
          <t>EJECUTADO</t>
        </is>
      </c>
      <c r="S334" t="inlineStr">
        <is>
          <t>VISITA TECNICA</t>
        </is>
      </c>
      <c r="T334" t="inlineStr">
        <is>
          <t>FJZZZ905</t>
        </is>
      </c>
      <c r="U334" t="inlineStr">
        <is>
          <t>TIPO IV</t>
        </is>
      </c>
      <c r="V334" t="inlineStr">
        <is>
          <t>TERRESTRE</t>
        </is>
      </c>
      <c r="W334" t="inlineStr">
        <is>
          <t>BERMUDEZ SANCHEZ JOSE NEYBER</t>
        </is>
      </c>
      <c r="X334" t="inlineStr">
        <is>
          <t>Si</t>
        </is>
      </c>
      <c r="Y334" t="inlineStr">
        <is>
          <t>Si</t>
        </is>
      </c>
      <c r="Z334" s="45" t="n">
        <v>0</v>
      </c>
      <c r="AA334" t="inlineStr">
        <is>
          <t>0</t>
        </is>
      </c>
      <c r="AB334" s="45" t="n">
        <v>248376</v>
      </c>
      <c r="AC334" s="45" t="n">
        <v>0</v>
      </c>
    </row>
    <row r="335">
      <c r="A335" t="inlineStr">
        <is>
          <t>CALI</t>
        </is>
      </c>
      <c r="B335" t="inlineStr">
        <is>
          <t>SUROCCIDENTE Y EJE CAFETERO</t>
        </is>
      </c>
      <c r="C335" t="inlineStr">
        <is>
          <t>0004-0003</t>
        </is>
      </c>
      <c r="D335" t="inlineStr">
        <is>
          <t>19001</t>
        </is>
      </c>
      <c r="E335" t="inlineStr">
        <is>
          <t>TA-25-969569</t>
        </is>
      </c>
      <c r="F335" t="inlineStr">
        <is>
          <t>3007081023</t>
        </is>
      </c>
      <c r="G335" t="inlineStr">
        <is>
          <t>APERTURA</t>
        </is>
      </c>
      <c r="H335" t="inlineStr">
        <is>
          <t>CB CRECIMIENTO ALIANZA - NUEVO</t>
        </is>
      </c>
      <c r="I335" t="inlineStr">
        <is>
          <t>CAUCA</t>
        </is>
      </c>
      <c r="J335" t="inlineStr">
        <is>
          <t>POPAYAN</t>
        </is>
      </c>
      <c r="K335" t="inlineStr">
        <is>
          <t>PTM POPAYAN COPILIGT</t>
        </is>
      </c>
      <c r="L335" t="inlineStr">
        <is>
          <t>BANCOLOMBIA</t>
        </is>
      </c>
      <c r="M335" t="inlineStr">
        <is>
          <t>FO-25-1371577</t>
        </is>
      </c>
      <c r="N335" s="46" t="n">
        <v>45882.67291666667</v>
      </c>
      <c r="O335" s="46" t="n">
        <v>45883.56319444445</v>
      </c>
      <c r="P335" t="inlineStr">
        <is>
          <t>AGREGADOR</t>
        </is>
      </c>
      <c r="Q335" t="inlineStr">
        <is>
          <t>COMCARD - PTM</t>
        </is>
      </c>
      <c r="R335" t="inlineStr">
        <is>
          <t>EJECUTADO</t>
        </is>
      </c>
      <c r="S335" t="inlineStr">
        <is>
          <t>VISITA TECNICA</t>
        </is>
      </c>
      <c r="T335" t="inlineStr">
        <is>
          <t>FJZZZ511-FJZZZ906</t>
        </is>
      </c>
      <c r="U335" t="inlineStr">
        <is>
          <t>TIPO III</t>
        </is>
      </c>
      <c r="V335" t="inlineStr">
        <is>
          <t>TERRESTRE</t>
        </is>
      </c>
      <c r="W335" t="inlineStr">
        <is>
          <t>GIMBUEL LASSO LUIS GERMAN</t>
        </is>
      </c>
      <c r="X335" t="inlineStr">
        <is>
          <t>Si</t>
        </is>
      </c>
      <c r="Y335" t="inlineStr">
        <is>
          <t>Si</t>
        </is>
      </c>
      <c r="Z335" s="45" t="n">
        <v>0</v>
      </c>
      <c r="AA335" t="inlineStr">
        <is>
          <t>0</t>
        </is>
      </c>
      <c r="AB335" s="45" t="n">
        <v>248376</v>
      </c>
      <c r="AC335" s="45" t="n">
        <v>0</v>
      </c>
    </row>
    <row r="336">
      <c r="A336" t="inlineStr">
        <is>
          <t>MONTERIA</t>
        </is>
      </c>
      <c r="B336" t="inlineStr">
        <is>
          <t>COSTA</t>
        </is>
      </c>
      <c r="C336" t="inlineStr">
        <is>
          <t>0004-0001</t>
        </is>
      </c>
      <c r="D336" t="inlineStr">
        <is>
          <t>23555</t>
        </is>
      </c>
      <c r="E336" t="inlineStr">
        <is>
          <t>TA-25-969570</t>
        </is>
      </c>
      <c r="F336" t="inlineStr">
        <is>
          <t>3007081021</t>
        </is>
      </c>
      <c r="G336" t="inlineStr">
        <is>
          <t>APERTURA</t>
        </is>
      </c>
      <c r="H336" t="inlineStr">
        <is>
          <t>CB CRECIMIENTO ALIANZA - NUEVO</t>
        </is>
      </c>
      <c r="I336" t="inlineStr">
        <is>
          <t>CORDOBA</t>
        </is>
      </c>
      <c r="J336" t="inlineStr">
        <is>
          <t>PLANETA RICA</t>
        </is>
      </c>
      <c r="K336" t="inlineStr">
        <is>
          <t>DISTRICOL ABASTOS PROGRESO G</t>
        </is>
      </c>
      <c r="L336" t="inlineStr">
        <is>
          <t>BANCOLOMBIA</t>
        </is>
      </c>
      <c r="M336" t="inlineStr">
        <is>
          <t>FO-25-1371579</t>
        </is>
      </c>
      <c r="N336" s="46" t="n">
        <v>45882.60208333333</v>
      </c>
      <c r="O336" s="46" t="n">
        <v>45888.2875</v>
      </c>
      <c r="P336" t="inlineStr">
        <is>
          <t>AGREGADOR</t>
        </is>
      </c>
      <c r="Q336" t="inlineStr">
        <is>
          <t>DISTRICOL</t>
        </is>
      </c>
      <c r="R336" t="inlineStr">
        <is>
          <t>EJECUTADO</t>
        </is>
      </c>
      <c r="S336" t="inlineStr">
        <is>
          <t>VISITA TECNICA</t>
        </is>
      </c>
      <c r="T336" t="inlineStr">
        <is>
          <t>FJZZZ907</t>
        </is>
      </c>
      <c r="U336" t="inlineStr">
        <is>
          <t>TIPO II</t>
        </is>
      </c>
      <c r="V336" t="inlineStr">
        <is>
          <t>TERRESTRE</t>
        </is>
      </c>
      <c r="W336" t="inlineStr">
        <is>
          <t>GONZALEZ FERRER JESUS ALEXANDER</t>
        </is>
      </c>
      <c r="X336" t="inlineStr">
        <is>
          <t>Si</t>
        </is>
      </c>
      <c r="Y336" t="inlineStr">
        <is>
          <t>Si</t>
        </is>
      </c>
      <c r="Z336" s="45" t="n">
        <v>0</v>
      </c>
      <c r="AA336" t="inlineStr">
        <is>
          <t>0</t>
        </is>
      </c>
      <c r="AB336" s="45" t="n">
        <v>248376</v>
      </c>
      <c r="AC336" s="45" t="n">
        <v>0</v>
      </c>
    </row>
    <row r="337">
      <c r="A337" t="inlineStr">
        <is>
          <t>MONTERIA</t>
        </is>
      </c>
      <c r="B337" t="inlineStr">
        <is>
          <t>COSTA</t>
        </is>
      </c>
      <c r="C337" t="inlineStr">
        <is>
          <t>0004-0001</t>
        </is>
      </c>
      <c r="D337" t="inlineStr">
        <is>
          <t>23555</t>
        </is>
      </c>
      <c r="E337" t="inlineStr">
        <is>
          <t>TA-25-969571</t>
        </is>
      </c>
      <c r="F337" t="inlineStr">
        <is>
          <t>3007081022</t>
        </is>
      </c>
      <c r="G337" t="inlineStr">
        <is>
          <t>APERTURA</t>
        </is>
      </c>
      <c r="H337" t="inlineStr">
        <is>
          <t>CB CRECIMIENTO ALIANZA - NUEVO</t>
        </is>
      </c>
      <c r="I337" t="inlineStr">
        <is>
          <t>CORDOBA</t>
        </is>
      </c>
      <c r="J337" t="inlineStr">
        <is>
          <t>PLANETA RICA</t>
        </is>
      </c>
      <c r="K337" t="inlineStr">
        <is>
          <t>DISTRICOL LA PATRONA CATERING</t>
        </is>
      </c>
      <c r="L337" t="inlineStr">
        <is>
          <t>BANCOLOMBIA</t>
        </is>
      </c>
      <c r="M337" t="inlineStr">
        <is>
          <t>FO-25-1371581</t>
        </is>
      </c>
      <c r="N337" s="46" t="n">
        <v>45882.60208333333</v>
      </c>
      <c r="O337" s="46" t="n">
        <v>45884.60069444445</v>
      </c>
      <c r="P337" t="inlineStr">
        <is>
          <t>AGREGADOR</t>
        </is>
      </c>
      <c r="Q337" t="inlineStr">
        <is>
          <t>DISTRICOL</t>
        </is>
      </c>
      <c r="R337" t="inlineStr">
        <is>
          <t>EJECUTADO</t>
        </is>
      </c>
      <c r="S337" t="inlineStr">
        <is>
          <t>VISITA TECNICA</t>
        </is>
      </c>
      <c r="T337" t="inlineStr">
        <is>
          <t>FJZZZ908</t>
        </is>
      </c>
      <c r="U337" t="inlineStr">
        <is>
          <t>TIPO II</t>
        </is>
      </c>
      <c r="V337" t="inlineStr">
        <is>
          <t>TERRESTRE</t>
        </is>
      </c>
      <c r="W337" t="inlineStr">
        <is>
          <t>GONZALEZ FERRER JESUS ALEXANDER</t>
        </is>
      </c>
      <c r="X337" t="inlineStr">
        <is>
          <t>Si</t>
        </is>
      </c>
      <c r="Y337" t="inlineStr">
        <is>
          <t>Si</t>
        </is>
      </c>
      <c r="Z337" s="45" t="n">
        <v>0</v>
      </c>
      <c r="AA337" t="inlineStr">
        <is>
          <t>0</t>
        </is>
      </c>
      <c r="AB337" s="45" t="n">
        <v>248376</v>
      </c>
      <c r="AC337" s="45" t="n">
        <v>0</v>
      </c>
    </row>
    <row r="338">
      <c r="A338" t="inlineStr">
        <is>
          <t>APARTADO</t>
        </is>
      </c>
      <c r="B338" t="inlineStr">
        <is>
          <t>NOROCCIDENTE</t>
        </is>
      </c>
      <c r="C338" t="inlineStr">
        <is>
          <t>0004-0005</t>
        </is>
      </c>
      <c r="D338" t="inlineStr">
        <is>
          <t>27006</t>
        </is>
      </c>
      <c r="E338" t="inlineStr">
        <is>
          <t>TA-25-969572</t>
        </is>
      </c>
      <c r="F338" t="inlineStr">
        <is>
          <t>3007080990</t>
        </is>
      </c>
      <c r="G338" t="inlineStr">
        <is>
          <t>APERTURA</t>
        </is>
      </c>
      <c r="H338" t="inlineStr">
        <is>
          <t>CB CRECIMIENTO ALIANZA - NUEVO</t>
        </is>
      </c>
      <c r="I338" t="inlineStr">
        <is>
          <t>CHOCO</t>
        </is>
      </c>
      <c r="J338" t="inlineStr">
        <is>
          <t>ACANDI</t>
        </is>
      </c>
      <c r="K338" t="inlineStr">
        <is>
          <t>DISTRICOL DROGUEINTEGRAL</t>
        </is>
      </c>
      <c r="L338" t="inlineStr">
        <is>
          <t>BANCOLOMBIA</t>
        </is>
      </c>
      <c r="M338" t="inlineStr">
        <is>
          <t>FO-25-1371584</t>
        </is>
      </c>
      <c r="N338" s="46" t="n">
        <v>45882.56875</v>
      </c>
      <c r="O338" s="46" t="n">
        <v>45891.29444444444</v>
      </c>
      <c r="P338" t="inlineStr">
        <is>
          <t>AGREGADOR</t>
        </is>
      </c>
      <c r="Q338" t="inlineStr">
        <is>
          <t>DISTRICOL</t>
        </is>
      </c>
      <c r="R338" t="inlineStr">
        <is>
          <t>EJECUTADO</t>
        </is>
      </c>
      <c r="S338" t="inlineStr">
        <is>
          <t>VISITA TECNICA</t>
        </is>
      </c>
      <c r="T338" t="inlineStr">
        <is>
          <t>FJZZZ909</t>
        </is>
      </c>
      <c r="U338" t="inlineStr">
        <is>
          <t>TIPO IV ESPECIAL</t>
        </is>
      </c>
      <c r="V338" t="inlineStr">
        <is>
          <t>AEREO</t>
        </is>
      </c>
      <c r="W338" t="inlineStr">
        <is>
          <t>SALDARRIAGA MIRANDA SANTIAGO</t>
        </is>
      </c>
      <c r="X338" t="inlineStr">
        <is>
          <t>Si</t>
        </is>
      </c>
      <c r="Y338" t="inlineStr">
        <is>
          <t>Si</t>
        </is>
      </c>
      <c r="Z338" s="45" t="n">
        <v>0</v>
      </c>
      <c r="AA338" t="inlineStr">
        <is>
          <t>0</t>
        </is>
      </c>
      <c r="AB338" s="45" t="n">
        <v>248376</v>
      </c>
      <c r="AC338" s="45" t="n">
        <v>0</v>
      </c>
    </row>
    <row r="339">
      <c r="A339" t="inlineStr">
        <is>
          <t>APARTADO</t>
        </is>
      </c>
      <c r="B339" t="inlineStr">
        <is>
          <t>NOROCCIDENTE</t>
        </is>
      </c>
      <c r="C339" t="inlineStr">
        <is>
          <t>0004-0005</t>
        </is>
      </c>
      <c r="D339" t="inlineStr">
        <is>
          <t>27615</t>
        </is>
      </c>
      <c r="E339" t="inlineStr">
        <is>
          <t>TA-25-969573</t>
        </is>
      </c>
      <c r="F339" t="inlineStr">
        <is>
          <t>3007080997</t>
        </is>
      </c>
      <c r="G339" t="inlineStr">
        <is>
          <t>APERTURA</t>
        </is>
      </c>
      <c r="H339" t="inlineStr">
        <is>
          <t>CB CRECIMIENTO ALIANZA - NUEVO</t>
        </is>
      </c>
      <c r="I339" t="inlineStr">
        <is>
          <t>CHOCO</t>
        </is>
      </c>
      <c r="J339" t="inlineStr">
        <is>
          <t>RIOSUCIO</t>
        </is>
      </c>
      <c r="K339" t="inlineStr">
        <is>
          <t>DISTRICOL QUÍMICOS LOS 3 REYES</t>
        </is>
      </c>
      <c r="L339" t="inlineStr">
        <is>
          <t>BANCOLOMBIA</t>
        </is>
      </c>
      <c r="M339" t="inlineStr">
        <is>
          <t>FO-25-1371586</t>
        </is>
      </c>
      <c r="N339" s="46" t="n">
        <v>45882.56875</v>
      </c>
      <c r="O339" s="46" t="n">
        <v>45896.30277777778</v>
      </c>
      <c r="P339" t="inlineStr">
        <is>
          <t>AGREGADOR</t>
        </is>
      </c>
      <c r="Q339" t="inlineStr">
        <is>
          <t>DISTRICOL</t>
        </is>
      </c>
      <c r="R339" t="inlineStr">
        <is>
          <t>EJECUTADO</t>
        </is>
      </c>
      <c r="S339" t="inlineStr">
        <is>
          <t>VISITA TECNICA</t>
        </is>
      </c>
      <c r="T339" t="inlineStr">
        <is>
          <t>FJZZZ910</t>
        </is>
      </c>
      <c r="U339" t="inlineStr">
        <is>
          <t>TIPO IV ESPECIAL</t>
        </is>
      </c>
      <c r="V339" t="inlineStr">
        <is>
          <t>TERRESTRE/FLUVIAL</t>
        </is>
      </c>
      <c r="W339" t="inlineStr">
        <is>
          <t>SALDARRIAGA MIRANDA SANTIAGO</t>
        </is>
      </c>
      <c r="X339" t="inlineStr">
        <is>
          <t>Si</t>
        </is>
      </c>
      <c r="Y339" t="inlineStr">
        <is>
          <t>Si</t>
        </is>
      </c>
      <c r="Z339" s="45" t="n">
        <v>0</v>
      </c>
      <c r="AA339" t="inlineStr">
        <is>
          <t>0</t>
        </is>
      </c>
      <c r="AB339" s="45" t="n">
        <v>248376</v>
      </c>
      <c r="AC339" s="45" t="n">
        <v>0</v>
      </c>
    </row>
    <row r="340">
      <c r="A340" t="inlineStr">
        <is>
          <t>NEIVA</t>
        </is>
      </c>
      <c r="B340" t="inlineStr">
        <is>
          <t>REMOTAS</t>
        </is>
      </c>
      <c r="C340" t="inlineStr">
        <is>
          <t>0004-0007</t>
        </is>
      </c>
      <c r="D340" t="inlineStr">
        <is>
          <t>41016</t>
        </is>
      </c>
      <c r="E340" t="inlineStr">
        <is>
          <t>TA-25-969574</t>
        </is>
      </c>
      <c r="F340" t="inlineStr">
        <is>
          <t>3007080991</t>
        </is>
      </c>
      <c r="G340" t="inlineStr">
        <is>
          <t>APERTURA</t>
        </is>
      </c>
      <c r="H340" t="inlineStr">
        <is>
          <t>CB CRECIMIENTO ALIANZA - NUEVO</t>
        </is>
      </c>
      <c r="I340" t="inlineStr">
        <is>
          <t>HUILA</t>
        </is>
      </c>
      <c r="J340" t="inlineStr">
        <is>
          <t>AIPE</t>
        </is>
      </c>
      <c r="K340" t="inlineStr">
        <is>
          <t>DISTRICOL MULTIPRODUCTOS MISCE</t>
        </is>
      </c>
      <c r="L340" t="inlineStr">
        <is>
          <t>BANCOLOMBIA</t>
        </is>
      </c>
      <c r="M340" t="inlineStr">
        <is>
          <t>FO-25-1371588</t>
        </is>
      </c>
      <c r="N340" s="46" t="n">
        <v>45882.73819444444</v>
      </c>
      <c r="O340" s="46" t="n">
        <v>45883.59444444445</v>
      </c>
      <c r="P340" t="inlineStr">
        <is>
          <t>AGREGADOR</t>
        </is>
      </c>
      <c r="Q340" t="inlineStr">
        <is>
          <t>DISTRICOL</t>
        </is>
      </c>
      <c r="R340" t="inlineStr">
        <is>
          <t>EJECUTADO</t>
        </is>
      </c>
      <c r="S340" t="inlineStr">
        <is>
          <t>VISITA TECNICA</t>
        </is>
      </c>
      <c r="T340" t="inlineStr">
        <is>
          <t>FJZZZ911</t>
        </is>
      </c>
      <c r="U340" t="inlineStr">
        <is>
          <t>TIPO II</t>
        </is>
      </c>
      <c r="V340" t="inlineStr">
        <is>
          <t>TERRESTRE</t>
        </is>
      </c>
      <c r="W340" t="inlineStr">
        <is>
          <t>ANDRADE HERNANDEZ JUAN CARLOS</t>
        </is>
      </c>
      <c r="X340" t="inlineStr">
        <is>
          <t>Si</t>
        </is>
      </c>
      <c r="Y340" t="inlineStr">
        <is>
          <t>Si</t>
        </is>
      </c>
      <c r="Z340" s="45" t="n">
        <v>0</v>
      </c>
      <c r="AA340" t="inlineStr">
        <is>
          <t>0</t>
        </is>
      </c>
      <c r="AB340" s="45" t="n">
        <v>248376</v>
      </c>
      <c r="AC340" s="45" t="n">
        <v>0</v>
      </c>
    </row>
    <row r="341">
      <c r="A341" t="inlineStr">
        <is>
          <t>NEIVA</t>
        </is>
      </c>
      <c r="B341" t="inlineStr">
        <is>
          <t>REMOTAS</t>
        </is>
      </c>
      <c r="C341" t="inlineStr">
        <is>
          <t>0004-0007</t>
        </is>
      </c>
      <c r="D341" t="inlineStr">
        <is>
          <t>41298</t>
        </is>
      </c>
      <c r="E341" t="inlineStr">
        <is>
          <t>TA-25-969575</t>
        </is>
      </c>
      <c r="F341" t="inlineStr">
        <is>
          <t>3007081014</t>
        </is>
      </c>
      <c r="G341" t="inlineStr">
        <is>
          <t>APERTURA</t>
        </is>
      </c>
      <c r="H341" t="inlineStr">
        <is>
          <t>CB CRECIMIENTO ALIANZA - NUEVO</t>
        </is>
      </c>
      <c r="I341" t="inlineStr">
        <is>
          <t>HUILA</t>
        </is>
      </c>
      <c r="J341" t="inlineStr">
        <is>
          <t>GARZON</t>
        </is>
      </c>
      <c r="K341" t="inlineStr">
        <is>
          <t>DISTRICOL FAMILIAR MAX SUPER</t>
        </is>
      </c>
      <c r="L341" t="inlineStr">
        <is>
          <t>BANCOLOMBIA</t>
        </is>
      </c>
      <c r="M341" t="inlineStr">
        <is>
          <t>FO-25-1371591</t>
        </is>
      </c>
      <c r="N341" s="46" t="n">
        <v>45882.73819444444</v>
      </c>
      <c r="O341" s="46" t="n">
        <v>45884.61805555555</v>
      </c>
      <c r="P341" t="inlineStr">
        <is>
          <t>AGREGADOR</t>
        </is>
      </c>
      <c r="Q341" t="inlineStr">
        <is>
          <t>DISTRICOL</t>
        </is>
      </c>
      <c r="R341" t="inlineStr">
        <is>
          <t>EJECUTADO</t>
        </is>
      </c>
      <c r="S341" t="inlineStr">
        <is>
          <t>VISITA TECNICA</t>
        </is>
      </c>
      <c r="T341" t="inlineStr">
        <is>
          <t>FJZZZ912</t>
        </is>
      </c>
      <c r="U341" t="inlineStr">
        <is>
          <t>TIPO III</t>
        </is>
      </c>
      <c r="V341" t="inlineStr">
        <is>
          <t>TERRESTRE</t>
        </is>
      </c>
      <c r="W341" t="inlineStr">
        <is>
          <t>ANDRADE HERNANDEZ JUAN CARLOS</t>
        </is>
      </c>
      <c r="X341" t="inlineStr">
        <is>
          <t>Si</t>
        </is>
      </c>
      <c r="Y341" t="inlineStr">
        <is>
          <t>Si</t>
        </is>
      </c>
      <c r="Z341" s="45" t="n">
        <v>0</v>
      </c>
      <c r="AA341" t="inlineStr">
        <is>
          <t>0</t>
        </is>
      </c>
      <c r="AB341" s="45" t="n">
        <v>248376</v>
      </c>
      <c r="AC341" s="45" t="n">
        <v>0</v>
      </c>
    </row>
    <row r="342">
      <c r="A342" t="inlineStr">
        <is>
          <t>SANTA MARTA</t>
        </is>
      </c>
      <c r="B342" t="inlineStr">
        <is>
          <t>COSTA</t>
        </is>
      </c>
      <c r="C342" t="inlineStr">
        <is>
          <t>0004-0001</t>
        </is>
      </c>
      <c r="D342" t="inlineStr">
        <is>
          <t>44001</t>
        </is>
      </c>
      <c r="E342" t="inlineStr">
        <is>
          <t>TA-25-969576</t>
        </is>
      </c>
      <c r="F342" t="inlineStr">
        <is>
          <t>3007081026</t>
        </is>
      </c>
      <c r="G342" t="inlineStr">
        <is>
          <t>APERTURA</t>
        </is>
      </c>
      <c r="H342" t="inlineStr">
        <is>
          <t>CB CRECIMIENTO ALIANZA - NUEVO</t>
        </is>
      </c>
      <c r="I342" t="inlineStr">
        <is>
          <t>LA GUAJIRA</t>
        </is>
      </c>
      <c r="J342" t="inlineStr">
        <is>
          <t>RIOHACHA</t>
        </is>
      </c>
      <c r="K342" t="inlineStr">
        <is>
          <t>DISTRICOL EKIRAASEDECALLEANCHA</t>
        </is>
      </c>
      <c r="L342" t="inlineStr">
        <is>
          <t>BANCOLOMBIA</t>
        </is>
      </c>
      <c r="M342" t="inlineStr">
        <is>
          <t>FO-25-1371595</t>
        </is>
      </c>
      <c r="N342" s="46" t="n">
        <v>45882.59027777778</v>
      </c>
      <c r="O342" s="46" t="n">
        <v>45884.30555555555</v>
      </c>
      <c r="P342" t="inlineStr">
        <is>
          <t>AGREGADOR</t>
        </is>
      </c>
      <c r="Q342" t="inlineStr">
        <is>
          <t>DISTRICOL</t>
        </is>
      </c>
      <c r="R342" t="inlineStr">
        <is>
          <t>EJECUTADO</t>
        </is>
      </c>
      <c r="S342" t="inlineStr">
        <is>
          <t>VISITA TECNICA</t>
        </is>
      </c>
      <c r="T342" t="inlineStr">
        <is>
          <t>FJZZZ913</t>
        </is>
      </c>
      <c r="U342" t="inlineStr">
        <is>
          <t>TIPO III</t>
        </is>
      </c>
      <c r="V342" t="inlineStr">
        <is>
          <t>TERRESTRE</t>
        </is>
      </c>
      <c r="W342" t="inlineStr">
        <is>
          <t>PEÑALOZA GUTIERREZ RAFAEL GUSTAVO</t>
        </is>
      </c>
      <c r="X342" t="inlineStr">
        <is>
          <t>Si</t>
        </is>
      </c>
      <c r="Y342" t="inlineStr">
        <is>
          <t>Si</t>
        </is>
      </c>
      <c r="Z342" s="45" t="n">
        <v>0</v>
      </c>
      <c r="AA342" t="inlineStr">
        <is>
          <t>0</t>
        </is>
      </c>
      <c r="AB342" s="45" t="n">
        <v>248376</v>
      </c>
      <c r="AC342" s="45" t="n">
        <v>0</v>
      </c>
    </row>
    <row r="343">
      <c r="A343" t="inlineStr">
        <is>
          <t>SANTA MARTA</t>
        </is>
      </c>
      <c r="B343" t="inlineStr">
        <is>
          <t>COSTA</t>
        </is>
      </c>
      <c r="C343" t="inlineStr">
        <is>
          <t>0004-0001</t>
        </is>
      </c>
      <c r="D343" t="inlineStr">
        <is>
          <t>44001</t>
        </is>
      </c>
      <c r="E343" t="inlineStr">
        <is>
          <t>TA-25-969577</t>
        </is>
      </c>
      <c r="F343" t="inlineStr">
        <is>
          <t>3007081027</t>
        </is>
      </c>
      <c r="G343" t="inlineStr">
        <is>
          <t>APERTURA</t>
        </is>
      </c>
      <c r="H343" t="inlineStr">
        <is>
          <t>CB CRECIMIENTO ALIANZA - NUEVO</t>
        </is>
      </c>
      <c r="I343" t="inlineStr">
        <is>
          <t>LA GUAJIRA</t>
        </is>
      </c>
      <c r="J343" t="inlineStr">
        <is>
          <t>RIOHACHA</t>
        </is>
      </c>
      <c r="K343" t="inlineStr">
        <is>
          <t>DISTRICOL VARIEDAPAPELERIGLEY</t>
        </is>
      </c>
      <c r="L343" t="inlineStr">
        <is>
          <t>BANCOLOMBIA</t>
        </is>
      </c>
      <c r="M343" t="inlineStr">
        <is>
          <t>FO-25-1371598</t>
        </is>
      </c>
      <c r="N343" s="46" t="n">
        <v>45882.59027777778</v>
      </c>
      <c r="O343" s="46" t="n">
        <v>45883.6125</v>
      </c>
      <c r="P343" t="inlineStr">
        <is>
          <t>AGREGADOR</t>
        </is>
      </c>
      <c r="Q343" t="inlineStr">
        <is>
          <t>DISTRICOL</t>
        </is>
      </c>
      <c r="R343" t="inlineStr">
        <is>
          <t>EJECUTADO</t>
        </is>
      </c>
      <c r="S343" t="inlineStr">
        <is>
          <t>VISITA TECNICA</t>
        </is>
      </c>
      <c r="T343" t="inlineStr">
        <is>
          <t>FJZZZ914</t>
        </is>
      </c>
      <c r="U343" t="inlineStr">
        <is>
          <t>TIPO III</t>
        </is>
      </c>
      <c r="V343" t="inlineStr">
        <is>
          <t>TERRESTRE</t>
        </is>
      </c>
      <c r="W343" t="inlineStr">
        <is>
          <t>PEÑALOZA GUTIERREZ RAFAEL GUSTAVO</t>
        </is>
      </c>
      <c r="X343" t="inlineStr">
        <is>
          <t>Si</t>
        </is>
      </c>
      <c r="Y343" t="inlineStr">
        <is>
          <t>Si</t>
        </is>
      </c>
      <c r="Z343" s="45" t="n">
        <v>0</v>
      </c>
      <c r="AA343" t="inlineStr">
        <is>
          <t>0</t>
        </is>
      </c>
      <c r="AB343" s="45" t="n">
        <v>248376</v>
      </c>
      <c r="AC343" s="45" t="n">
        <v>0</v>
      </c>
    </row>
    <row r="344">
      <c r="A344" t="inlineStr">
        <is>
          <t>SANTA MARTA</t>
        </is>
      </c>
      <c r="B344" t="inlineStr">
        <is>
          <t>COSTA</t>
        </is>
      </c>
      <c r="C344" t="inlineStr">
        <is>
          <t>0004-0001</t>
        </is>
      </c>
      <c r="D344" t="inlineStr">
        <is>
          <t>44001</t>
        </is>
      </c>
      <c r="E344" t="inlineStr">
        <is>
          <t>TA-25-969581</t>
        </is>
      </c>
      <c r="F344" t="inlineStr">
        <is>
          <t>3007081028</t>
        </is>
      </c>
      <c r="G344" t="inlineStr">
        <is>
          <t>APERTURA</t>
        </is>
      </c>
      <c r="H344" t="inlineStr">
        <is>
          <t>CB CRECIMIENTO ALIANZA - NUEVO</t>
        </is>
      </c>
      <c r="I344" t="inlineStr">
        <is>
          <t>LA GUAJIRA</t>
        </is>
      </c>
      <c r="J344" t="inlineStr">
        <is>
          <t>RIOHACHA</t>
        </is>
      </c>
      <c r="K344" t="inlineStr">
        <is>
          <t>PTM RIOACHA TIENDA DEPORTIVA F</t>
        </is>
      </c>
      <c r="L344" t="inlineStr">
        <is>
          <t>BANCOLOMBIA</t>
        </is>
      </c>
      <c r="M344" t="inlineStr">
        <is>
          <t>FO-25-1371601</t>
        </is>
      </c>
      <c r="N344" s="46" t="n">
        <v>45882.59027777778</v>
      </c>
      <c r="O344" s="46" t="n">
        <v>45884.47291666667</v>
      </c>
      <c r="P344" t="inlineStr">
        <is>
          <t>AGREGADOR</t>
        </is>
      </c>
      <c r="Q344" t="inlineStr">
        <is>
          <t>COMCARD - PTM</t>
        </is>
      </c>
      <c r="R344" t="inlineStr">
        <is>
          <t>EJECUTADO</t>
        </is>
      </c>
      <c r="S344" t="inlineStr">
        <is>
          <t>VISITA TECNICA</t>
        </is>
      </c>
      <c r="T344" t="inlineStr">
        <is>
          <t>FJZZZ915-FJZZZ515</t>
        </is>
      </c>
      <c r="U344" t="inlineStr">
        <is>
          <t>TIPO III</t>
        </is>
      </c>
      <c r="V344" t="inlineStr">
        <is>
          <t>TERRESTRE</t>
        </is>
      </c>
      <c r="W344" t="inlineStr">
        <is>
          <t>PEÑALOZA GUTIERREZ RAFAEL GUSTAVO</t>
        </is>
      </c>
      <c r="X344" t="inlineStr">
        <is>
          <t>Si</t>
        </is>
      </c>
      <c r="Y344" t="inlineStr">
        <is>
          <t>Si</t>
        </is>
      </c>
      <c r="Z344" s="45" t="n">
        <v>0</v>
      </c>
      <c r="AA344" t="inlineStr">
        <is>
          <t>0</t>
        </is>
      </c>
      <c r="AB344" s="45" t="n">
        <v>248376</v>
      </c>
      <c r="AC344" s="45" t="n">
        <v>0</v>
      </c>
    </row>
    <row r="345">
      <c r="A345" t="inlineStr">
        <is>
          <t>SANTA MARTA</t>
        </is>
      </c>
      <c r="B345" t="inlineStr">
        <is>
          <t>COSTA</t>
        </is>
      </c>
      <c r="C345" t="inlineStr">
        <is>
          <t>0004-0001</t>
        </is>
      </c>
      <c r="D345" t="inlineStr">
        <is>
          <t>44090</t>
        </is>
      </c>
      <c r="E345" t="inlineStr">
        <is>
          <t>TA-25-969582</t>
        </is>
      </c>
      <c r="F345" t="inlineStr">
        <is>
          <t>3007081010</t>
        </is>
      </c>
      <c r="G345" t="inlineStr">
        <is>
          <t>APERTURA</t>
        </is>
      </c>
      <c r="H345" t="inlineStr">
        <is>
          <t>CB CRECIMIENTO ALIANZA - NUEVO</t>
        </is>
      </c>
      <c r="I345" t="inlineStr">
        <is>
          <t>LA GUAJIRA</t>
        </is>
      </c>
      <c r="J345" t="inlineStr">
        <is>
          <t>DIBULLA</t>
        </is>
      </c>
      <c r="K345" t="inlineStr">
        <is>
          <t>DISTRICOL DROGUERIA ALFARERO 2</t>
        </is>
      </c>
      <c r="L345" t="inlineStr">
        <is>
          <t>BANCOLOMBIA</t>
        </is>
      </c>
      <c r="M345" t="inlineStr">
        <is>
          <t>FO-25-1371604</t>
        </is>
      </c>
      <c r="N345" s="46" t="n">
        <v>45882.58611111111</v>
      </c>
      <c r="O345" s="46" t="n">
        <v>45883.61805555555</v>
      </c>
      <c r="P345" t="inlineStr">
        <is>
          <t>AGREGADOR</t>
        </is>
      </c>
      <c r="Q345" t="inlineStr">
        <is>
          <t>DISTRICOL</t>
        </is>
      </c>
      <c r="R345" t="inlineStr">
        <is>
          <t>EJECUTADO</t>
        </is>
      </c>
      <c r="S345" t="inlineStr">
        <is>
          <t>VISITA TECNICA</t>
        </is>
      </c>
      <c r="T345" t="inlineStr">
        <is>
          <t>FJZZZ916</t>
        </is>
      </c>
      <c r="U345" t="inlineStr">
        <is>
          <t>TIPO III</t>
        </is>
      </c>
      <c r="V345" t="inlineStr">
        <is>
          <t>TERRESTRE</t>
        </is>
      </c>
      <c r="W345" t="inlineStr">
        <is>
          <t>THOMAS  CAMPO SIGIFREDO SEGUNDO</t>
        </is>
      </c>
      <c r="X345" t="inlineStr">
        <is>
          <t>Si</t>
        </is>
      </c>
      <c r="Y345" t="inlineStr">
        <is>
          <t>Si</t>
        </is>
      </c>
      <c r="Z345" s="45" t="n">
        <v>0</v>
      </c>
      <c r="AA345" t="inlineStr">
        <is>
          <t>0</t>
        </is>
      </c>
      <c r="AB345" s="45" t="n">
        <v>248376</v>
      </c>
      <c r="AC345" s="45" t="n">
        <v>0</v>
      </c>
    </row>
    <row r="346">
      <c r="A346" t="inlineStr">
        <is>
          <t>VILLAVICENCIO</t>
        </is>
      </c>
      <c r="B346" t="inlineStr">
        <is>
          <t>REMOTAS</t>
        </is>
      </c>
      <c r="C346" t="inlineStr">
        <is>
          <t>0004-0007</t>
        </is>
      </c>
      <c r="D346" t="inlineStr">
        <is>
          <t>50001</t>
        </is>
      </c>
      <c r="E346" t="inlineStr">
        <is>
          <t>TA-25-969588</t>
        </is>
      </c>
      <c r="F346" t="inlineStr">
        <is>
          <t>3007081034</t>
        </is>
      </c>
      <c r="G346" t="inlineStr">
        <is>
          <t>APERTURA</t>
        </is>
      </c>
      <c r="H346" t="inlineStr">
        <is>
          <t>CB CRECIMIENTO ALIANZA - NUEVO</t>
        </is>
      </c>
      <c r="I346" t="inlineStr">
        <is>
          <t>META</t>
        </is>
      </c>
      <c r="J346" t="inlineStr">
        <is>
          <t>VILLAVICENCIO</t>
        </is>
      </c>
      <c r="K346" t="inlineStr">
        <is>
          <t>DISTRICOL DROGUERI GRAN TREBOL</t>
        </is>
      </c>
      <c r="L346" t="inlineStr">
        <is>
          <t>BANCOLOMBIA</t>
        </is>
      </c>
      <c r="M346" t="inlineStr">
        <is>
          <t>FO-25-1371613</t>
        </is>
      </c>
      <c r="N346" s="46" t="n">
        <v>45882.73888888889</v>
      </c>
      <c r="O346" s="46" t="n">
        <v>45883.50069444445</v>
      </c>
      <c r="P346" t="inlineStr">
        <is>
          <t>AGREGADOR</t>
        </is>
      </c>
      <c r="Q346" t="inlineStr">
        <is>
          <t>DISTRICOL</t>
        </is>
      </c>
      <c r="R346" t="inlineStr">
        <is>
          <t>EJECUTADO</t>
        </is>
      </c>
      <c r="S346" t="inlineStr">
        <is>
          <t>VISITA TECNICA</t>
        </is>
      </c>
      <c r="T346" t="inlineStr">
        <is>
          <t>FJZZZ918</t>
        </is>
      </c>
      <c r="U346" t="inlineStr">
        <is>
          <t>TIPO I</t>
        </is>
      </c>
      <c r="V346" t="inlineStr">
        <is>
          <t>TERRESTRE</t>
        </is>
      </c>
      <c r="W346" t="inlineStr">
        <is>
          <t>CASTRILLON URREA LONDIER LEANDRO</t>
        </is>
      </c>
      <c r="X346" t="inlineStr">
        <is>
          <t>Si</t>
        </is>
      </c>
      <c r="Y346" t="inlineStr">
        <is>
          <t>Si</t>
        </is>
      </c>
      <c r="Z346" s="45" t="n">
        <v>0</v>
      </c>
      <c r="AA346" t="inlineStr">
        <is>
          <t>0</t>
        </is>
      </c>
      <c r="AB346" s="45" t="n">
        <v>194983</v>
      </c>
      <c r="AC346" s="45" t="n">
        <v>0</v>
      </c>
    </row>
    <row r="347">
      <c r="A347" t="inlineStr">
        <is>
          <t>PASTO</t>
        </is>
      </c>
      <c r="B347" t="inlineStr">
        <is>
          <t>SUROCCIDENTE Y EJE CAFETERO</t>
        </is>
      </c>
      <c r="C347" t="inlineStr">
        <is>
          <t>0004-0003</t>
        </is>
      </c>
      <c r="D347" t="inlineStr">
        <is>
          <t>52001</t>
        </is>
      </c>
      <c r="E347" t="inlineStr">
        <is>
          <t>TA-25-969595</t>
        </is>
      </c>
      <c r="F347" t="inlineStr">
        <is>
          <t>3007081018</t>
        </is>
      </c>
      <c r="G347" t="inlineStr">
        <is>
          <t>APERTURA</t>
        </is>
      </c>
      <c r="H347" t="inlineStr">
        <is>
          <t>CB CRECIMIENTO ALIANZA - NUEVO</t>
        </is>
      </c>
      <c r="I347" t="inlineStr">
        <is>
          <t>NARIÑO</t>
        </is>
      </c>
      <c r="J347" t="inlineStr">
        <is>
          <t>PASTO</t>
        </is>
      </c>
      <c r="K347" t="inlineStr">
        <is>
          <t>DISTRICOL DROG FARMAMEDIC</t>
        </is>
      </c>
      <c r="L347" t="inlineStr">
        <is>
          <t>BANCOLOMBIA</t>
        </is>
      </c>
      <c r="M347" t="inlineStr">
        <is>
          <t>FO-25-1371620</t>
        </is>
      </c>
      <c r="N347" s="46" t="n">
        <v>45882.62291666667</v>
      </c>
      <c r="O347" s="46" t="n">
        <v>45884.58194444444</v>
      </c>
      <c r="P347" t="inlineStr">
        <is>
          <t>AGREGADOR</t>
        </is>
      </c>
      <c r="Q347" t="inlineStr">
        <is>
          <t>DISTRICOL</t>
        </is>
      </c>
      <c r="R347" t="inlineStr">
        <is>
          <t>EJECUTADO</t>
        </is>
      </c>
      <c r="S347" t="inlineStr">
        <is>
          <t>VISITA TECNICA</t>
        </is>
      </c>
      <c r="T347" t="inlineStr">
        <is>
          <t>FJZZZ920</t>
        </is>
      </c>
      <c r="U347" t="inlineStr">
        <is>
          <t>TIPO I</t>
        </is>
      </c>
      <c r="V347" t="inlineStr">
        <is>
          <t>TERRESTRE</t>
        </is>
      </c>
      <c r="W347" t="inlineStr">
        <is>
          <t>GUERRERO RAMIREZ OSCAR DARIO</t>
        </is>
      </c>
      <c r="X347" t="inlineStr">
        <is>
          <t>Si</t>
        </is>
      </c>
      <c r="Y347" t="inlineStr">
        <is>
          <t>Si</t>
        </is>
      </c>
      <c r="Z347" s="45" t="n">
        <v>0</v>
      </c>
      <c r="AA347" t="inlineStr">
        <is>
          <t>0</t>
        </is>
      </c>
      <c r="AB347" s="45" t="n">
        <v>194983</v>
      </c>
      <c r="AC347" s="45" t="n">
        <v>0</v>
      </c>
    </row>
    <row r="348">
      <c r="A348" t="inlineStr">
        <is>
          <t>CUCUTA</t>
        </is>
      </c>
      <c r="B348" t="inlineStr">
        <is>
          <t>SANTANDERES</t>
        </is>
      </c>
      <c r="C348" t="inlineStr">
        <is>
          <t>0004-0008</t>
        </is>
      </c>
      <c r="D348" t="inlineStr">
        <is>
          <t>54001</t>
        </is>
      </c>
      <c r="E348" t="inlineStr">
        <is>
          <t>TA-25-969626</t>
        </is>
      </c>
      <c r="F348" t="inlineStr">
        <is>
          <t>3007081007</t>
        </is>
      </c>
      <c r="G348" t="inlineStr">
        <is>
          <t>APERTURA</t>
        </is>
      </c>
      <c r="H348" t="inlineStr">
        <is>
          <t>CB CRECIMIENTO ALIANZA - NUEVO</t>
        </is>
      </c>
      <c r="I348" t="inlineStr">
        <is>
          <t>NORTE DE SANTANDER</t>
        </is>
      </c>
      <c r="J348" t="inlineStr">
        <is>
          <t>CUCUTA</t>
        </is>
      </c>
      <c r="K348" t="inlineStr">
        <is>
          <t>DISTRICOL MAX PLAX</t>
        </is>
      </c>
      <c r="L348" t="inlineStr">
        <is>
          <t>BANCOLOMBIA</t>
        </is>
      </c>
      <c r="M348" t="inlineStr">
        <is>
          <t>FO-25-1371624</t>
        </is>
      </c>
      <c r="N348" s="46" t="n">
        <v>45882.71875</v>
      </c>
      <c r="O348" s="46" t="n">
        <v>45884.65416666667</v>
      </c>
      <c r="P348" t="inlineStr">
        <is>
          <t>AGREGADOR</t>
        </is>
      </c>
      <c r="Q348" t="inlineStr">
        <is>
          <t>DISTRICOL</t>
        </is>
      </c>
      <c r="R348" t="inlineStr">
        <is>
          <t>EJECUTADO</t>
        </is>
      </c>
      <c r="S348" t="inlineStr">
        <is>
          <t>VISITA TECNICA</t>
        </is>
      </c>
      <c r="T348" t="inlineStr">
        <is>
          <t>FJZZZ922</t>
        </is>
      </c>
      <c r="U348" t="inlineStr">
        <is>
          <t>TIPO I</t>
        </is>
      </c>
      <c r="V348" t="inlineStr">
        <is>
          <t>TERRESTRE</t>
        </is>
      </c>
      <c r="W348" t="inlineStr">
        <is>
          <t>PACHECO BUITRAGO JAVIER ALONSO</t>
        </is>
      </c>
      <c r="X348" t="inlineStr">
        <is>
          <t>Si</t>
        </is>
      </c>
      <c r="Y348" t="inlineStr">
        <is>
          <t>Si</t>
        </is>
      </c>
      <c r="Z348" s="45" t="n">
        <v>0</v>
      </c>
      <c r="AA348" t="inlineStr">
        <is>
          <t>0</t>
        </is>
      </c>
      <c r="AB348" s="45" t="n">
        <v>194983</v>
      </c>
      <c r="AC348" s="45" t="n">
        <v>0</v>
      </c>
    </row>
    <row r="349">
      <c r="A349" t="inlineStr">
        <is>
          <t>CUCUTA</t>
        </is>
      </c>
      <c r="B349" t="inlineStr">
        <is>
          <t>SANTANDERES</t>
        </is>
      </c>
      <c r="C349" t="inlineStr">
        <is>
          <t>0004-0008</t>
        </is>
      </c>
      <c r="D349" t="inlineStr">
        <is>
          <t>54001</t>
        </is>
      </c>
      <c r="E349" t="inlineStr">
        <is>
          <t>TA-25-969639</t>
        </is>
      </c>
      <c r="F349" t="inlineStr">
        <is>
          <t>3007081008</t>
        </is>
      </c>
      <c r="G349" t="inlineStr">
        <is>
          <t>APERTURA</t>
        </is>
      </c>
      <c r="H349" t="inlineStr">
        <is>
          <t>CB CRECIMIENTO ALIANZA - NUEVO</t>
        </is>
      </c>
      <c r="I349" t="inlineStr">
        <is>
          <t>NORTE DE SANTANDER</t>
        </is>
      </c>
      <c r="J349" t="inlineStr">
        <is>
          <t>CUCUTA</t>
        </is>
      </c>
      <c r="K349" t="inlineStr">
        <is>
          <t>DISTRICOL ZULYRINCODENTALCLINI</t>
        </is>
      </c>
      <c r="L349" t="inlineStr">
        <is>
          <t>BANCOLOMBIA</t>
        </is>
      </c>
      <c r="M349" t="inlineStr">
        <is>
          <t>FO-25-1371629</t>
        </is>
      </c>
      <c r="N349" s="46" t="n">
        <v>45882.71875</v>
      </c>
      <c r="O349" s="46" t="n">
        <v>45883.56041666667</v>
      </c>
      <c r="P349" t="inlineStr">
        <is>
          <t>AGREGADOR</t>
        </is>
      </c>
      <c r="Q349" t="inlineStr">
        <is>
          <t>DISTRICOL</t>
        </is>
      </c>
      <c r="R349" t="inlineStr">
        <is>
          <t>EJECUTADO</t>
        </is>
      </c>
      <c r="S349" t="inlineStr">
        <is>
          <t>VISITA TECNICA</t>
        </is>
      </c>
      <c r="T349" t="inlineStr">
        <is>
          <t>FJZZZ923</t>
        </is>
      </c>
      <c r="U349" t="inlineStr">
        <is>
          <t>TIPO I</t>
        </is>
      </c>
      <c r="V349" t="inlineStr">
        <is>
          <t>TERRESTRE</t>
        </is>
      </c>
      <c r="W349" t="inlineStr">
        <is>
          <t>DURAN ACOSTA FRANK YONNY</t>
        </is>
      </c>
      <c r="X349" t="inlineStr">
        <is>
          <t>Si</t>
        </is>
      </c>
      <c r="Y349" t="inlineStr">
        <is>
          <t>Si</t>
        </is>
      </c>
      <c r="Z349" s="45" t="n">
        <v>0</v>
      </c>
      <c r="AA349" t="inlineStr">
        <is>
          <t>0</t>
        </is>
      </c>
      <c r="AB349" s="45" t="n">
        <v>194983</v>
      </c>
      <c r="AC349" s="45" t="n">
        <v>0</v>
      </c>
    </row>
    <row r="350">
      <c r="A350" t="inlineStr">
        <is>
          <t>CUCUTA</t>
        </is>
      </c>
      <c r="B350" t="inlineStr">
        <is>
          <t>SANTANDERES</t>
        </is>
      </c>
      <c r="C350" t="inlineStr">
        <is>
          <t>0004-0008</t>
        </is>
      </c>
      <c r="D350" t="inlineStr">
        <is>
          <t>54001</t>
        </is>
      </c>
      <c r="E350" t="inlineStr">
        <is>
          <t>TA-25-969648</t>
        </is>
      </c>
      <c r="F350" t="inlineStr">
        <is>
          <t>3007081009</t>
        </is>
      </c>
      <c r="G350" t="inlineStr">
        <is>
          <t>APERTURA</t>
        </is>
      </c>
      <c r="H350" t="inlineStr">
        <is>
          <t>CB CRECIMIENTO ALIANZA - NUEVO</t>
        </is>
      </c>
      <c r="I350" t="inlineStr">
        <is>
          <t>NORTE DE SANTANDER</t>
        </is>
      </c>
      <c r="J350" t="inlineStr">
        <is>
          <t>CUCUTA</t>
        </is>
      </c>
      <c r="K350" t="inlineStr">
        <is>
          <t>DISTRICOL MULTISERVICIOS ARKAD</t>
        </is>
      </c>
      <c r="L350" t="inlineStr">
        <is>
          <t>BANCOLOMBIA</t>
        </is>
      </c>
      <c r="M350" t="inlineStr">
        <is>
          <t>FO-25-1371631</t>
        </is>
      </c>
      <c r="N350" s="46" t="n">
        <v>45882.71875</v>
      </c>
      <c r="O350" s="46" t="n">
        <v>45884.30208333334</v>
      </c>
      <c r="P350" t="inlineStr">
        <is>
          <t>AGREGADOR</t>
        </is>
      </c>
      <c r="Q350" t="inlineStr">
        <is>
          <t>DISTRICOL</t>
        </is>
      </c>
      <c r="R350" t="inlineStr">
        <is>
          <t>EJECUTADO</t>
        </is>
      </c>
      <c r="S350" t="inlineStr">
        <is>
          <t>VISITA TECNICA</t>
        </is>
      </c>
      <c r="T350" t="inlineStr">
        <is>
          <t>FJZZZ924</t>
        </is>
      </c>
      <c r="U350" t="inlineStr">
        <is>
          <t>TIPO I</t>
        </is>
      </c>
      <c r="V350" t="inlineStr">
        <is>
          <t>TERRESTRE</t>
        </is>
      </c>
      <c r="W350" t="inlineStr">
        <is>
          <t>DURAN ACOSTA FRANK YONNY</t>
        </is>
      </c>
      <c r="X350" t="inlineStr">
        <is>
          <t>Si</t>
        </is>
      </c>
      <c r="Y350" t="inlineStr">
        <is>
          <t>Si</t>
        </is>
      </c>
      <c r="Z350" s="45" t="n">
        <v>0</v>
      </c>
      <c r="AA350" t="inlineStr">
        <is>
          <t>0</t>
        </is>
      </c>
      <c r="AB350" s="45" t="n">
        <v>194983</v>
      </c>
      <c r="AC350" s="45" t="n">
        <v>0</v>
      </c>
    </row>
    <row r="351">
      <c r="A351" t="inlineStr">
        <is>
          <t>PEREIRA</t>
        </is>
      </c>
      <c r="B351" t="inlineStr">
        <is>
          <t>SUROCCIDENTE Y EJE CAFETERO</t>
        </is>
      </c>
      <c r="C351" t="inlineStr">
        <is>
          <t>0004-0002</t>
        </is>
      </c>
      <c r="D351" t="inlineStr">
        <is>
          <t>63594</t>
        </is>
      </c>
      <c r="E351" t="inlineStr">
        <is>
          <t>TA-25-969652</t>
        </is>
      </c>
      <c r="F351" t="inlineStr">
        <is>
          <t>3007081024</t>
        </is>
      </c>
      <c r="G351" t="inlineStr">
        <is>
          <t>APERTURA</t>
        </is>
      </c>
      <c r="H351" t="inlineStr">
        <is>
          <t>CB CRECIMIENTO ALIANZA - NUEVO</t>
        </is>
      </c>
      <c r="I351" t="inlineStr">
        <is>
          <t>QUINDIO</t>
        </is>
      </c>
      <c r="J351" t="inlineStr">
        <is>
          <t>QUIMBAYA</t>
        </is>
      </c>
      <c r="K351" t="inlineStr">
        <is>
          <t>DISTRICOL TONNY RYP SERVICIOS</t>
        </is>
      </c>
      <c r="L351" t="inlineStr">
        <is>
          <t>BANCOLOMBIA</t>
        </is>
      </c>
      <c r="M351" t="inlineStr">
        <is>
          <t>FO-25-1371636</t>
        </is>
      </c>
      <c r="N351" s="46" t="n">
        <v>45882.62013888889</v>
      </c>
      <c r="O351" s="46" t="n">
        <v>45884.55138888889</v>
      </c>
      <c r="P351" t="inlineStr">
        <is>
          <t>AGREGADOR</t>
        </is>
      </c>
      <c r="Q351" t="inlineStr">
        <is>
          <t>DISTRICOL</t>
        </is>
      </c>
      <c r="R351" t="inlineStr">
        <is>
          <t>EJECUTADO</t>
        </is>
      </c>
      <c r="S351" t="inlineStr">
        <is>
          <t>VISITA TECNICA</t>
        </is>
      </c>
      <c r="T351" t="inlineStr">
        <is>
          <t xml:space="preserve"> FJZZZ925</t>
        </is>
      </c>
      <c r="U351" t="inlineStr">
        <is>
          <t>TIPO II</t>
        </is>
      </c>
      <c r="V351" t="inlineStr">
        <is>
          <t>TERRESTRE</t>
        </is>
      </c>
      <c r="W351" t="inlineStr">
        <is>
          <t>SANCHEZ SOLORZANO JUAN SEBASTIAN</t>
        </is>
      </c>
      <c r="X351" t="inlineStr">
        <is>
          <t>Si</t>
        </is>
      </c>
      <c r="Y351" t="inlineStr">
        <is>
          <t>Si</t>
        </is>
      </c>
      <c r="Z351" s="45" t="n">
        <v>0</v>
      </c>
      <c r="AA351" t="inlineStr">
        <is>
          <t>0</t>
        </is>
      </c>
      <c r="AB351" s="45" t="n">
        <v>248376</v>
      </c>
      <c r="AC351" s="45" t="n">
        <v>0</v>
      </c>
    </row>
    <row r="352">
      <c r="A352" t="inlineStr">
        <is>
          <t>PEREIRA</t>
        </is>
      </c>
      <c r="B352" t="inlineStr">
        <is>
          <t>SUROCCIDENTE Y EJE CAFETERO</t>
        </is>
      </c>
      <c r="C352" t="inlineStr">
        <is>
          <t>0004-0002</t>
        </is>
      </c>
      <c r="D352" t="inlineStr">
        <is>
          <t>66001</t>
        </is>
      </c>
      <c r="E352" t="inlineStr">
        <is>
          <t>TA-25-969654</t>
        </is>
      </c>
      <c r="F352" t="inlineStr">
        <is>
          <t>3007081019</t>
        </is>
      </c>
      <c r="G352" t="inlineStr">
        <is>
          <t>APERTURA</t>
        </is>
      </c>
      <c r="H352" t="inlineStr">
        <is>
          <t>CB CRECIMIENTO ALIANZA - NUEVO</t>
        </is>
      </c>
      <c r="I352" t="inlineStr">
        <is>
          <t>RISARALDA</t>
        </is>
      </c>
      <c r="J352" t="inlineStr">
        <is>
          <t>PEREIRA</t>
        </is>
      </c>
      <c r="K352" t="inlineStr">
        <is>
          <t>DISTRICOL TECNOMANIA EL GOCHO</t>
        </is>
      </c>
      <c r="L352" t="inlineStr">
        <is>
          <t>BANCOLOMBIA</t>
        </is>
      </c>
      <c r="M352" t="inlineStr">
        <is>
          <t>FO-25-1371640</t>
        </is>
      </c>
      <c r="N352" s="46" t="n">
        <v>45882.66319444445</v>
      </c>
      <c r="O352" s="46" t="n">
        <v>45883.54305555556</v>
      </c>
      <c r="P352" t="inlineStr">
        <is>
          <t>AGREGADOR</t>
        </is>
      </c>
      <c r="Q352" t="inlineStr">
        <is>
          <t>DISTRICOL</t>
        </is>
      </c>
      <c r="R352" t="inlineStr">
        <is>
          <t>EJECUTADO</t>
        </is>
      </c>
      <c r="S352" t="inlineStr">
        <is>
          <t>VISITA TECNICA</t>
        </is>
      </c>
      <c r="T352" t="inlineStr">
        <is>
          <t>FJZZZ926</t>
        </is>
      </c>
      <c r="U352" t="inlineStr">
        <is>
          <t>TIPO I</t>
        </is>
      </c>
      <c r="V352" t="inlineStr">
        <is>
          <t>TERRESTRE</t>
        </is>
      </c>
      <c r="W352" t="inlineStr">
        <is>
          <t>FRANCO CAÑAVERAL YAMID RAUL</t>
        </is>
      </c>
      <c r="X352" t="inlineStr">
        <is>
          <t>Si</t>
        </is>
      </c>
      <c r="Y352" t="inlineStr">
        <is>
          <t>Si</t>
        </is>
      </c>
      <c r="Z352" s="45" t="n">
        <v>0</v>
      </c>
      <c r="AA352" t="inlineStr">
        <is>
          <t>0</t>
        </is>
      </c>
      <c r="AB352" s="45" t="n">
        <v>194983</v>
      </c>
      <c r="AC352" s="45" t="n">
        <v>0</v>
      </c>
    </row>
    <row r="353">
      <c r="A353" t="inlineStr">
        <is>
          <t>PEREIRA</t>
        </is>
      </c>
      <c r="B353" t="inlineStr">
        <is>
          <t>SUROCCIDENTE Y EJE CAFETERO</t>
        </is>
      </c>
      <c r="C353" t="inlineStr">
        <is>
          <t>0004-0002</t>
        </is>
      </c>
      <c r="D353" t="inlineStr">
        <is>
          <t>66045</t>
        </is>
      </c>
      <c r="E353" t="inlineStr">
        <is>
          <t>TA-25-969655</t>
        </is>
      </c>
      <c r="F353" t="inlineStr">
        <is>
          <t>3007080992</t>
        </is>
      </c>
      <c r="G353" t="inlineStr">
        <is>
          <t>APERTURA</t>
        </is>
      </c>
      <c r="H353" t="inlineStr">
        <is>
          <t>CB CRECIMIENTO ALIANZA - NUEVO</t>
        </is>
      </c>
      <c r="I353" t="inlineStr">
        <is>
          <t>RISARALDA</t>
        </is>
      </c>
      <c r="J353" t="inlineStr">
        <is>
          <t>APIA</t>
        </is>
      </c>
      <c r="K353" t="inlineStr">
        <is>
          <t>DISTRICOL SWEET GIRL BY EMILY</t>
        </is>
      </c>
      <c r="L353" t="inlineStr">
        <is>
          <t>BANCOLOMBIA</t>
        </is>
      </c>
      <c r="M353" t="inlineStr">
        <is>
          <t>FO-25-1371643</t>
        </is>
      </c>
      <c r="N353" s="46" t="n">
        <v>45882.63888888889</v>
      </c>
      <c r="O353" s="46" t="n">
        <v>45884.60208333333</v>
      </c>
      <c r="P353" t="inlineStr">
        <is>
          <t>AGREGADOR</t>
        </is>
      </c>
      <c r="Q353" t="inlineStr">
        <is>
          <t>DISTRICOL</t>
        </is>
      </c>
      <c r="R353" t="inlineStr">
        <is>
          <t>EJECUTADO</t>
        </is>
      </c>
      <c r="S353" t="inlineStr">
        <is>
          <t>VISITA TECNICA</t>
        </is>
      </c>
      <c r="T353" t="inlineStr">
        <is>
          <t>FJZZZ927</t>
        </is>
      </c>
      <c r="U353" t="inlineStr">
        <is>
          <t>TIPO II</t>
        </is>
      </c>
      <c r="V353" t="inlineStr">
        <is>
          <t>TERRESTRE</t>
        </is>
      </c>
      <c r="W353" t="inlineStr">
        <is>
          <t>ARROYAVE CANO MANUEL GUILLERMO</t>
        </is>
      </c>
      <c r="X353" t="inlineStr">
        <is>
          <t>Si</t>
        </is>
      </c>
      <c r="Y353" t="inlineStr">
        <is>
          <t>Si</t>
        </is>
      </c>
      <c r="Z353" s="45" t="n">
        <v>0</v>
      </c>
      <c r="AA353" t="inlineStr">
        <is>
          <t>0</t>
        </is>
      </c>
      <c r="AB353" s="45" t="n">
        <v>248376</v>
      </c>
      <c r="AC353" s="45" t="n">
        <v>0</v>
      </c>
    </row>
    <row r="354">
      <c r="A354" t="inlineStr">
        <is>
          <t>BUCARAMANGA</t>
        </is>
      </c>
      <c r="B354" t="inlineStr">
        <is>
          <t>SANTANDERES</t>
        </is>
      </c>
      <c r="C354" t="inlineStr">
        <is>
          <t>0004-0008</t>
        </is>
      </c>
      <c r="D354" t="inlineStr">
        <is>
          <t>68001</t>
        </is>
      </c>
      <c r="E354" t="inlineStr">
        <is>
          <t>TA-25-969656</t>
        </is>
      </c>
      <c r="F354" t="inlineStr">
        <is>
          <t>3007080998</t>
        </is>
      </c>
      <c r="G354" t="inlineStr">
        <is>
          <t>APERTURA</t>
        </is>
      </c>
      <c r="H354" t="inlineStr">
        <is>
          <t>CB CRECIMIENTO ALIANZA - NUEVO</t>
        </is>
      </c>
      <c r="I354" t="inlineStr">
        <is>
          <t>SANTANDER</t>
        </is>
      </c>
      <c r="J354" t="inlineStr">
        <is>
          <t>BUCARAMANGA</t>
        </is>
      </c>
      <c r="K354" t="inlineStr">
        <is>
          <t>PTM BUCARAMANGA DESTELLOS CYC</t>
        </is>
      </c>
      <c r="L354" t="inlineStr">
        <is>
          <t>BANCOLOMBIA</t>
        </is>
      </c>
      <c r="M354" t="inlineStr">
        <is>
          <t>FO-25-1371647</t>
        </is>
      </c>
      <c r="N354" s="46" t="n">
        <v>45882.71875</v>
      </c>
      <c r="O354" s="46" t="n">
        <v>45883.51458333333</v>
      </c>
      <c r="P354" t="inlineStr">
        <is>
          <t>AGREGADOR</t>
        </is>
      </c>
      <c r="Q354" t="inlineStr">
        <is>
          <t>COMCARD - PTM</t>
        </is>
      </c>
      <c r="R354" t="inlineStr">
        <is>
          <t>EJECUTADO</t>
        </is>
      </c>
      <c r="S354" t="inlineStr">
        <is>
          <t>VISITA TECNICA</t>
        </is>
      </c>
      <c r="T354" t="inlineStr">
        <is>
          <t>FJZZZ928 - FJZZZ522</t>
        </is>
      </c>
      <c r="U354" t="inlineStr">
        <is>
          <t>TIPO I</t>
        </is>
      </c>
      <c r="V354" t="inlineStr">
        <is>
          <t>TERRESTRE</t>
        </is>
      </c>
      <c r="W354" t="inlineStr">
        <is>
          <t>ORTEBARRERAGA MARLON STWAR</t>
        </is>
      </c>
      <c r="X354" t="inlineStr">
        <is>
          <t>Si</t>
        </is>
      </c>
      <c r="Y354" t="inlineStr">
        <is>
          <t>Si</t>
        </is>
      </c>
      <c r="Z354" s="45" t="n">
        <v>0</v>
      </c>
      <c r="AA354" t="inlineStr">
        <is>
          <t>0</t>
        </is>
      </c>
      <c r="AB354" s="45" t="n">
        <v>194983</v>
      </c>
      <c r="AC354" s="45" t="n">
        <v>0</v>
      </c>
    </row>
    <row r="355">
      <c r="A355" t="inlineStr">
        <is>
          <t>BUCARAMANGA</t>
        </is>
      </c>
      <c r="B355" t="inlineStr">
        <is>
          <t>SANTANDERES</t>
        </is>
      </c>
      <c r="C355" t="inlineStr">
        <is>
          <t>0004-0008</t>
        </is>
      </c>
      <c r="D355" t="inlineStr">
        <is>
          <t>68001</t>
        </is>
      </c>
      <c r="E355" t="inlineStr">
        <is>
          <t>TA-25-969658</t>
        </is>
      </c>
      <c r="F355" t="inlineStr">
        <is>
          <t>3007080999</t>
        </is>
      </c>
      <c r="G355" t="inlineStr">
        <is>
          <t>APERTURA</t>
        </is>
      </c>
      <c r="H355" t="inlineStr">
        <is>
          <t>CB CRECIMIENTO ALIANZA - NUEVO</t>
        </is>
      </c>
      <c r="I355" t="inlineStr">
        <is>
          <t>SANTANDER</t>
        </is>
      </c>
      <c r="J355" t="inlineStr">
        <is>
          <t>BUCARAMANGA</t>
        </is>
      </c>
      <c r="K355" t="inlineStr">
        <is>
          <t>PTM BUCARAMANGA MINIMARKET EL</t>
        </is>
      </c>
      <c r="L355" t="inlineStr">
        <is>
          <t>BANCOLOMBIA</t>
        </is>
      </c>
      <c r="M355" t="inlineStr">
        <is>
          <t>FO-25-1371649</t>
        </is>
      </c>
      <c r="N355" s="46" t="n">
        <v>45882.71944444445</v>
      </c>
      <c r="O355" s="46" t="n">
        <v>45891.30972222222</v>
      </c>
      <c r="P355" t="inlineStr">
        <is>
          <t>AGREGADOR</t>
        </is>
      </c>
      <c r="Q355" t="inlineStr">
        <is>
          <t>COMCARD - PTM</t>
        </is>
      </c>
      <c r="R355" t="inlineStr">
        <is>
          <t>EJECUTADO</t>
        </is>
      </c>
      <c r="S355" t="inlineStr">
        <is>
          <t>VISITA TECNICA</t>
        </is>
      </c>
      <c r="T355" t="inlineStr">
        <is>
          <t>FJZZZ523-FJZZZ929</t>
        </is>
      </c>
      <c r="U355" t="inlineStr">
        <is>
          <t>TIPO I</t>
        </is>
      </c>
      <c r="V355" t="inlineStr">
        <is>
          <t>TERRESTRE</t>
        </is>
      </c>
      <c r="W355" t="inlineStr">
        <is>
          <t>PEÑA DIAZ IVAN YESID</t>
        </is>
      </c>
      <c r="X355" t="inlineStr">
        <is>
          <t>Si</t>
        </is>
      </c>
      <c r="Y355" t="inlineStr">
        <is>
          <t>Si</t>
        </is>
      </c>
      <c r="Z355" s="45" t="n">
        <v>0</v>
      </c>
      <c r="AA355" t="inlineStr">
        <is>
          <t>0</t>
        </is>
      </c>
      <c r="AB355" s="45" t="n">
        <v>194983</v>
      </c>
      <c r="AC355" s="45" t="n">
        <v>0</v>
      </c>
    </row>
    <row r="356">
      <c r="A356" t="inlineStr">
        <is>
          <t>BUCARAMANGA</t>
        </is>
      </c>
      <c r="B356" t="inlineStr">
        <is>
          <t>SANTANDERES</t>
        </is>
      </c>
      <c r="C356" t="inlineStr">
        <is>
          <t>0004-0008</t>
        </is>
      </c>
      <c r="D356" t="inlineStr">
        <is>
          <t>68547</t>
        </is>
      </c>
      <c r="E356" t="inlineStr">
        <is>
          <t>TA-25-969660</t>
        </is>
      </c>
      <c r="F356" t="inlineStr">
        <is>
          <t>3007081020</t>
        </is>
      </c>
      <c r="G356" t="inlineStr">
        <is>
          <t>APERTURA</t>
        </is>
      </c>
      <c r="H356" t="inlineStr">
        <is>
          <t>CB CRECIMIENTO ALIANZA - NUEVO</t>
        </is>
      </c>
      <c r="I356" t="inlineStr">
        <is>
          <t>SANTANDER</t>
        </is>
      </c>
      <c r="J356" t="inlineStr">
        <is>
          <t>PIEDECUESTA</t>
        </is>
      </c>
      <c r="K356" t="inlineStr">
        <is>
          <t>PTM PIEDECUESTA EL RINCÓN DE A</t>
        </is>
      </c>
      <c r="L356" t="inlineStr">
        <is>
          <t>BANCOLOMBIA</t>
        </is>
      </c>
      <c r="M356" t="inlineStr">
        <is>
          <t>FO-25-1371651</t>
        </is>
      </c>
      <c r="N356" s="46" t="n">
        <v>45882.71944444445</v>
      </c>
      <c r="O356" s="46" t="n">
        <v>45883.62291666667</v>
      </c>
      <c r="P356" t="inlineStr">
        <is>
          <t>AGREGADOR</t>
        </is>
      </c>
      <c r="Q356" t="inlineStr">
        <is>
          <t>COMCARD - PTM</t>
        </is>
      </c>
      <c r="R356" t="inlineStr">
        <is>
          <t>EJECUTADO</t>
        </is>
      </c>
      <c r="S356" t="inlineStr">
        <is>
          <t>VISITA TECNICA</t>
        </is>
      </c>
      <c r="T356" t="inlineStr">
        <is>
          <t>FJZZZ526-FJZZZ530</t>
        </is>
      </c>
      <c r="U356" t="inlineStr">
        <is>
          <t>TIPO II</t>
        </is>
      </c>
      <c r="V356" t="inlineStr">
        <is>
          <t>TERRESTRE</t>
        </is>
      </c>
      <c r="W356" t="inlineStr">
        <is>
          <t>MARIÑO PABON JORGE ENRIQUE</t>
        </is>
      </c>
      <c r="X356" t="inlineStr">
        <is>
          <t>Si</t>
        </is>
      </c>
      <c r="Y356" t="inlineStr">
        <is>
          <t>Si</t>
        </is>
      </c>
      <c r="Z356" s="45" t="n">
        <v>0</v>
      </c>
      <c r="AA356" t="inlineStr">
        <is>
          <t>0</t>
        </is>
      </c>
      <c r="AB356" s="45" t="n">
        <v>248376</v>
      </c>
      <c r="AC356" s="45" t="n">
        <v>0</v>
      </c>
    </row>
    <row r="357">
      <c r="A357" t="inlineStr">
        <is>
          <t>CALI</t>
        </is>
      </c>
      <c r="B357" t="inlineStr">
        <is>
          <t>SUROCCIDENTE Y EJE CAFETERO</t>
        </is>
      </c>
      <c r="C357" t="inlineStr">
        <is>
          <t>0004-0003</t>
        </is>
      </c>
      <c r="D357" t="inlineStr">
        <is>
          <t>76001</t>
        </is>
      </c>
      <c r="E357" t="inlineStr">
        <is>
          <t>TA-25-969661</t>
        </is>
      </c>
      <c r="F357" t="inlineStr">
        <is>
          <t>3007081001</t>
        </is>
      </c>
      <c r="G357" t="inlineStr">
        <is>
          <t>APERTURA</t>
        </is>
      </c>
      <c r="H357" t="inlineStr">
        <is>
          <t>CB CRECIMIENTO ALIANZA - NUEVO</t>
        </is>
      </c>
      <c r="I357" t="inlineStr">
        <is>
          <t>VALLE DEL CAUCA</t>
        </is>
      </c>
      <c r="J357" t="inlineStr">
        <is>
          <t>CALI</t>
        </is>
      </c>
      <c r="K357" t="inlineStr">
        <is>
          <t>DISTRICOL MULTISERVICIOS MATI</t>
        </is>
      </c>
      <c r="L357" t="inlineStr">
        <is>
          <t>BANCOLOMBIA</t>
        </is>
      </c>
      <c r="M357" t="inlineStr">
        <is>
          <t>FO-25-1371653</t>
        </is>
      </c>
      <c r="N357" s="46" t="n">
        <v>45882.70972222222</v>
      </c>
      <c r="O357" s="46" t="n">
        <v>45883.625</v>
      </c>
      <c r="P357" t="inlineStr">
        <is>
          <t>AGREGADOR</t>
        </is>
      </c>
      <c r="Q357" t="inlineStr">
        <is>
          <t>DISTRICOL</t>
        </is>
      </c>
      <c r="R357" t="inlineStr">
        <is>
          <t>EJECUTADO</t>
        </is>
      </c>
      <c r="S357" t="inlineStr">
        <is>
          <t>VISITA TECNICA</t>
        </is>
      </c>
      <c r="T357" t="inlineStr">
        <is>
          <t>FJZZZ931</t>
        </is>
      </c>
      <c r="U357" t="inlineStr">
        <is>
          <t>TIPO I</t>
        </is>
      </c>
      <c r="V357" t="inlineStr">
        <is>
          <t>TERRESTRE</t>
        </is>
      </c>
      <c r="W357" t="inlineStr">
        <is>
          <t>HERRERA MONAR GEOVANNY</t>
        </is>
      </c>
      <c r="X357" t="inlineStr">
        <is>
          <t>Si</t>
        </is>
      </c>
      <c r="Y357" t="inlineStr">
        <is>
          <t>Si</t>
        </is>
      </c>
      <c r="Z357" s="45" t="n">
        <v>0</v>
      </c>
      <c r="AA357" t="inlineStr">
        <is>
          <t>0</t>
        </is>
      </c>
      <c r="AB357" s="45" t="n">
        <v>194983</v>
      </c>
      <c r="AC357" s="45" t="n">
        <v>0</v>
      </c>
    </row>
    <row r="358">
      <c r="A358" t="inlineStr">
        <is>
          <t>CALI</t>
        </is>
      </c>
      <c r="B358" t="inlineStr">
        <is>
          <t>SUROCCIDENTE Y EJE CAFETERO</t>
        </is>
      </c>
      <c r="C358" t="inlineStr">
        <is>
          <t>0004-0003</t>
        </is>
      </c>
      <c r="D358" t="inlineStr">
        <is>
          <t>76001</t>
        </is>
      </c>
      <c r="E358" t="inlineStr">
        <is>
          <t>TA-25-969663</t>
        </is>
      </c>
      <c r="F358" t="inlineStr">
        <is>
          <t>3007081003</t>
        </is>
      </c>
      <c r="G358" t="inlineStr">
        <is>
          <t>APERTURA</t>
        </is>
      </c>
      <c r="H358" t="inlineStr">
        <is>
          <t>CB CRECIMIENTO ALIANZA - NUEVO</t>
        </is>
      </c>
      <c r="I358" t="inlineStr">
        <is>
          <t>VALLE DEL CAUCA</t>
        </is>
      </c>
      <c r="J358" t="inlineStr">
        <is>
          <t>CALI</t>
        </is>
      </c>
      <c r="K358" t="inlineStr">
        <is>
          <t>PTM CALI VARIEDADES MARIANNE</t>
        </is>
      </c>
      <c r="L358" t="inlineStr">
        <is>
          <t>BANCOLOMBIA</t>
        </is>
      </c>
      <c r="M358" t="inlineStr">
        <is>
          <t>FO-25-1371661</t>
        </is>
      </c>
      <c r="N358" s="46" t="n">
        <v>45882.725</v>
      </c>
      <c r="O358" s="46" t="n">
        <v>45891.30902777778</v>
      </c>
      <c r="P358" t="inlineStr">
        <is>
          <t>AGREGADOR</t>
        </is>
      </c>
      <c r="Q358" t="inlineStr">
        <is>
          <t>COMCARD - PTM</t>
        </is>
      </c>
      <c r="R358" t="inlineStr">
        <is>
          <t>EJECUTADO</t>
        </is>
      </c>
      <c r="S358" t="inlineStr">
        <is>
          <t>VISITA TECNICA</t>
        </is>
      </c>
      <c r="T358" t="inlineStr">
        <is>
          <t>FJZZZ933 - EF03Z214</t>
        </is>
      </c>
      <c r="U358" t="inlineStr">
        <is>
          <t>TIPO I</t>
        </is>
      </c>
      <c r="V358" t="inlineStr">
        <is>
          <t>TERRESTRE</t>
        </is>
      </c>
      <c r="W358" t="inlineStr">
        <is>
          <t>MONTERO MUESES GIAN CARLO</t>
        </is>
      </c>
      <c r="X358" t="inlineStr">
        <is>
          <t>Si</t>
        </is>
      </c>
      <c r="Y358" t="inlineStr">
        <is>
          <t>Si</t>
        </is>
      </c>
      <c r="Z358" s="45" t="n">
        <v>0</v>
      </c>
      <c r="AA358" t="inlineStr">
        <is>
          <t>0</t>
        </is>
      </c>
      <c r="AB358" s="45" t="n">
        <v>194983</v>
      </c>
      <c r="AC358" s="45" t="n">
        <v>0</v>
      </c>
    </row>
    <row r="359">
      <c r="A359" t="inlineStr">
        <is>
          <t>CALI</t>
        </is>
      </c>
      <c r="B359" t="inlineStr">
        <is>
          <t>SUROCCIDENTE Y EJE CAFETERO</t>
        </is>
      </c>
      <c r="C359" t="inlineStr">
        <is>
          <t>0004-0003</t>
        </is>
      </c>
      <c r="D359" t="inlineStr">
        <is>
          <t>76130</t>
        </is>
      </c>
      <c r="E359" t="inlineStr">
        <is>
          <t>TA-25-969664</t>
        </is>
      </c>
      <c r="F359" t="inlineStr">
        <is>
          <t>3007081004</t>
        </is>
      </c>
      <c r="G359" t="inlineStr">
        <is>
          <t>APERTURA</t>
        </is>
      </c>
      <c r="H359" t="inlineStr">
        <is>
          <t>CB CRECIMIENTO ALIANZA - NUEVO</t>
        </is>
      </c>
      <c r="I359" t="inlineStr">
        <is>
          <t>VALLE DEL CAUCA</t>
        </is>
      </c>
      <c r="J359" t="inlineStr">
        <is>
          <t>CANDELARIA</t>
        </is>
      </c>
      <c r="K359" t="inlineStr">
        <is>
          <t>PTM CANDELARIA VARIEDADES M&amp;G</t>
        </is>
      </c>
      <c r="L359" t="inlineStr">
        <is>
          <t>BANCOLOMBIA</t>
        </is>
      </c>
      <c r="M359" t="inlineStr">
        <is>
          <t>FO-25-1371663</t>
        </is>
      </c>
      <c r="N359" s="46" t="n">
        <v>45882.69652777778</v>
      </c>
      <c r="O359" s="46" t="n">
        <v>45884.30902777778</v>
      </c>
      <c r="P359" t="inlineStr">
        <is>
          <t>AGREGADOR</t>
        </is>
      </c>
      <c r="Q359" t="inlineStr">
        <is>
          <t>COMCARD - PTM</t>
        </is>
      </c>
      <c r="R359" t="inlineStr">
        <is>
          <t>EJECUTADO</t>
        </is>
      </c>
      <c r="S359" t="inlineStr">
        <is>
          <t>VISITA TECNICA</t>
        </is>
      </c>
      <c r="T359" t="inlineStr">
        <is>
          <t>FJZZZ934, FJZZZ536</t>
        </is>
      </c>
      <c r="U359" t="inlineStr">
        <is>
          <t>TIPO II</t>
        </is>
      </c>
      <c r="V359" t="inlineStr">
        <is>
          <t>TERRESTRE</t>
        </is>
      </c>
      <c r="W359" t="inlineStr">
        <is>
          <t>BOLAÑOS TABORDA JORGE ENRIQUE</t>
        </is>
      </c>
      <c r="X359" t="inlineStr">
        <is>
          <t>Si</t>
        </is>
      </c>
      <c r="Y359" t="inlineStr">
        <is>
          <t>Si</t>
        </is>
      </c>
      <c r="Z359" s="45" t="n">
        <v>0</v>
      </c>
      <c r="AA359" t="inlineStr">
        <is>
          <t>0</t>
        </is>
      </c>
      <c r="AB359" s="45" t="n">
        <v>248376</v>
      </c>
      <c r="AC359" s="45" t="n">
        <v>0</v>
      </c>
    </row>
    <row r="360">
      <c r="A360" t="inlineStr">
        <is>
          <t>CALI</t>
        </is>
      </c>
      <c r="B360" t="inlineStr">
        <is>
          <t>SUROCCIDENTE Y EJE CAFETERO</t>
        </is>
      </c>
      <c r="C360" t="inlineStr">
        <is>
          <t>0004-0003</t>
        </is>
      </c>
      <c r="D360" t="inlineStr">
        <is>
          <t>76834</t>
        </is>
      </c>
      <c r="E360" t="inlineStr">
        <is>
          <t>TA-25-969665</t>
        </is>
      </c>
      <c r="F360" t="inlineStr">
        <is>
          <t>3007081030</t>
        </is>
      </c>
      <c r="G360" t="inlineStr">
        <is>
          <t>APERTURA</t>
        </is>
      </c>
      <c r="H360" t="inlineStr">
        <is>
          <t>CB CRECIMIENTO ALIANZA - NUEVO</t>
        </is>
      </c>
      <c r="I360" t="inlineStr">
        <is>
          <t>VALLE DEL CAUCA</t>
        </is>
      </c>
      <c r="J360" t="inlineStr">
        <is>
          <t>TULUA</t>
        </is>
      </c>
      <c r="K360" t="inlineStr">
        <is>
          <t>PTM TULIA CHALOZ</t>
        </is>
      </c>
      <c r="L360" t="inlineStr">
        <is>
          <t>BANCOLOMBIA</t>
        </is>
      </c>
      <c r="M360" t="inlineStr">
        <is>
          <t>FO-25-1371666</t>
        </is>
      </c>
      <c r="N360" s="46" t="n">
        <v>45882.66805555556</v>
      </c>
      <c r="O360" s="46" t="n">
        <v>45884.68263888889</v>
      </c>
      <c r="P360" t="inlineStr">
        <is>
          <t>AGREGADOR</t>
        </is>
      </c>
      <c r="Q360" t="inlineStr">
        <is>
          <t>COMCARD - PTM</t>
        </is>
      </c>
      <c r="R360" t="inlineStr">
        <is>
          <t>EJECUTADO</t>
        </is>
      </c>
      <c r="S360" t="inlineStr">
        <is>
          <t>VISITA TECNICA</t>
        </is>
      </c>
      <c r="T360" t="inlineStr">
        <is>
          <t>FJZZZ935 - FJZZZ542</t>
        </is>
      </c>
      <c r="U360" t="inlineStr">
        <is>
          <t>TIPO II</t>
        </is>
      </c>
      <c r="V360" t="inlineStr">
        <is>
          <t>TERRESTRE</t>
        </is>
      </c>
      <c r="W360" t="inlineStr">
        <is>
          <t>TORRES GARCIA JENDRY JOSE</t>
        </is>
      </c>
      <c r="X360" t="inlineStr">
        <is>
          <t>Si</t>
        </is>
      </c>
      <c r="Y360" t="inlineStr">
        <is>
          <t>Si</t>
        </is>
      </c>
      <c r="Z360" s="45" t="n">
        <v>0</v>
      </c>
      <c r="AA360" t="inlineStr">
        <is>
          <t>0</t>
        </is>
      </c>
      <c r="AB360" s="45" t="n">
        <v>248376</v>
      </c>
      <c r="AC360" s="45" t="n">
        <v>0</v>
      </c>
    </row>
    <row r="361">
      <c r="A361" t="inlineStr">
        <is>
          <t>BUCARAMANGA</t>
        </is>
      </c>
      <c r="B361" t="inlineStr">
        <is>
          <t>SANTANDERES</t>
        </is>
      </c>
      <c r="C361" t="inlineStr">
        <is>
          <t>0004-0008</t>
        </is>
      </c>
      <c r="D361" t="inlineStr">
        <is>
          <t>81001</t>
        </is>
      </c>
      <c r="E361" t="inlineStr">
        <is>
          <t>TA-25-969669</t>
        </is>
      </c>
      <c r="F361" t="inlineStr">
        <is>
          <t>3007080993</t>
        </is>
      </c>
      <c r="G361" t="inlineStr">
        <is>
          <t>APERTURA</t>
        </is>
      </c>
      <c r="H361" t="inlineStr">
        <is>
          <t>CB CRECIMIENTO ALIANZA - NUEVO</t>
        </is>
      </c>
      <c r="I361" t="inlineStr">
        <is>
          <t>ARAUCA</t>
        </is>
      </c>
      <c r="J361" t="inlineStr">
        <is>
          <t>ARAUCA</t>
        </is>
      </c>
      <c r="K361" t="inlineStr">
        <is>
          <t>DISTRICOL MEKACAMBIOS</t>
        </is>
      </c>
      <c r="L361" t="inlineStr">
        <is>
          <t>BANCOLOMBIA</t>
        </is>
      </c>
      <c r="M361" t="inlineStr">
        <is>
          <t>FO-25-1371671</t>
        </is>
      </c>
      <c r="N361" s="46" t="n">
        <v>45882.71944444445</v>
      </c>
      <c r="O361" s="46" t="n">
        <v>45884.70486111111</v>
      </c>
      <c r="P361" t="inlineStr">
        <is>
          <t>AGREGADOR</t>
        </is>
      </c>
      <c r="Q361" t="inlineStr">
        <is>
          <t>DISTRICOL</t>
        </is>
      </c>
      <c r="R361" t="inlineStr">
        <is>
          <t>EJECUTADO</t>
        </is>
      </c>
      <c r="S361" t="inlineStr">
        <is>
          <t>VISITA TECNICA</t>
        </is>
      </c>
      <c r="T361" t="inlineStr">
        <is>
          <t>FJZZZ936</t>
        </is>
      </c>
      <c r="U361" t="inlineStr">
        <is>
          <t>TIPO IV ESPECIAL</t>
        </is>
      </c>
      <c r="V361" t="inlineStr">
        <is>
          <t>AEREO</t>
        </is>
      </c>
      <c r="W361" t="inlineStr">
        <is>
          <t>REYES RAMIREZ DIEGO ALEXANDER</t>
        </is>
      </c>
      <c r="X361" t="inlineStr">
        <is>
          <t>Si</t>
        </is>
      </c>
      <c r="Y361" t="inlineStr">
        <is>
          <t>Si</t>
        </is>
      </c>
      <c r="Z361" s="45" t="n">
        <v>0</v>
      </c>
      <c r="AA361" t="inlineStr">
        <is>
          <t>0</t>
        </is>
      </c>
      <c r="AB361" s="45" t="n">
        <v>248376</v>
      </c>
      <c r="AC361" s="45" t="n">
        <v>0</v>
      </c>
    </row>
    <row r="362">
      <c r="A362" t="inlineStr">
        <is>
          <t>YOPAL</t>
        </is>
      </c>
      <c r="B362" t="inlineStr">
        <is>
          <t>REMOTAS</t>
        </is>
      </c>
      <c r="C362" t="inlineStr">
        <is>
          <t>0004-0007</t>
        </is>
      </c>
      <c r="D362" t="inlineStr">
        <is>
          <t>85001</t>
        </is>
      </c>
      <c r="E362" t="inlineStr">
        <is>
          <t>TA-25-969670</t>
        </is>
      </c>
      <c r="F362" t="inlineStr">
        <is>
          <t>3007081044</t>
        </is>
      </c>
      <c r="G362" t="inlineStr">
        <is>
          <t>APERTURA</t>
        </is>
      </c>
      <c r="H362" t="inlineStr">
        <is>
          <t>CB CRECIMIENTO ALIANZA - NUEVO</t>
        </is>
      </c>
      <c r="I362" t="inlineStr">
        <is>
          <t>CASANARE</t>
        </is>
      </c>
      <c r="J362" t="inlineStr">
        <is>
          <t>YOPAL</t>
        </is>
      </c>
      <c r="K362" t="inlineStr">
        <is>
          <t>DISTRICOL COPIDESCUENTOS LA 30</t>
        </is>
      </c>
      <c r="L362" t="inlineStr">
        <is>
          <t>BANCOLOMBIA</t>
        </is>
      </c>
      <c r="M362" t="inlineStr">
        <is>
          <t>FO-25-1371673</t>
        </is>
      </c>
      <c r="N362" s="46" t="n">
        <v>45882.73888888889</v>
      </c>
      <c r="O362" s="46" t="n">
        <v>45884.54652777778</v>
      </c>
      <c r="P362" t="inlineStr">
        <is>
          <t>AGREGADOR</t>
        </is>
      </c>
      <c r="Q362" t="inlineStr">
        <is>
          <t>DISTRICOL</t>
        </is>
      </c>
      <c r="R362" t="inlineStr">
        <is>
          <t>EJECUTADO</t>
        </is>
      </c>
      <c r="S362" t="inlineStr">
        <is>
          <t>VISITA TECNICA</t>
        </is>
      </c>
      <c r="T362" t="inlineStr">
        <is>
          <t>FJZZZ937</t>
        </is>
      </c>
      <c r="U362" t="inlineStr">
        <is>
          <t>TIPO I</t>
        </is>
      </c>
      <c r="V362" t="inlineStr">
        <is>
          <t>TERRESTRE</t>
        </is>
      </c>
      <c r="W362" t="inlineStr">
        <is>
          <t>BERNAL ELAICA EDGAR ALEXIS</t>
        </is>
      </c>
      <c r="X362" t="inlineStr">
        <is>
          <t>Si</t>
        </is>
      </c>
      <c r="Y362" t="inlineStr">
        <is>
          <t>Si</t>
        </is>
      </c>
      <c r="Z362" s="45" t="n">
        <v>0</v>
      </c>
      <c r="AA362" t="inlineStr">
        <is>
          <t>0</t>
        </is>
      </c>
      <c r="AB362" s="45" t="n">
        <v>194983</v>
      </c>
      <c r="AC362" s="45" t="n">
        <v>0</v>
      </c>
    </row>
    <row r="363">
      <c r="A363" t="inlineStr">
        <is>
          <t>PASTO</t>
        </is>
      </c>
      <c r="B363" t="inlineStr">
        <is>
          <t>SUROCCIDENTE Y EJE CAFETERO</t>
        </is>
      </c>
      <c r="C363" t="inlineStr">
        <is>
          <t>0004-0003</t>
        </is>
      </c>
      <c r="D363" t="inlineStr">
        <is>
          <t>86749</t>
        </is>
      </c>
      <c r="E363" t="inlineStr">
        <is>
          <t>TA-25-969671</t>
        </is>
      </c>
      <c r="F363" t="inlineStr">
        <is>
          <t>3007081029</t>
        </is>
      </c>
      <c r="G363" t="inlineStr">
        <is>
          <t>APERTURA</t>
        </is>
      </c>
      <c r="H363" t="inlineStr">
        <is>
          <t>CB CRECIMIENTO ALIANZA - NUEVO</t>
        </is>
      </c>
      <c r="I363" t="inlineStr">
        <is>
          <t>PUTUMAYO</t>
        </is>
      </c>
      <c r="J363" t="inlineStr">
        <is>
          <t>SIBUNDOY</t>
        </is>
      </c>
      <c r="K363" t="inlineStr">
        <is>
          <t>DISTRICOL DROG FARSALUD Y VIDA</t>
        </is>
      </c>
      <c r="L363" t="inlineStr">
        <is>
          <t>BANCOLOMBIA</t>
        </is>
      </c>
      <c r="M363" t="inlineStr">
        <is>
          <t>FO-25-1371676</t>
        </is>
      </c>
      <c r="N363" s="46" t="n">
        <v>45882.61736111111</v>
      </c>
      <c r="O363" s="46" t="n">
        <v>45888.65</v>
      </c>
      <c r="P363" t="inlineStr">
        <is>
          <t>AGREGADOR</t>
        </is>
      </c>
      <c r="Q363" t="inlineStr">
        <is>
          <t>DISTRICOL</t>
        </is>
      </c>
      <c r="R363" t="inlineStr">
        <is>
          <t>EJECUTADO</t>
        </is>
      </c>
      <c r="S363" t="inlineStr">
        <is>
          <t>VISITA TECNICA</t>
        </is>
      </c>
      <c r="T363" t="inlineStr">
        <is>
          <t>FJZZZ938</t>
        </is>
      </c>
      <c r="U363" t="inlineStr">
        <is>
          <t>TIPO III</t>
        </is>
      </c>
      <c r="V363" t="inlineStr">
        <is>
          <t>TERRESTRE</t>
        </is>
      </c>
      <c r="W363" t="inlineStr">
        <is>
          <t>CASTILLO HERRERA ALEX RICARDO</t>
        </is>
      </c>
      <c r="X363" t="inlineStr">
        <is>
          <t>Si</t>
        </is>
      </c>
      <c r="Y363" t="inlineStr">
        <is>
          <t>Si</t>
        </is>
      </c>
      <c r="Z363" s="45" t="n">
        <v>0</v>
      </c>
      <c r="AA363" t="inlineStr">
        <is>
          <t>0</t>
        </is>
      </c>
      <c r="AB363" s="45" t="n">
        <v>248376</v>
      </c>
      <c r="AC363" s="45" t="n">
        <v>0</v>
      </c>
    </row>
    <row r="364">
      <c r="A364" t="inlineStr">
        <is>
          <t>PASTO</t>
        </is>
      </c>
      <c r="B364" t="inlineStr">
        <is>
          <t>SUROCCIDENTE Y EJE CAFETERO</t>
        </is>
      </c>
      <c r="C364" t="inlineStr">
        <is>
          <t>0004-0003</t>
        </is>
      </c>
      <c r="D364" t="inlineStr">
        <is>
          <t>86865</t>
        </is>
      </c>
      <c r="E364" t="inlineStr">
        <is>
          <t>TA-25-969673</t>
        </is>
      </c>
      <c r="F364" t="inlineStr">
        <is>
          <t>3007081031</t>
        </is>
      </c>
      <c r="G364" t="inlineStr">
        <is>
          <t>APERTURA</t>
        </is>
      </c>
      <c r="H364" t="inlineStr">
        <is>
          <t>CB CRECIMIENTO ALIANZA - NUEVO</t>
        </is>
      </c>
      <c r="I364" t="inlineStr">
        <is>
          <t>PUTUMAYO</t>
        </is>
      </c>
      <c r="J364" t="inlineStr">
        <is>
          <t>VALLE DEL GUAMUEZ</t>
        </is>
      </c>
      <c r="K364" t="inlineStr">
        <is>
          <t>DISTRICOL ESTILOS</t>
        </is>
      </c>
      <c r="L364" t="inlineStr">
        <is>
          <t>BANCOLOMBIA</t>
        </is>
      </c>
      <c r="M364" t="inlineStr">
        <is>
          <t>FO-25-1371685</t>
        </is>
      </c>
      <c r="N364" s="46" t="n">
        <v>45882.65138888889</v>
      </c>
      <c r="O364" s="46" t="n">
        <v>45889.48194444444</v>
      </c>
      <c r="P364" t="inlineStr">
        <is>
          <t>AGREGADOR</t>
        </is>
      </c>
      <c r="Q364" t="inlineStr">
        <is>
          <t>DISTRICOL</t>
        </is>
      </c>
      <c r="R364" t="inlineStr">
        <is>
          <t>EJECUTADO</t>
        </is>
      </c>
      <c r="S364" t="inlineStr">
        <is>
          <t>VISITA TECNICA</t>
        </is>
      </c>
      <c r="T364" t="inlineStr">
        <is>
          <t>FJZZZ939</t>
        </is>
      </c>
      <c r="U364" t="inlineStr">
        <is>
          <t>TIPO IV</t>
        </is>
      </c>
      <c r="V364" t="inlineStr">
        <is>
          <t>TERRESTRE</t>
        </is>
      </c>
      <c r="W364" t="inlineStr">
        <is>
          <t>GUERRERO RAMIREZ OSCAR DARIO</t>
        </is>
      </c>
      <c r="X364" t="inlineStr">
        <is>
          <t>Si</t>
        </is>
      </c>
      <c r="Y364" t="inlineStr">
        <is>
          <t>Si</t>
        </is>
      </c>
      <c r="Z364" s="45" t="n">
        <v>0</v>
      </c>
      <c r="AA364" t="inlineStr">
        <is>
          <t>0</t>
        </is>
      </c>
      <c r="AB364" s="45" t="n">
        <v>248376</v>
      </c>
      <c r="AC364" s="45" t="n">
        <v>0</v>
      </c>
    </row>
    <row r="365">
      <c r="A365" t="inlineStr">
        <is>
          <t>BOGOTA</t>
        </is>
      </c>
      <c r="B365" t="inlineStr">
        <is>
          <t>CUNDINAMARCA</t>
        </is>
      </c>
      <c r="C365" t="inlineStr">
        <is>
          <t>0004-0004</t>
        </is>
      </c>
      <c r="D365" t="inlineStr">
        <is>
          <t>11001</t>
        </is>
      </c>
      <c r="E365" t="inlineStr">
        <is>
          <t>TA-25-969680</t>
        </is>
      </c>
      <c r="F365" t="inlineStr">
        <is>
          <t>3007080995</t>
        </is>
      </c>
      <c r="G365" t="inlineStr">
        <is>
          <t>APERTURA</t>
        </is>
      </c>
      <c r="H365" t="inlineStr">
        <is>
          <t>CB CRECIMIENTO ALIANZA - NUEVO</t>
        </is>
      </c>
      <c r="I365" t="inlineStr">
        <is>
          <t>CUNDINAMARCA</t>
        </is>
      </c>
      <c r="J365" t="inlineStr">
        <is>
          <t>BOGOTA</t>
        </is>
      </c>
      <c r="K365" t="inlineStr">
        <is>
          <t>DISTRICOL CENTRO DE SERVICIOS</t>
        </is>
      </c>
      <c r="L365" t="inlineStr">
        <is>
          <t>BANCOLOMBIA</t>
        </is>
      </c>
      <c r="M365" t="inlineStr">
        <is>
          <t>FO-25-1371687</t>
        </is>
      </c>
      <c r="N365" s="46" t="n">
        <v>45882.87222222222</v>
      </c>
      <c r="O365" s="46" t="n">
        <v>45883.54722222222</v>
      </c>
      <c r="P365" t="inlineStr">
        <is>
          <t>AGREGADOR</t>
        </is>
      </c>
      <c r="Q365" t="inlineStr">
        <is>
          <t>DISTRICOL</t>
        </is>
      </c>
      <c r="R365" t="inlineStr">
        <is>
          <t>EJECUTADO</t>
        </is>
      </c>
      <c r="S365" t="inlineStr">
        <is>
          <t>VISITA TECNICA</t>
        </is>
      </c>
      <c r="T365" t="inlineStr">
        <is>
          <t>FJZZZ940</t>
        </is>
      </c>
      <c r="U365" t="inlineStr">
        <is>
          <t>TIPO I</t>
        </is>
      </c>
      <c r="V365" t="inlineStr">
        <is>
          <t>TERRESTRE</t>
        </is>
      </c>
      <c r="W365" t="inlineStr">
        <is>
          <t>GALEANO SORIANO JUAN DAVID</t>
        </is>
      </c>
      <c r="X365" t="inlineStr">
        <is>
          <t>Si</t>
        </is>
      </c>
      <c r="Y365" t="inlineStr">
        <is>
          <t>Si</t>
        </is>
      </c>
      <c r="Z365" s="45" t="n">
        <v>0</v>
      </c>
      <c r="AA365" t="inlineStr">
        <is>
          <t>0</t>
        </is>
      </c>
      <c r="AB365" s="45" t="n">
        <v>194983</v>
      </c>
      <c r="AC365" s="45" t="n">
        <v>0</v>
      </c>
    </row>
    <row r="366">
      <c r="A366" t="inlineStr">
        <is>
          <t>BOGOTA</t>
        </is>
      </c>
      <c r="B366" t="inlineStr">
        <is>
          <t>CUNDINAMARCA</t>
        </is>
      </c>
      <c r="C366" t="inlineStr">
        <is>
          <t>0004-0004</t>
        </is>
      </c>
      <c r="D366" t="inlineStr">
        <is>
          <t>11001</t>
        </is>
      </c>
      <c r="E366" t="inlineStr">
        <is>
          <t>TA-25-969684</t>
        </is>
      </c>
      <c r="F366" t="inlineStr">
        <is>
          <t>3007080996</t>
        </is>
      </c>
      <c r="G366" t="inlineStr">
        <is>
          <t>APERTURA</t>
        </is>
      </c>
      <c r="H366" t="inlineStr">
        <is>
          <t>CB CRECIMIENTO ALIANZA - NUEVO</t>
        </is>
      </c>
      <c r="I366" t="inlineStr">
        <is>
          <t>CUNDINAMARCA</t>
        </is>
      </c>
      <c r="J366" t="inlineStr">
        <is>
          <t>BOGOTA</t>
        </is>
      </c>
      <c r="K366" t="inlineStr">
        <is>
          <t>PTM BOGOTA TIENDA EL PATRON BO</t>
        </is>
      </c>
      <c r="L366" t="inlineStr">
        <is>
          <t>BANCOLOMBIA</t>
        </is>
      </c>
      <c r="M366" t="inlineStr">
        <is>
          <t>FO-25-1371689</t>
        </is>
      </c>
      <c r="N366" s="46" t="n">
        <v>45882.87222222222</v>
      </c>
      <c r="O366" s="46" t="n">
        <v>45883.54444444444</v>
      </c>
      <c r="P366" t="inlineStr">
        <is>
          <t>AGREGADOR</t>
        </is>
      </c>
      <c r="Q366" t="inlineStr">
        <is>
          <t>COMCARD - PTM</t>
        </is>
      </c>
      <c r="R366" t="inlineStr">
        <is>
          <t>EJECUTADO</t>
        </is>
      </c>
      <c r="S366" t="inlineStr">
        <is>
          <t>VISITA TECNICA</t>
        </is>
      </c>
      <c r="T366" t="inlineStr">
        <is>
          <t xml:space="preserve">FJZZZ941  -FJZZZ546 </t>
        </is>
      </c>
      <c r="U366" t="inlineStr">
        <is>
          <t>TIPO I</t>
        </is>
      </c>
      <c r="V366" t="inlineStr">
        <is>
          <t>TERRESTRE</t>
        </is>
      </c>
      <c r="W366" t="inlineStr">
        <is>
          <t>HERNANDEZ NARANJO OSCAR EDUARDO</t>
        </is>
      </c>
      <c r="X366" t="inlineStr">
        <is>
          <t>Si</t>
        </is>
      </c>
      <c r="Y366" t="inlineStr">
        <is>
          <t>Si</t>
        </is>
      </c>
      <c r="Z366" s="45" t="n">
        <v>0</v>
      </c>
      <c r="AA366" t="inlineStr">
        <is>
          <t>0</t>
        </is>
      </c>
      <c r="AB366" s="45" t="n">
        <v>194983</v>
      </c>
      <c r="AC366" s="45" t="n">
        <v>0</v>
      </c>
    </row>
    <row r="367">
      <c r="A367" t="inlineStr">
        <is>
          <t>MONTERIA</t>
        </is>
      </c>
      <c r="B367" t="inlineStr">
        <is>
          <t>COSTA</t>
        </is>
      </c>
      <c r="C367" t="inlineStr">
        <is>
          <t>0004-0001</t>
        </is>
      </c>
      <c r="D367" t="inlineStr">
        <is>
          <t>5154</t>
        </is>
      </c>
      <c r="E367" t="inlineStr">
        <is>
          <t>TA-25-982504</t>
        </is>
      </c>
      <c r="F367" t="inlineStr">
        <is>
          <t>3007081066</t>
        </is>
      </c>
      <c r="G367" t="inlineStr">
        <is>
          <t>APERTURA</t>
        </is>
      </c>
      <c r="H367" t="inlineStr">
        <is>
          <t>CB CRECIMIENTO - NUEVO</t>
        </is>
      </c>
      <c r="I367" t="inlineStr">
        <is>
          <t>ANTIOQUIA</t>
        </is>
      </c>
      <c r="J367" t="inlineStr">
        <is>
          <t>CAUCASIA</t>
        </is>
      </c>
      <c r="K367" t="inlineStr">
        <is>
          <t>BARRIO PUEBLO NUEVO CAUCASIA 4</t>
        </is>
      </c>
      <c r="L367" t="inlineStr">
        <is>
          <t>BANCOLOMBIA</t>
        </is>
      </c>
      <c r="M367" t="inlineStr">
        <is>
          <t>FO-25-1390782</t>
        </is>
      </c>
      <c r="N367" s="46" t="n">
        <v>45888.66666666666</v>
      </c>
      <c r="O367" s="46" t="n">
        <v>45889.66944444444</v>
      </c>
      <c r="P367" t="inlineStr">
        <is>
          <t>UNO A UNO</t>
        </is>
      </c>
      <c r="Q367" t="inlineStr">
        <is>
          <t>UNO A UNO</t>
        </is>
      </c>
      <c r="R367" t="inlineStr">
        <is>
          <t>EJECUTADO</t>
        </is>
      </c>
      <c r="S367" t="inlineStr">
        <is>
          <t>VISITA TECNICA</t>
        </is>
      </c>
      <c r="T367" t="inlineStr">
        <is>
          <t>SGZZZ967</t>
        </is>
      </c>
      <c r="U367" t="inlineStr">
        <is>
          <t>TIPO II</t>
        </is>
      </c>
      <c r="V367" t="inlineStr">
        <is>
          <t>TERRESTRE</t>
        </is>
      </c>
      <c r="W367" t="inlineStr">
        <is>
          <t>COGOLLO VERTEL EDER LUIS</t>
        </is>
      </c>
      <c r="X367" t="inlineStr">
        <is>
          <t>Si</t>
        </is>
      </c>
      <c r="Y367" t="inlineStr">
        <is>
          <t>Si</t>
        </is>
      </c>
      <c r="Z367" s="45" t="n">
        <v>0</v>
      </c>
      <c r="AA367" t="inlineStr">
        <is>
          <t>0</t>
        </is>
      </c>
      <c r="AB367" s="45" t="n">
        <v>248376</v>
      </c>
      <c r="AC367" s="45" t="n">
        <v>0</v>
      </c>
    </row>
    <row r="368">
      <c r="A368" t="inlineStr">
        <is>
          <t>SANTA MARTA</t>
        </is>
      </c>
      <c r="B368" t="inlineStr">
        <is>
          <t>COSTA</t>
        </is>
      </c>
      <c r="C368" t="inlineStr">
        <is>
          <t>0004-0001</t>
        </is>
      </c>
      <c r="D368" t="inlineStr">
        <is>
          <t>47245</t>
        </is>
      </c>
      <c r="E368" t="inlineStr">
        <is>
          <t>TA-25-982507</t>
        </is>
      </c>
      <c r="F368" t="inlineStr">
        <is>
          <t>3007081073</t>
        </is>
      </c>
      <c r="G368" t="inlineStr">
        <is>
          <t>APERTURA</t>
        </is>
      </c>
      <c r="H368" t="inlineStr">
        <is>
          <t>CB CRECIMIENTO - NUEVO</t>
        </is>
      </c>
      <c r="I368" t="inlineStr">
        <is>
          <t>MAGDALENA</t>
        </is>
      </c>
      <c r="J368" t="inlineStr">
        <is>
          <t>EL BANCO</t>
        </is>
      </c>
      <c r="K368" t="inlineStr">
        <is>
          <t>BARRIO MANZANARES EL BANCO</t>
        </is>
      </c>
      <c r="L368" t="inlineStr">
        <is>
          <t>BANCOLOMBIA</t>
        </is>
      </c>
      <c r="M368" t="inlineStr">
        <is>
          <t>FO-25-1390784</t>
        </is>
      </c>
      <c r="N368" s="46" t="n">
        <v>45888.70208333333</v>
      </c>
      <c r="O368" s="46" t="n">
        <v>45890.49097222222</v>
      </c>
      <c r="P368" t="inlineStr">
        <is>
          <t>UNO A UNO</t>
        </is>
      </c>
      <c r="Q368" t="inlineStr">
        <is>
          <t>UNO A UNO</t>
        </is>
      </c>
      <c r="R368" t="inlineStr">
        <is>
          <t>EJECUTADO</t>
        </is>
      </c>
      <c r="S368" t="inlineStr">
        <is>
          <t>VISITA TECNICA</t>
        </is>
      </c>
      <c r="T368" t="inlineStr">
        <is>
          <t>SGZZZ968</t>
        </is>
      </c>
      <c r="U368" t="inlineStr">
        <is>
          <t>TIPO IV</t>
        </is>
      </c>
      <c r="V368" t="inlineStr">
        <is>
          <t>TERRESTRE</t>
        </is>
      </c>
      <c r="W368" t="inlineStr">
        <is>
          <t>PEÑALOZA GUTIERREZ RAFAEL GUSTAVO</t>
        </is>
      </c>
      <c r="X368" t="inlineStr">
        <is>
          <t>Si</t>
        </is>
      </c>
      <c r="Y368" t="inlineStr">
        <is>
          <t>Si</t>
        </is>
      </c>
      <c r="Z368" s="45" t="n">
        <v>0</v>
      </c>
      <c r="AA368" t="inlineStr">
        <is>
          <t>0</t>
        </is>
      </c>
      <c r="AB368" s="45" t="n">
        <v>248376</v>
      </c>
      <c r="AC368" s="45" t="n">
        <v>0</v>
      </c>
    </row>
    <row r="369">
      <c r="A369" t="inlineStr">
        <is>
          <t>CUCUTA</t>
        </is>
      </c>
      <c r="B369" t="inlineStr">
        <is>
          <t>SANTANDERES</t>
        </is>
      </c>
      <c r="C369" t="inlineStr">
        <is>
          <t>0004-0008</t>
        </is>
      </c>
      <c r="D369" t="inlineStr">
        <is>
          <t>54001</t>
        </is>
      </c>
      <c r="E369" t="inlineStr">
        <is>
          <t>TA-25-982509</t>
        </is>
      </c>
      <c r="F369" t="inlineStr">
        <is>
          <t>3007081070</t>
        </is>
      </c>
      <c r="G369" t="inlineStr">
        <is>
          <t>APERTURA</t>
        </is>
      </c>
      <c r="H369" t="inlineStr">
        <is>
          <t>CB CRECIMIENTO - NUEVO</t>
        </is>
      </c>
      <c r="I369" t="inlineStr">
        <is>
          <t>NORTE DE SANTANDER</t>
        </is>
      </c>
      <c r="J369" t="inlineStr">
        <is>
          <t>CUCUTA</t>
        </is>
      </c>
      <c r="K369" t="inlineStr">
        <is>
          <t>BARRIO SANTANDER CUCUTA 3</t>
        </is>
      </c>
      <c r="L369" t="inlineStr">
        <is>
          <t>BANCOLOMBIA</t>
        </is>
      </c>
      <c r="M369" t="inlineStr">
        <is>
          <t>FO-25-1390790</t>
        </is>
      </c>
      <c r="N369" s="46" t="n">
        <v>45888.62777777778</v>
      </c>
      <c r="O369" s="46" t="n">
        <v>45890.29027777778</v>
      </c>
      <c r="P369" t="inlineStr">
        <is>
          <t>UNO A UNO</t>
        </is>
      </c>
      <c r="Q369" t="inlineStr">
        <is>
          <t>UNO A UNO</t>
        </is>
      </c>
      <c r="R369" t="inlineStr">
        <is>
          <t>EJECUTADO</t>
        </is>
      </c>
      <c r="S369" t="inlineStr">
        <is>
          <t>VISITA TECNICA</t>
        </is>
      </c>
      <c r="T369" t="inlineStr">
        <is>
          <t>SGZZZ969</t>
        </is>
      </c>
      <c r="U369" t="inlineStr">
        <is>
          <t>TIPO I</t>
        </is>
      </c>
      <c r="V369" t="inlineStr">
        <is>
          <t>TERRESTRE</t>
        </is>
      </c>
      <c r="W369" t="inlineStr">
        <is>
          <t>NARANJO AFANADOR RUBEN JESUS</t>
        </is>
      </c>
      <c r="X369" t="inlineStr">
        <is>
          <t>Si</t>
        </is>
      </c>
      <c r="Y369" t="inlineStr">
        <is>
          <t>Si</t>
        </is>
      </c>
      <c r="Z369" s="45" t="n">
        <v>0</v>
      </c>
      <c r="AA369" t="inlineStr">
        <is>
          <t>0</t>
        </is>
      </c>
      <c r="AB369" s="45" t="n">
        <v>194983</v>
      </c>
      <c r="AC369" s="45" t="n">
        <v>0</v>
      </c>
    </row>
    <row r="370">
      <c r="A370" t="inlineStr">
        <is>
          <t>NEIVA</t>
        </is>
      </c>
      <c r="B370" t="inlineStr">
        <is>
          <t>REMOTAS</t>
        </is>
      </c>
      <c r="C370" t="inlineStr">
        <is>
          <t>0004-0007</t>
        </is>
      </c>
      <c r="D370" t="inlineStr">
        <is>
          <t>41001</t>
        </is>
      </c>
      <c r="E370" t="inlineStr">
        <is>
          <t>TA-25-982510</t>
        </is>
      </c>
      <c r="F370" t="inlineStr">
        <is>
          <t>3007081086</t>
        </is>
      </c>
      <c r="G370" t="inlineStr">
        <is>
          <t>APERTURA</t>
        </is>
      </c>
      <c r="H370" t="inlineStr">
        <is>
          <t>CB CRECIMIENTO - NUEVO</t>
        </is>
      </c>
      <c r="I370" t="inlineStr">
        <is>
          <t>HUILA</t>
        </is>
      </c>
      <c r="J370" t="inlineStr">
        <is>
          <t>NEIVA</t>
        </is>
      </c>
      <c r="K370" t="inlineStr">
        <is>
          <t>BARRIO CHICALA NEIVA 1</t>
        </is>
      </c>
      <c r="L370" t="inlineStr">
        <is>
          <t>BANCOLOMBIA</t>
        </is>
      </c>
      <c r="M370" t="inlineStr">
        <is>
          <t>FO-25-1390793</t>
        </is>
      </c>
      <c r="N370" s="46" t="n">
        <v>45888.675</v>
      </c>
      <c r="O370" s="46" t="n">
        <v>45889.55902777778</v>
      </c>
      <c r="P370" t="inlineStr">
        <is>
          <t>UNO A UNO</t>
        </is>
      </c>
      <c r="Q370" t="inlineStr">
        <is>
          <t>UNO A UNO</t>
        </is>
      </c>
      <c r="R370" t="inlineStr">
        <is>
          <t>EJECUTADO</t>
        </is>
      </c>
      <c r="S370" t="inlineStr">
        <is>
          <t>VISITA TECNICA</t>
        </is>
      </c>
      <c r="T370" t="inlineStr">
        <is>
          <t>SGZZZ970</t>
        </is>
      </c>
      <c r="U370" t="inlineStr">
        <is>
          <t>TIPO I</t>
        </is>
      </c>
      <c r="V370" t="inlineStr">
        <is>
          <t>TERRESTRE</t>
        </is>
      </c>
      <c r="W370" t="inlineStr">
        <is>
          <t>DIAZ VARGAS JONATHAN MIGUEL</t>
        </is>
      </c>
      <c r="X370" t="inlineStr">
        <is>
          <t>Si</t>
        </is>
      </c>
      <c r="Y370" t="inlineStr">
        <is>
          <t>Si</t>
        </is>
      </c>
      <c r="Z370" s="45" t="n">
        <v>0</v>
      </c>
      <c r="AA370" t="inlineStr">
        <is>
          <t>0</t>
        </is>
      </c>
      <c r="AB370" s="45" t="n">
        <v>194983</v>
      </c>
      <c r="AC370" s="45" t="n">
        <v>0</v>
      </c>
    </row>
    <row r="371">
      <c r="A371" t="inlineStr">
        <is>
          <t>SINCELEJO</t>
        </is>
      </c>
      <c r="B371" t="inlineStr">
        <is>
          <t>COSTA</t>
        </is>
      </c>
      <c r="C371" t="inlineStr">
        <is>
          <t>0004-0001</t>
        </is>
      </c>
      <c r="D371" t="inlineStr">
        <is>
          <t>70001</t>
        </is>
      </c>
      <c r="E371" t="inlineStr">
        <is>
          <t>TA-25-982512</t>
        </is>
      </c>
      <c r="F371" t="inlineStr">
        <is>
          <t>3007081100</t>
        </is>
      </c>
      <c r="G371" t="inlineStr">
        <is>
          <t>APERTURA</t>
        </is>
      </c>
      <c r="H371" t="inlineStr">
        <is>
          <t>CB CRECIMIENTO - NUEVO</t>
        </is>
      </c>
      <c r="I371" t="inlineStr">
        <is>
          <t>SUCRE</t>
        </is>
      </c>
      <c r="J371" t="inlineStr">
        <is>
          <t>SINCELEJO</t>
        </is>
      </c>
      <c r="K371" t="inlineStr">
        <is>
          <t>BARRIO CIUDADELA UNIVERSITARIA SINCELEJO</t>
        </is>
      </c>
      <c r="L371" t="inlineStr">
        <is>
          <t>BANCOLOMBIA</t>
        </is>
      </c>
      <c r="M371" t="inlineStr">
        <is>
          <t>FO-25-1390797</t>
        </is>
      </c>
      <c r="N371" s="46" t="n">
        <v>45888.7</v>
      </c>
      <c r="O371" s="46" t="n">
        <v>45890.34027777778</v>
      </c>
      <c r="P371" t="inlineStr">
        <is>
          <t>UNO A UNO</t>
        </is>
      </c>
      <c r="Q371" t="inlineStr">
        <is>
          <t>UNO A UNO</t>
        </is>
      </c>
      <c r="R371" t="inlineStr">
        <is>
          <t>EJECUTADO</t>
        </is>
      </c>
      <c r="S371" t="inlineStr">
        <is>
          <t>VISITA TECNICA</t>
        </is>
      </c>
      <c r="T371" t="inlineStr">
        <is>
          <t>SGZZZ971</t>
        </is>
      </c>
      <c r="U371" t="inlineStr">
        <is>
          <t>TIPO I</t>
        </is>
      </c>
      <c r="V371" t="inlineStr">
        <is>
          <t>TERRESTRE</t>
        </is>
      </c>
      <c r="W371" t="inlineStr">
        <is>
          <t>CACERES HERNANDEZ ANDRES</t>
        </is>
      </c>
      <c r="X371" t="inlineStr">
        <is>
          <t>Si</t>
        </is>
      </c>
      <c r="Y371" t="inlineStr">
        <is>
          <t>Si</t>
        </is>
      </c>
      <c r="Z371" s="45" t="n">
        <v>0</v>
      </c>
      <c r="AA371" t="inlineStr">
        <is>
          <t>0</t>
        </is>
      </c>
      <c r="AB371" s="45" t="n">
        <v>194983</v>
      </c>
      <c r="AC371" s="45" t="n">
        <v>0</v>
      </c>
    </row>
    <row r="372">
      <c r="A372" t="inlineStr">
        <is>
          <t>MONTERIA</t>
        </is>
      </c>
      <c r="B372" t="inlineStr">
        <is>
          <t>COSTA</t>
        </is>
      </c>
      <c r="C372" t="inlineStr">
        <is>
          <t>0004-0001</t>
        </is>
      </c>
      <c r="D372" t="inlineStr">
        <is>
          <t>23001</t>
        </is>
      </c>
      <c r="E372" t="inlineStr">
        <is>
          <t>TA-25-982513</t>
        </is>
      </c>
      <c r="F372" t="inlineStr">
        <is>
          <t>3007081084</t>
        </is>
      </c>
      <c r="G372" t="inlineStr">
        <is>
          <t>APERTURA</t>
        </is>
      </c>
      <c r="H372" t="inlineStr">
        <is>
          <t>CB CRECIMIENTO - NUEVO</t>
        </is>
      </c>
      <c r="I372" t="inlineStr">
        <is>
          <t>CORDOBA</t>
        </is>
      </c>
      <c r="J372" t="inlineStr">
        <is>
          <t>MONTERIA</t>
        </is>
      </c>
      <c r="K372" t="inlineStr">
        <is>
          <t>BARRIO 6 DE MARZO MONTERIA 6</t>
        </is>
      </c>
      <c r="L372" t="inlineStr">
        <is>
          <t>BANCOLOMBIA</t>
        </is>
      </c>
      <c r="M372" t="inlineStr">
        <is>
          <t>FO-25-1390800</t>
        </is>
      </c>
      <c r="N372" s="46" t="n">
        <v>45888.66458333333</v>
      </c>
      <c r="O372" s="46" t="n">
        <v>45889.59166666667</v>
      </c>
      <c r="P372" t="inlineStr">
        <is>
          <t>UNO A UNO</t>
        </is>
      </c>
      <c r="Q372" t="inlineStr">
        <is>
          <t>UNO A UNO</t>
        </is>
      </c>
      <c r="R372" t="inlineStr">
        <is>
          <t>EJECUTADO</t>
        </is>
      </c>
      <c r="S372" t="inlineStr">
        <is>
          <t>VISITA TECNICA</t>
        </is>
      </c>
      <c r="T372" t="inlineStr">
        <is>
          <t>SGZZZ972</t>
        </is>
      </c>
      <c r="U372" t="inlineStr">
        <is>
          <t>TIPO I</t>
        </is>
      </c>
      <c r="V372" t="inlineStr">
        <is>
          <t>TERRESTRE</t>
        </is>
      </c>
      <c r="W372" t="inlineStr">
        <is>
          <t>CASSIANI PEREZ RAUL RAMIRO</t>
        </is>
      </c>
      <c r="X372" t="inlineStr">
        <is>
          <t>Si</t>
        </is>
      </c>
      <c r="Y372" t="inlineStr">
        <is>
          <t>Si</t>
        </is>
      </c>
      <c r="Z372" s="45" t="n">
        <v>0</v>
      </c>
      <c r="AA372" t="inlineStr">
        <is>
          <t>0</t>
        </is>
      </c>
      <c r="AB372" s="45" t="n">
        <v>194983</v>
      </c>
      <c r="AC372" s="45" t="n">
        <v>0</v>
      </c>
    </row>
    <row r="373">
      <c r="A373" t="inlineStr">
        <is>
          <t>BUCARAMANGA</t>
        </is>
      </c>
      <c r="B373" t="inlineStr">
        <is>
          <t>SANTANDERES</t>
        </is>
      </c>
      <c r="C373" t="inlineStr">
        <is>
          <t>0004-0008</t>
        </is>
      </c>
      <c r="D373" t="inlineStr">
        <is>
          <t>68397</t>
        </is>
      </c>
      <c r="E373" t="inlineStr">
        <is>
          <t>TA-25-982514</t>
        </is>
      </c>
      <c r="F373" t="inlineStr">
        <is>
          <t>3007081080</t>
        </is>
      </c>
      <c r="G373" t="inlineStr">
        <is>
          <t>APERTURA</t>
        </is>
      </c>
      <c r="H373" t="inlineStr">
        <is>
          <t>CB CRECIMIENTO - NUEVO</t>
        </is>
      </c>
      <c r="I373" t="inlineStr">
        <is>
          <t>SANTANDER</t>
        </is>
      </c>
      <c r="J373" t="inlineStr">
        <is>
          <t>LA PAZ</t>
        </is>
      </c>
      <c r="K373" t="inlineStr">
        <is>
          <t>BARRIO CENTRO LA PAZ</t>
        </is>
      </c>
      <c r="L373" t="inlineStr">
        <is>
          <t>BANCOLOMBIA</t>
        </is>
      </c>
      <c r="M373" t="inlineStr">
        <is>
          <t>FO-25-1390812</t>
        </is>
      </c>
      <c r="N373" s="46" t="n">
        <v>45888.62777777778</v>
      </c>
      <c r="O373" s="46" t="n">
        <v>45891.29722222222</v>
      </c>
      <c r="P373" t="inlineStr">
        <is>
          <t>UNO A UNO</t>
        </is>
      </c>
      <c r="Q373" t="inlineStr">
        <is>
          <t>UNO A UNO</t>
        </is>
      </c>
      <c r="R373" t="inlineStr">
        <is>
          <t>EJECUTADO</t>
        </is>
      </c>
      <c r="S373" t="inlineStr">
        <is>
          <t>VISITA TECNICA</t>
        </is>
      </c>
      <c r="T373" t="inlineStr">
        <is>
          <t>SGZZZ973</t>
        </is>
      </c>
      <c r="U373" t="inlineStr">
        <is>
          <t>TIPO IV</t>
        </is>
      </c>
      <c r="V373" t="inlineStr">
        <is>
          <t>TERRESTRE</t>
        </is>
      </c>
      <c r="W373" t="inlineStr">
        <is>
          <t>ALVARADO MORENO CRISTHIAN</t>
        </is>
      </c>
      <c r="X373" t="inlineStr">
        <is>
          <t>Si</t>
        </is>
      </c>
      <c r="Y373" t="inlineStr">
        <is>
          <t>Si</t>
        </is>
      </c>
      <c r="Z373" s="45" t="n">
        <v>0</v>
      </c>
      <c r="AA373" t="inlineStr">
        <is>
          <t>0</t>
        </is>
      </c>
      <c r="AB373" s="45" t="n">
        <v>248376</v>
      </c>
      <c r="AC373" s="45" t="n">
        <v>0</v>
      </c>
    </row>
    <row r="374">
      <c r="A374" t="inlineStr">
        <is>
          <t>MANIZALES</t>
        </is>
      </c>
      <c r="B374" t="inlineStr">
        <is>
          <t>SUROCCIDENTE Y EJE CAFETERO</t>
        </is>
      </c>
      <c r="C374" t="inlineStr">
        <is>
          <t>0004-0002</t>
        </is>
      </c>
      <c r="D374" t="inlineStr">
        <is>
          <t>17001</t>
        </is>
      </c>
      <c r="E374" t="inlineStr">
        <is>
          <t>TA-25-982515</t>
        </is>
      </c>
      <c r="F374" t="inlineStr">
        <is>
          <t>3007081083</t>
        </is>
      </c>
      <c r="G374" t="inlineStr">
        <is>
          <t>APERTURA</t>
        </is>
      </c>
      <c r="H374" t="inlineStr">
        <is>
          <t>CB CRECIMIENTO - NUEVO</t>
        </is>
      </c>
      <c r="I374" t="inlineStr">
        <is>
          <t>CALDAS</t>
        </is>
      </c>
      <c r="J374" t="inlineStr">
        <is>
          <t>MANIZALES</t>
        </is>
      </c>
      <c r="K374" t="inlineStr">
        <is>
          <t>BARRIO EL TRIANGULO MANIZALES</t>
        </is>
      </c>
      <c r="L374" t="inlineStr">
        <is>
          <t>BANCOLOMBIA</t>
        </is>
      </c>
      <c r="M374" t="inlineStr">
        <is>
          <t>FO-25-1390818</t>
        </is>
      </c>
      <c r="N374" s="46" t="n">
        <v>45888.61041666667</v>
      </c>
      <c r="O374" s="46" t="n">
        <v>45889.56319444445</v>
      </c>
      <c r="P374" t="inlineStr">
        <is>
          <t>UNO A UNO</t>
        </is>
      </c>
      <c r="Q374" t="inlineStr">
        <is>
          <t>UNO A UNO</t>
        </is>
      </c>
      <c r="R374" t="inlineStr">
        <is>
          <t>EJECUTADO</t>
        </is>
      </c>
      <c r="S374" t="inlineStr">
        <is>
          <t>VISITA TECNICA</t>
        </is>
      </c>
      <c r="T374" t="inlineStr">
        <is>
          <t>SGZZZ974</t>
        </is>
      </c>
      <c r="U374" t="inlineStr">
        <is>
          <t>TIPO I</t>
        </is>
      </c>
      <c r="V374" t="inlineStr">
        <is>
          <t>TERRESTRE</t>
        </is>
      </c>
      <c r="W374" t="inlineStr">
        <is>
          <t>AGUIRRE HENAO RAUL EDUARDO</t>
        </is>
      </c>
      <c r="X374" t="inlineStr">
        <is>
          <t>Si</t>
        </is>
      </c>
      <c r="Y374" t="inlineStr">
        <is>
          <t>Si</t>
        </is>
      </c>
      <c r="Z374" s="45" t="n">
        <v>0</v>
      </c>
      <c r="AA374" t="inlineStr">
        <is>
          <t>0</t>
        </is>
      </c>
      <c r="AB374" s="45" t="n">
        <v>194983</v>
      </c>
      <c r="AC374" s="45" t="n">
        <v>0</v>
      </c>
    </row>
    <row r="375">
      <c r="A375" t="inlineStr">
        <is>
          <t>BOGOTA</t>
        </is>
      </c>
      <c r="B375" t="inlineStr">
        <is>
          <t>CUNDINAMARCA</t>
        </is>
      </c>
      <c r="C375" t="inlineStr">
        <is>
          <t>0004-0004</t>
        </is>
      </c>
      <c r="D375" t="inlineStr">
        <is>
          <t>25290</t>
        </is>
      </c>
      <c r="E375" t="inlineStr">
        <is>
          <t>TA-25-982516</t>
        </is>
      </c>
      <c r="F375" t="inlineStr">
        <is>
          <t>3007081077</t>
        </is>
      </c>
      <c r="G375" t="inlineStr">
        <is>
          <t>APERTURA</t>
        </is>
      </c>
      <c r="H375" t="inlineStr">
        <is>
          <t>CB CRECIMIENTO - NUEVO</t>
        </is>
      </c>
      <c r="I375" t="inlineStr">
        <is>
          <t>CUNDINAMARCA</t>
        </is>
      </c>
      <c r="J375" t="inlineStr">
        <is>
          <t>FUSAGASUGA</t>
        </is>
      </c>
      <c r="K375" t="inlineStr">
        <is>
          <t>BARRIO RECREO FUSAGASUGA</t>
        </is>
      </c>
      <c r="L375" t="inlineStr">
        <is>
          <t>BANCOLOMBIA</t>
        </is>
      </c>
      <c r="M375" t="inlineStr">
        <is>
          <t>FO-25-1390823</t>
        </is>
      </c>
      <c r="N375" s="46" t="n">
        <v>45888.72430555556</v>
      </c>
      <c r="O375" s="46" t="n">
        <v>45889.56875</v>
      </c>
      <c r="P375" t="inlineStr">
        <is>
          <t>UNO A UNO</t>
        </is>
      </c>
      <c r="Q375" t="inlineStr">
        <is>
          <t>UNO A UNO</t>
        </is>
      </c>
      <c r="R375" t="inlineStr">
        <is>
          <t>EJECUTADO</t>
        </is>
      </c>
      <c r="S375" t="inlineStr">
        <is>
          <t>VISITA TECNICA</t>
        </is>
      </c>
      <c r="T375" t="inlineStr">
        <is>
          <t>SGZZZ975</t>
        </is>
      </c>
      <c r="U375" t="inlineStr">
        <is>
          <t>TIPO II</t>
        </is>
      </c>
      <c r="V375" t="inlineStr">
        <is>
          <t>TERRESTRE</t>
        </is>
      </c>
      <c r="W375" t="inlineStr">
        <is>
          <t>BUSTOS MORA DIEGO MANUEL</t>
        </is>
      </c>
      <c r="X375" t="inlineStr">
        <is>
          <t>Si</t>
        </is>
      </c>
      <c r="Y375" t="inlineStr">
        <is>
          <t>Si</t>
        </is>
      </c>
      <c r="Z375" s="45" t="n">
        <v>0</v>
      </c>
      <c r="AA375" t="inlineStr">
        <is>
          <t>0</t>
        </is>
      </c>
      <c r="AB375" s="45" t="n">
        <v>248376</v>
      </c>
      <c r="AC375" s="45" t="n">
        <v>0</v>
      </c>
    </row>
    <row r="376">
      <c r="A376" t="inlineStr">
        <is>
          <t>MEDELLIN</t>
        </is>
      </c>
      <c r="B376" t="inlineStr">
        <is>
          <t>NOROCCIDENTE</t>
        </is>
      </c>
      <c r="C376" t="inlineStr">
        <is>
          <t>0004-0005</t>
        </is>
      </c>
      <c r="D376" t="inlineStr">
        <is>
          <t>5088</t>
        </is>
      </c>
      <c r="E376" t="inlineStr">
        <is>
          <t>TA-25-982517</t>
        </is>
      </c>
      <c r="F376" t="inlineStr">
        <is>
          <t>3007081108</t>
        </is>
      </c>
      <c r="G376" t="inlineStr">
        <is>
          <t>APERTURA</t>
        </is>
      </c>
      <c r="H376" t="inlineStr">
        <is>
          <t>CB CRECIMIENTO - NUEVO</t>
        </is>
      </c>
      <c r="I376" t="inlineStr">
        <is>
          <t>ANTIOQUIA</t>
        </is>
      </c>
      <c r="J376" t="inlineStr">
        <is>
          <t>BELLO</t>
        </is>
      </c>
      <c r="K376" t="inlineStr">
        <is>
          <t>BARRIO CENTRO BELLO 1</t>
        </is>
      </c>
      <c r="L376" t="inlineStr">
        <is>
          <t>BANCOLOMBIA</t>
        </is>
      </c>
      <c r="M376" t="inlineStr">
        <is>
          <t>FO-25-1390829</t>
        </is>
      </c>
      <c r="N376" s="46" t="n">
        <v>45888.67222222222</v>
      </c>
      <c r="O376" s="46" t="n">
        <v>45890.28680555556</v>
      </c>
      <c r="P376" t="inlineStr">
        <is>
          <t>UNO A UNO</t>
        </is>
      </c>
      <c r="Q376" t="inlineStr">
        <is>
          <t>UNO A UNO</t>
        </is>
      </c>
      <c r="R376" t="inlineStr">
        <is>
          <t>EJECUTADO</t>
        </is>
      </c>
      <c r="S376" t="inlineStr">
        <is>
          <t>VISITA TECNICA</t>
        </is>
      </c>
      <c r="T376" t="inlineStr">
        <is>
          <t>SGZZZ976</t>
        </is>
      </c>
      <c r="U376" t="inlineStr">
        <is>
          <t>TIPO I</t>
        </is>
      </c>
      <c r="V376" t="inlineStr">
        <is>
          <t>TERRESTRE</t>
        </is>
      </c>
      <c r="W376" t="inlineStr">
        <is>
          <t>MARTINEZ TOVAR OSCAR DAVID</t>
        </is>
      </c>
      <c r="X376" t="inlineStr">
        <is>
          <t>Si</t>
        </is>
      </c>
      <c r="Y376" t="inlineStr">
        <is>
          <t>Si</t>
        </is>
      </c>
      <c r="Z376" s="45" t="n">
        <v>0</v>
      </c>
      <c r="AA376" t="inlineStr">
        <is>
          <t>0</t>
        </is>
      </c>
      <c r="AB376" s="45" t="n">
        <v>194983</v>
      </c>
      <c r="AC376" s="45" t="n">
        <v>0</v>
      </c>
    </row>
    <row r="377">
      <c r="A377" t="inlineStr">
        <is>
          <t>BOGOTA</t>
        </is>
      </c>
      <c r="B377" t="inlineStr">
        <is>
          <t>CUNDINAMARCA</t>
        </is>
      </c>
      <c r="C377" t="inlineStr">
        <is>
          <t>0004-0004</t>
        </is>
      </c>
      <c r="D377" t="inlineStr">
        <is>
          <t>25290</t>
        </is>
      </c>
      <c r="E377" t="inlineStr">
        <is>
          <t>TA-25-982518</t>
        </is>
      </c>
      <c r="F377" t="inlineStr">
        <is>
          <t>3007081078</t>
        </is>
      </c>
      <c r="G377" t="inlineStr">
        <is>
          <t>APERTURA</t>
        </is>
      </c>
      <c r="H377" t="inlineStr">
        <is>
          <t>CB CRECIMIENTO - NUEVO</t>
        </is>
      </c>
      <c r="I377" t="inlineStr">
        <is>
          <t>CUNDINAMARCA</t>
        </is>
      </c>
      <c r="J377" t="inlineStr">
        <is>
          <t>FUSAGASUGA</t>
        </is>
      </c>
      <c r="K377" t="inlineStr">
        <is>
          <t>BARRIO CEDRITOS FUSAGASUGA 4</t>
        </is>
      </c>
      <c r="L377" t="inlineStr">
        <is>
          <t>BANCOLOMBIA</t>
        </is>
      </c>
      <c r="M377" t="inlineStr">
        <is>
          <t>FO-25-1390834</t>
        </is>
      </c>
      <c r="N377" s="46" t="n">
        <v>45888.72430555556</v>
      </c>
      <c r="O377" s="46" t="n">
        <v>45889.64305555556</v>
      </c>
      <c r="P377" t="inlineStr">
        <is>
          <t>UNO A UNO</t>
        </is>
      </c>
      <c r="Q377" t="inlineStr">
        <is>
          <t>UNO A UNO</t>
        </is>
      </c>
      <c r="R377" t="inlineStr">
        <is>
          <t>EJECUTADO</t>
        </is>
      </c>
      <c r="S377" t="inlineStr">
        <is>
          <t>VISITA TECNICA</t>
        </is>
      </c>
      <c r="T377" t="inlineStr">
        <is>
          <t xml:space="preserve"> SGZZZ977</t>
        </is>
      </c>
      <c r="U377" t="inlineStr">
        <is>
          <t>TIPO II</t>
        </is>
      </c>
      <c r="V377" t="inlineStr">
        <is>
          <t>TERRESTRE</t>
        </is>
      </c>
      <c r="W377" t="inlineStr">
        <is>
          <t>LOZADA ROJAS CHRISTIAN ANDRES</t>
        </is>
      </c>
      <c r="X377" t="inlineStr">
        <is>
          <t>Si</t>
        </is>
      </c>
      <c r="Y377" t="inlineStr">
        <is>
          <t>Si</t>
        </is>
      </c>
      <c r="Z377" s="45" t="n">
        <v>0</v>
      </c>
      <c r="AA377" t="inlineStr">
        <is>
          <t>0</t>
        </is>
      </c>
      <c r="AB377" s="45" t="n">
        <v>248376</v>
      </c>
      <c r="AC377" s="45" t="n">
        <v>0</v>
      </c>
    </row>
    <row r="378">
      <c r="A378" t="inlineStr">
        <is>
          <t>MEDELLIN</t>
        </is>
      </c>
      <c r="B378" t="inlineStr">
        <is>
          <t>NOROCCIDENTE</t>
        </is>
      </c>
      <c r="C378" t="inlineStr">
        <is>
          <t>0004-0005</t>
        </is>
      </c>
      <c r="D378" t="inlineStr">
        <is>
          <t>5038</t>
        </is>
      </c>
      <c r="E378" t="inlineStr">
        <is>
          <t>TA-25-982519</t>
        </is>
      </c>
      <c r="F378" t="inlineStr">
        <is>
          <t>3007081074</t>
        </is>
      </c>
      <c r="G378" t="inlineStr">
        <is>
          <t>APERTURA</t>
        </is>
      </c>
      <c r="H378" t="inlineStr">
        <is>
          <t>CB CRECIMIENTO - NUEVO</t>
        </is>
      </c>
      <c r="I378" t="inlineStr">
        <is>
          <t>ANTIOQUIA</t>
        </is>
      </c>
      <c r="J378" t="inlineStr">
        <is>
          <t>ANGOSTURA</t>
        </is>
      </c>
      <c r="K378" t="inlineStr">
        <is>
          <t>BARRIO CENTRO ANGOSTURA</t>
        </is>
      </c>
      <c r="L378" t="inlineStr">
        <is>
          <t>BANCOLOMBIA</t>
        </is>
      </c>
      <c r="M378" t="inlineStr">
        <is>
          <t>FO-25-1390839</t>
        </is>
      </c>
      <c r="N378" s="46" t="n">
        <v>45888.67291666667</v>
      </c>
      <c r="O378" s="46" t="n">
        <v>45891.35486111111</v>
      </c>
      <c r="P378" t="inlineStr">
        <is>
          <t>UNO A UNO</t>
        </is>
      </c>
      <c r="Q378" t="inlineStr">
        <is>
          <t>UNO A UNO</t>
        </is>
      </c>
      <c r="R378" t="inlineStr">
        <is>
          <t>EJECUTADO</t>
        </is>
      </c>
      <c r="S378" t="inlineStr">
        <is>
          <t>VISITA TECNICA</t>
        </is>
      </c>
      <c r="T378" t="inlineStr">
        <is>
          <t>SGZZZ978</t>
        </is>
      </c>
      <c r="U378" t="inlineStr">
        <is>
          <t>TIPO III</t>
        </is>
      </c>
      <c r="V378" t="inlineStr">
        <is>
          <t>TERRESTRE</t>
        </is>
      </c>
      <c r="W378" t="inlineStr">
        <is>
          <t>DIAZ ZABALA FRANCIS DUBAN</t>
        </is>
      </c>
      <c r="X378" t="inlineStr">
        <is>
          <t>Si</t>
        </is>
      </c>
      <c r="Y378" t="inlineStr">
        <is>
          <t>Si</t>
        </is>
      </c>
      <c r="Z378" s="45" t="n">
        <v>0</v>
      </c>
      <c r="AA378" t="inlineStr">
        <is>
          <t>0</t>
        </is>
      </c>
      <c r="AB378" s="45" t="n">
        <v>248376</v>
      </c>
      <c r="AC378" s="45" t="n">
        <v>0</v>
      </c>
    </row>
    <row r="379">
      <c r="A379" t="inlineStr">
        <is>
          <t>CALI</t>
        </is>
      </c>
      <c r="B379" t="inlineStr">
        <is>
          <t>SUROCCIDENTE Y EJE CAFETERO</t>
        </is>
      </c>
      <c r="C379" t="inlineStr">
        <is>
          <t>0004-0003</t>
        </is>
      </c>
      <c r="D379" t="inlineStr">
        <is>
          <t>76520</t>
        </is>
      </c>
      <c r="E379" t="inlineStr">
        <is>
          <t>TA-25-982520</t>
        </is>
      </c>
      <c r="F379" t="inlineStr">
        <is>
          <t>3007081089</t>
        </is>
      </c>
      <c r="G379" t="inlineStr">
        <is>
          <t>APERTURA</t>
        </is>
      </c>
      <c r="H379" t="inlineStr">
        <is>
          <t>CB CRECIMIENTO - NUEVO</t>
        </is>
      </c>
      <c r="I379" t="inlineStr">
        <is>
          <t>VALLE DEL CAUCA</t>
        </is>
      </c>
      <c r="J379" t="inlineStr">
        <is>
          <t>PALMIRA</t>
        </is>
      </c>
      <c r="K379" t="inlineStr">
        <is>
          <t>BARRIO MARIA CANO PALMIRA 1</t>
        </is>
      </c>
      <c r="L379" t="inlineStr">
        <is>
          <t>BANCOLOMBIA</t>
        </is>
      </c>
      <c r="M379" t="inlineStr">
        <is>
          <t>FO-25-1390846</t>
        </is>
      </c>
      <c r="N379" s="46" t="n">
        <v>45888.64791666667</v>
      </c>
      <c r="O379" s="46" t="n">
        <v>45890.29236111111</v>
      </c>
      <c r="P379" t="inlineStr">
        <is>
          <t>UNO A UNO</t>
        </is>
      </c>
      <c r="Q379" t="inlineStr">
        <is>
          <t>UNO A UNO</t>
        </is>
      </c>
      <c r="R379" t="inlineStr">
        <is>
          <t>EJECUTADO</t>
        </is>
      </c>
      <c r="S379" t="inlineStr">
        <is>
          <t>VISITA TECNICA</t>
        </is>
      </c>
      <c r="T379" t="inlineStr">
        <is>
          <t>SGZZZ979</t>
        </is>
      </c>
      <c r="U379" t="inlineStr">
        <is>
          <t>TIPO I</t>
        </is>
      </c>
      <c r="V379" t="inlineStr">
        <is>
          <t>TERRESTRE</t>
        </is>
      </c>
      <c r="W379" t="inlineStr">
        <is>
          <t>BOLAÑOS TABORDA JORGE ENRIQUE</t>
        </is>
      </c>
      <c r="X379" t="inlineStr">
        <is>
          <t>Si</t>
        </is>
      </c>
      <c r="Y379" t="inlineStr">
        <is>
          <t>Si</t>
        </is>
      </c>
      <c r="Z379" s="45" t="n">
        <v>0</v>
      </c>
      <c r="AA379" t="inlineStr">
        <is>
          <t>0</t>
        </is>
      </c>
      <c r="AB379" s="45" t="n">
        <v>194983</v>
      </c>
      <c r="AC379" s="45" t="n">
        <v>0</v>
      </c>
    </row>
    <row r="380">
      <c r="A380" t="inlineStr">
        <is>
          <t>CALI</t>
        </is>
      </c>
      <c r="B380" t="inlineStr">
        <is>
          <t>SUROCCIDENTE Y EJE CAFETERO</t>
        </is>
      </c>
      <c r="C380" t="inlineStr">
        <is>
          <t>0004-0003</t>
        </is>
      </c>
      <c r="D380" t="inlineStr">
        <is>
          <t>19001</t>
        </is>
      </c>
      <c r="E380" t="inlineStr">
        <is>
          <t>TA-25-982522</t>
        </is>
      </c>
      <c r="F380" t="inlineStr">
        <is>
          <t>3007081092</t>
        </is>
      </c>
      <c r="G380" t="inlineStr">
        <is>
          <t>APERTURA</t>
        </is>
      </c>
      <c r="H380" t="inlineStr">
        <is>
          <t>CB CRECIMIENTO - NUEVO</t>
        </is>
      </c>
      <c r="I380" t="inlineStr">
        <is>
          <t>CAUCA</t>
        </is>
      </c>
      <c r="J380" t="inlineStr">
        <is>
          <t>POPAYAN</t>
        </is>
      </c>
      <c r="K380" t="inlineStr">
        <is>
          <t>BARRIO LA ESMERALDA POPAYAN  8</t>
        </is>
      </c>
      <c r="L380" t="inlineStr">
        <is>
          <t>BANCOLOMBIA</t>
        </is>
      </c>
      <c r="M380" t="inlineStr">
        <is>
          <t>FO-25-1390852</t>
        </is>
      </c>
      <c r="N380" s="46" t="n">
        <v>45888.62152777778</v>
      </c>
      <c r="O380" s="46" t="n">
        <v>45890.29444444444</v>
      </c>
      <c r="P380" t="inlineStr">
        <is>
          <t>UNO A UNO</t>
        </is>
      </c>
      <c r="Q380" t="inlineStr">
        <is>
          <t>UNO A UNO</t>
        </is>
      </c>
      <c r="R380" t="inlineStr">
        <is>
          <t>EJECUTADO</t>
        </is>
      </c>
      <c r="S380" t="inlineStr">
        <is>
          <t>VISITA TECNICA</t>
        </is>
      </c>
      <c r="T380" t="inlineStr">
        <is>
          <t>SGZZZ980</t>
        </is>
      </c>
      <c r="U380" t="inlineStr">
        <is>
          <t>TIPO III</t>
        </is>
      </c>
      <c r="V380" t="inlineStr">
        <is>
          <t>TERRESTRE</t>
        </is>
      </c>
      <c r="W380" t="inlineStr">
        <is>
          <t>GIMBUEL LASSO LUIS GERMAN</t>
        </is>
      </c>
      <c r="X380" t="inlineStr">
        <is>
          <t>Si</t>
        </is>
      </c>
      <c r="Y380" t="inlineStr">
        <is>
          <t>Si</t>
        </is>
      </c>
      <c r="Z380" s="45" t="n">
        <v>0</v>
      </c>
      <c r="AA380" t="inlineStr">
        <is>
          <t>0</t>
        </is>
      </c>
      <c r="AB380" s="45" t="n">
        <v>248376</v>
      </c>
      <c r="AC380" s="45" t="n">
        <v>0</v>
      </c>
    </row>
    <row r="381">
      <c r="A381" t="inlineStr">
        <is>
          <t>CALI</t>
        </is>
      </c>
      <c r="B381" t="inlineStr">
        <is>
          <t>SUROCCIDENTE Y EJE CAFETERO</t>
        </is>
      </c>
      <c r="C381" t="inlineStr">
        <is>
          <t>0004-0003</t>
        </is>
      </c>
      <c r="D381" t="inlineStr">
        <is>
          <t>76892</t>
        </is>
      </c>
      <c r="E381" t="inlineStr">
        <is>
          <t>TA-25-982523</t>
        </is>
      </c>
      <c r="F381" t="inlineStr">
        <is>
          <t>3007081110</t>
        </is>
      </c>
      <c r="G381" t="inlineStr">
        <is>
          <t>APERTURA</t>
        </is>
      </c>
      <c r="H381" t="inlineStr">
        <is>
          <t>CB CRECIMIENTO - NUEVO</t>
        </is>
      </c>
      <c r="I381" t="inlineStr">
        <is>
          <t>VALLE DEL CAUCA</t>
        </is>
      </c>
      <c r="J381" t="inlineStr">
        <is>
          <t>YUMBO</t>
        </is>
      </c>
      <c r="K381" t="inlineStr">
        <is>
          <t>BARRIO GUABINAS YUMBO YUMBO</t>
        </is>
      </c>
      <c r="L381" t="inlineStr">
        <is>
          <t>BANCOLOMBIA</t>
        </is>
      </c>
      <c r="M381" t="inlineStr">
        <is>
          <t>FO-25-1390857</t>
        </is>
      </c>
      <c r="N381" s="46" t="n">
        <v>45888.71319444444</v>
      </c>
      <c r="O381" s="46" t="n">
        <v>45890.66111111111</v>
      </c>
      <c r="P381" t="inlineStr">
        <is>
          <t>UNO A UNO</t>
        </is>
      </c>
      <c r="Q381" t="inlineStr">
        <is>
          <t>UNO A UNO</t>
        </is>
      </c>
      <c r="R381" t="inlineStr">
        <is>
          <t>EJECUTADO</t>
        </is>
      </c>
      <c r="S381" t="inlineStr">
        <is>
          <t>VISITA TECNICA</t>
        </is>
      </c>
      <c r="T381" t="inlineStr">
        <is>
          <t>SGZZZ981</t>
        </is>
      </c>
      <c r="U381" t="inlineStr">
        <is>
          <t>TIPO I</t>
        </is>
      </c>
      <c r="V381" t="inlineStr">
        <is>
          <t>TERRESTRE</t>
        </is>
      </c>
      <c r="W381" t="inlineStr">
        <is>
          <t>TORRES GARCIA JENDRY JOSE</t>
        </is>
      </c>
      <c r="X381" t="inlineStr">
        <is>
          <t>Si</t>
        </is>
      </c>
      <c r="Y381" t="inlineStr">
        <is>
          <t>Si</t>
        </is>
      </c>
      <c r="Z381" s="45" t="n">
        <v>0</v>
      </c>
      <c r="AA381" t="inlineStr">
        <is>
          <t>0</t>
        </is>
      </c>
      <c r="AB381" s="45" t="n">
        <v>194983</v>
      </c>
      <c r="AC381" s="45" t="n">
        <v>0</v>
      </c>
    </row>
    <row r="382">
      <c r="A382" t="inlineStr">
        <is>
          <t>MANIZALES</t>
        </is>
      </c>
      <c r="B382" t="inlineStr">
        <is>
          <t>SUROCCIDENTE Y EJE CAFETERO</t>
        </is>
      </c>
      <c r="C382" t="inlineStr">
        <is>
          <t>0004-0002</t>
        </is>
      </c>
      <c r="D382" t="inlineStr">
        <is>
          <t>17777</t>
        </is>
      </c>
      <c r="E382" t="inlineStr">
        <is>
          <t>TA-25-982524</t>
        </is>
      </c>
      <c r="F382" t="inlineStr">
        <is>
          <t>3007081104</t>
        </is>
      </c>
      <c r="G382" t="inlineStr">
        <is>
          <t>APERTURA</t>
        </is>
      </c>
      <c r="H382" t="inlineStr">
        <is>
          <t>CB CRECIMIENTO - NUEVO</t>
        </is>
      </c>
      <c r="I382" t="inlineStr">
        <is>
          <t>CALDAS</t>
        </is>
      </c>
      <c r="J382" t="inlineStr">
        <is>
          <t>SUPIA</t>
        </is>
      </c>
      <c r="K382" t="inlineStr">
        <is>
          <t>BARRIO AVENIDA CARVAJAL SUPIA</t>
        </is>
      </c>
      <c r="L382" t="inlineStr">
        <is>
          <t>BANCOLOMBIA</t>
        </is>
      </c>
      <c r="M382" t="inlineStr">
        <is>
          <t>FO-25-1390862</t>
        </is>
      </c>
      <c r="N382" s="46" t="n">
        <v>45888.61666666667</v>
      </c>
      <c r="O382" s="46" t="n">
        <v>45890.58402777778</v>
      </c>
      <c r="P382" t="inlineStr">
        <is>
          <t>UNO A UNO</t>
        </is>
      </c>
      <c r="Q382" t="inlineStr">
        <is>
          <t>UNO A UNO</t>
        </is>
      </c>
      <c r="R382" t="inlineStr">
        <is>
          <t>EJECUTADO</t>
        </is>
      </c>
      <c r="S382" t="inlineStr">
        <is>
          <t>VISITA TECNICA</t>
        </is>
      </c>
      <c r="T382" t="inlineStr">
        <is>
          <t>SGZZZ982</t>
        </is>
      </c>
      <c r="U382" t="inlineStr">
        <is>
          <t>TIPO II</t>
        </is>
      </c>
      <c r="V382" t="inlineStr">
        <is>
          <t>TERRESTRE</t>
        </is>
      </c>
      <c r="W382" t="inlineStr">
        <is>
          <t>FRANCO CAÑAVERAL YAMID RAUL</t>
        </is>
      </c>
      <c r="X382" t="inlineStr">
        <is>
          <t>Si</t>
        </is>
      </c>
      <c r="Y382" t="inlineStr">
        <is>
          <t>Si</t>
        </is>
      </c>
      <c r="Z382" s="45" t="n">
        <v>0</v>
      </c>
      <c r="AA382" t="inlineStr">
        <is>
          <t>0</t>
        </is>
      </c>
      <c r="AB382" s="45" t="n">
        <v>248376</v>
      </c>
      <c r="AC382" s="45" t="n">
        <v>0</v>
      </c>
    </row>
    <row r="383">
      <c r="A383" t="inlineStr">
        <is>
          <t>BOGOTA</t>
        </is>
      </c>
      <c r="B383" t="inlineStr">
        <is>
          <t>CUNDINAMARCA</t>
        </is>
      </c>
      <c r="C383" t="inlineStr">
        <is>
          <t>0004-0004</t>
        </is>
      </c>
      <c r="D383" t="inlineStr">
        <is>
          <t>25743</t>
        </is>
      </c>
      <c r="E383" t="inlineStr">
        <is>
          <t>TA-25-982525</t>
        </is>
      </c>
      <c r="F383" t="inlineStr">
        <is>
          <t>3007081096</t>
        </is>
      </c>
      <c r="G383" t="inlineStr">
        <is>
          <t>APERTURA</t>
        </is>
      </c>
      <c r="H383" t="inlineStr">
        <is>
          <t>CB CRECIMIENTO - NUEVO</t>
        </is>
      </c>
      <c r="I383" t="inlineStr">
        <is>
          <t>CUNDINAMARCA</t>
        </is>
      </c>
      <c r="J383" t="inlineStr">
        <is>
          <t>SILVANIA</t>
        </is>
      </c>
      <c r="K383" t="inlineStr">
        <is>
          <t>BARRIO MOLINO ROJO SILVANIA</t>
        </is>
      </c>
      <c r="L383" t="inlineStr">
        <is>
          <t>BANCOLOMBIA</t>
        </is>
      </c>
      <c r="M383" t="inlineStr">
        <is>
          <t>FO-25-1390865</t>
        </is>
      </c>
      <c r="N383" s="46" t="n">
        <v>45888.71736111111</v>
      </c>
      <c r="O383" s="46" t="n">
        <v>45891.28611111111</v>
      </c>
      <c r="P383" t="inlineStr">
        <is>
          <t>UNO A UNO</t>
        </is>
      </c>
      <c r="Q383" t="inlineStr">
        <is>
          <t>UNO A UNO</t>
        </is>
      </c>
      <c r="R383" t="inlineStr">
        <is>
          <t>EJECUTADO</t>
        </is>
      </c>
      <c r="S383" t="inlineStr">
        <is>
          <t>VISITA TECNICA</t>
        </is>
      </c>
      <c r="T383" t="inlineStr">
        <is>
          <t>SGZZZ983</t>
        </is>
      </c>
      <c r="U383" t="inlineStr">
        <is>
          <t>TIPO II</t>
        </is>
      </c>
      <c r="V383" t="inlineStr">
        <is>
          <t>TERRESTRE</t>
        </is>
      </c>
      <c r="W383" t="inlineStr">
        <is>
          <t>GALEANO SORIANO JUAN DAVID</t>
        </is>
      </c>
      <c r="X383" t="inlineStr">
        <is>
          <t>Si</t>
        </is>
      </c>
      <c r="Y383" t="inlineStr">
        <is>
          <t>Si</t>
        </is>
      </c>
      <c r="Z383" s="45" t="n">
        <v>0</v>
      </c>
      <c r="AA383" t="inlineStr">
        <is>
          <t>0</t>
        </is>
      </c>
      <c r="AB383" s="45" t="n">
        <v>248376</v>
      </c>
      <c r="AC383" s="45" t="n">
        <v>0</v>
      </c>
    </row>
    <row r="384">
      <c r="A384" t="inlineStr">
        <is>
          <t>BOGOTA</t>
        </is>
      </c>
      <c r="B384" t="inlineStr">
        <is>
          <t>CUNDINAMARCA</t>
        </is>
      </c>
      <c r="C384" t="inlineStr">
        <is>
          <t>0004-0004</t>
        </is>
      </c>
      <c r="D384" t="inlineStr">
        <is>
          <t>25175</t>
        </is>
      </c>
      <c r="E384" t="inlineStr">
        <is>
          <t>TA-25-982527</t>
        </is>
      </c>
      <c r="F384" t="inlineStr">
        <is>
          <t>3007081067</t>
        </is>
      </c>
      <c r="G384" t="inlineStr">
        <is>
          <t>APERTURA</t>
        </is>
      </c>
      <c r="H384" t="inlineStr">
        <is>
          <t>CB CRECIMIENTO - NUEVO</t>
        </is>
      </c>
      <c r="I384" t="inlineStr">
        <is>
          <t>CUNDINAMARCA</t>
        </is>
      </c>
      <c r="J384" t="inlineStr">
        <is>
          <t>CHIA</t>
        </is>
      </c>
      <c r="K384" t="inlineStr">
        <is>
          <t>BARRIO NUEVO MILENIO CHIA 1</t>
        </is>
      </c>
      <c r="L384" t="inlineStr">
        <is>
          <t>BANCOLOMBIA</t>
        </is>
      </c>
      <c r="M384" t="inlineStr">
        <is>
          <t>FO-25-1390872</t>
        </is>
      </c>
      <c r="N384" s="46" t="n">
        <v>45888.72430555556</v>
      </c>
      <c r="O384" s="46" t="n">
        <v>45889.57083333333</v>
      </c>
      <c r="P384" t="inlineStr">
        <is>
          <t>UNO A UNO</t>
        </is>
      </c>
      <c r="Q384" t="inlineStr">
        <is>
          <t>UNO A UNO</t>
        </is>
      </c>
      <c r="R384" t="inlineStr">
        <is>
          <t>EJECUTADO</t>
        </is>
      </c>
      <c r="S384" t="inlineStr">
        <is>
          <t>VISITA TECNICA</t>
        </is>
      </c>
      <c r="T384" t="inlineStr">
        <is>
          <t>SGZZZ984</t>
        </is>
      </c>
      <c r="U384" t="inlineStr">
        <is>
          <t>TIPO II</t>
        </is>
      </c>
      <c r="V384" t="inlineStr">
        <is>
          <t>TERRESTRE</t>
        </is>
      </c>
      <c r="W384" t="inlineStr">
        <is>
          <t>GALEANO SORIANO JUAN DAVID</t>
        </is>
      </c>
      <c r="X384" t="inlineStr">
        <is>
          <t>Si</t>
        </is>
      </c>
      <c r="Y384" t="inlineStr">
        <is>
          <t>Si</t>
        </is>
      </c>
      <c r="Z384" s="45" t="n">
        <v>0</v>
      </c>
      <c r="AA384" t="inlineStr">
        <is>
          <t>0</t>
        </is>
      </c>
      <c r="AB384" s="45" t="n">
        <v>248376</v>
      </c>
      <c r="AC384" s="45" t="n">
        <v>0</v>
      </c>
    </row>
    <row r="385">
      <c r="A385" t="inlineStr">
        <is>
          <t>CALI</t>
        </is>
      </c>
      <c r="B385" t="inlineStr">
        <is>
          <t>SUROCCIDENTE Y EJE CAFETERO</t>
        </is>
      </c>
      <c r="C385" t="inlineStr">
        <is>
          <t>0004-0003</t>
        </is>
      </c>
      <c r="D385" t="inlineStr">
        <is>
          <t>76001</t>
        </is>
      </c>
      <c r="E385" t="inlineStr">
        <is>
          <t>TA-25-982528</t>
        </is>
      </c>
      <c r="F385" t="inlineStr">
        <is>
          <t>3007081061</t>
        </is>
      </c>
      <c r="G385" t="inlineStr">
        <is>
          <t>APERTURA</t>
        </is>
      </c>
      <c r="H385" t="inlineStr">
        <is>
          <t>CB CRECIMIENTO - NUEVO</t>
        </is>
      </c>
      <c r="I385" t="inlineStr">
        <is>
          <t>VALLE DEL CAUCA</t>
        </is>
      </c>
      <c r="J385" t="inlineStr">
        <is>
          <t>CALI</t>
        </is>
      </c>
      <c r="K385" t="inlineStr">
        <is>
          <t>BARRIO LA FLORESTA CALI 1</t>
        </is>
      </c>
      <c r="L385" t="inlineStr">
        <is>
          <t>BANCOLOMBIA</t>
        </is>
      </c>
      <c r="M385" t="inlineStr">
        <is>
          <t>FO-25-1390876</t>
        </is>
      </c>
      <c r="N385" s="46" t="n">
        <v>45888.73055555556</v>
      </c>
      <c r="O385" s="46" t="n">
        <v>45891.30763888889</v>
      </c>
      <c r="P385" t="inlineStr">
        <is>
          <t>UNO A UNO</t>
        </is>
      </c>
      <c r="Q385" t="inlineStr">
        <is>
          <t>UNO A UNO</t>
        </is>
      </c>
      <c r="R385" t="inlineStr">
        <is>
          <t>EJECUTADO</t>
        </is>
      </c>
      <c r="S385" t="inlineStr">
        <is>
          <t>VISITA TECNICA</t>
        </is>
      </c>
      <c r="T385" t="inlineStr">
        <is>
          <t>SGZZZ985</t>
        </is>
      </c>
      <c r="U385" t="inlineStr">
        <is>
          <t>TIPO I</t>
        </is>
      </c>
      <c r="V385" t="inlineStr">
        <is>
          <t>TERRESTRE</t>
        </is>
      </c>
      <c r="W385" t="inlineStr">
        <is>
          <t>TORRES GARCIA JENDRY JOSE</t>
        </is>
      </c>
      <c r="X385" t="inlineStr">
        <is>
          <t>Si</t>
        </is>
      </c>
      <c r="Y385" t="inlineStr">
        <is>
          <t>Si</t>
        </is>
      </c>
      <c r="Z385" s="45" t="n">
        <v>0</v>
      </c>
      <c r="AA385" t="inlineStr">
        <is>
          <t>0</t>
        </is>
      </c>
      <c r="AB385" s="45" t="n">
        <v>194983</v>
      </c>
      <c r="AC385" s="45" t="n">
        <v>0</v>
      </c>
    </row>
    <row r="386">
      <c r="A386" t="inlineStr">
        <is>
          <t>MONTERIA</t>
        </is>
      </c>
      <c r="B386" t="inlineStr">
        <is>
          <t>COSTA</t>
        </is>
      </c>
      <c r="C386" t="inlineStr">
        <is>
          <t>0004-0001</t>
        </is>
      </c>
      <c r="D386" t="inlineStr">
        <is>
          <t>5495</t>
        </is>
      </c>
      <c r="E386" t="inlineStr">
        <is>
          <t>TA-25-982529</t>
        </is>
      </c>
      <c r="F386" t="inlineStr">
        <is>
          <t>3007081087</t>
        </is>
      </c>
      <c r="G386" t="inlineStr">
        <is>
          <t>APERTURA</t>
        </is>
      </c>
      <c r="H386" t="inlineStr">
        <is>
          <t>CB CRECIMIENTO - NUEVO</t>
        </is>
      </c>
      <c r="I386" t="inlineStr">
        <is>
          <t>ANTIOQUIA</t>
        </is>
      </c>
      <c r="J386" t="inlineStr">
        <is>
          <t>NECHI</t>
        </is>
      </c>
      <c r="K386" t="inlineStr">
        <is>
          <t>BARRIO CENTRO NECHI 3</t>
        </is>
      </c>
      <c r="L386" t="inlineStr">
        <is>
          <t>BANCOLOMBIA</t>
        </is>
      </c>
      <c r="M386" t="inlineStr">
        <is>
          <t>FO-25-1390881</t>
        </is>
      </c>
      <c r="N386" s="46" t="n">
        <v>45888.66736111111</v>
      </c>
      <c r="O386" s="46" t="n">
        <v>45891.29861111111</v>
      </c>
      <c r="P386" t="inlineStr">
        <is>
          <t>UNO A UNO</t>
        </is>
      </c>
      <c r="Q386" t="inlineStr">
        <is>
          <t>UNO A UNO</t>
        </is>
      </c>
      <c r="R386" t="inlineStr">
        <is>
          <t>EJECUTADO</t>
        </is>
      </c>
      <c r="S386" t="inlineStr">
        <is>
          <t>VISITA TECNICA</t>
        </is>
      </c>
      <c r="T386" t="inlineStr">
        <is>
          <t>SGZZZ986</t>
        </is>
      </c>
      <c r="U386" t="inlineStr">
        <is>
          <t>TIPO III</t>
        </is>
      </c>
      <c r="V386" t="inlineStr">
        <is>
          <t>TERRESTRE</t>
        </is>
      </c>
      <c r="W386" t="inlineStr">
        <is>
          <t>CALDERA SALCEDO CARLOS JULIO</t>
        </is>
      </c>
      <c r="X386" t="inlineStr">
        <is>
          <t>Si</t>
        </is>
      </c>
      <c r="Y386" t="inlineStr">
        <is>
          <t>Si</t>
        </is>
      </c>
      <c r="Z386" s="45" t="n">
        <v>0</v>
      </c>
      <c r="AA386" t="inlineStr">
        <is>
          <t>0</t>
        </is>
      </c>
      <c r="AB386" s="45" t="n">
        <v>248376</v>
      </c>
      <c r="AC386" s="45" t="n">
        <v>0</v>
      </c>
    </row>
    <row r="387">
      <c r="A387" t="inlineStr">
        <is>
          <t>CALI</t>
        </is>
      </c>
      <c r="B387" t="inlineStr">
        <is>
          <t>SUROCCIDENTE Y EJE CAFETERO</t>
        </is>
      </c>
      <c r="C387" t="inlineStr">
        <is>
          <t>0004-0003</t>
        </is>
      </c>
      <c r="D387" t="inlineStr">
        <is>
          <t>76001</t>
        </is>
      </c>
      <c r="E387" t="inlineStr">
        <is>
          <t>TA-25-982530</t>
        </is>
      </c>
      <c r="F387" t="inlineStr">
        <is>
          <t>3007081063</t>
        </is>
      </c>
      <c r="G387" t="inlineStr">
        <is>
          <t>APERTURA</t>
        </is>
      </c>
      <c r="H387" t="inlineStr">
        <is>
          <t>CB CRECIMIENTO - NUEVO</t>
        </is>
      </c>
      <c r="I387" t="inlineStr">
        <is>
          <t>VALLE DEL CAUCA</t>
        </is>
      </c>
      <c r="J387" t="inlineStr">
        <is>
          <t>CALI</t>
        </is>
      </c>
      <c r="K387" t="inlineStr">
        <is>
          <t>BARRIO LA INDEPENDENCIA CALI 1</t>
        </is>
      </c>
      <c r="L387" t="inlineStr">
        <is>
          <t>BANCOLOMBIA</t>
        </is>
      </c>
      <c r="M387" t="inlineStr">
        <is>
          <t>FO-25-1390884</t>
        </is>
      </c>
      <c r="N387" s="46" t="n">
        <v>45888.71180555555</v>
      </c>
      <c r="O387" s="46" t="n">
        <v>45891.30138888889</v>
      </c>
      <c r="P387" t="inlineStr">
        <is>
          <t>UNO A UNO</t>
        </is>
      </c>
      <c r="Q387" t="inlineStr">
        <is>
          <t>UNO A UNO</t>
        </is>
      </c>
      <c r="R387" t="inlineStr">
        <is>
          <t>EJECUTADO</t>
        </is>
      </c>
      <c r="S387" t="inlineStr">
        <is>
          <t>VISITA TECNICA</t>
        </is>
      </c>
      <c r="T387" t="inlineStr">
        <is>
          <t>SGZZZ987</t>
        </is>
      </c>
      <c r="U387" t="inlineStr">
        <is>
          <t>TIPO I</t>
        </is>
      </c>
      <c r="V387" t="inlineStr">
        <is>
          <t>TERRESTRE</t>
        </is>
      </c>
      <c r="W387" t="inlineStr">
        <is>
          <t>HERRERA MONAR GEOVANNY</t>
        </is>
      </c>
      <c r="X387" t="inlineStr">
        <is>
          <t>Si</t>
        </is>
      </c>
      <c r="Y387" t="inlineStr">
        <is>
          <t>Si</t>
        </is>
      </c>
      <c r="Z387" s="45" t="n">
        <v>0</v>
      </c>
      <c r="AA387" t="inlineStr">
        <is>
          <t>0</t>
        </is>
      </c>
      <c r="AB387" s="45" t="n">
        <v>194983</v>
      </c>
      <c r="AC387" s="45" t="n">
        <v>0</v>
      </c>
    </row>
    <row r="388">
      <c r="A388" t="inlineStr">
        <is>
          <t>BOGOTA</t>
        </is>
      </c>
      <c r="B388" t="inlineStr">
        <is>
          <t>CUNDINAMARCA</t>
        </is>
      </c>
      <c r="C388" t="inlineStr">
        <is>
          <t>0004-0004</t>
        </is>
      </c>
      <c r="D388" t="inlineStr">
        <is>
          <t>11001</t>
        </is>
      </c>
      <c r="E388" t="inlineStr">
        <is>
          <t>TA-25-982531</t>
        </is>
      </c>
      <c r="F388" t="inlineStr">
        <is>
          <t>3007081053</t>
        </is>
      </c>
      <c r="G388" t="inlineStr">
        <is>
          <t>APERTURA</t>
        </is>
      </c>
      <c r="H388" t="inlineStr">
        <is>
          <t>CB CRECIMIENTO - NUEVO</t>
        </is>
      </c>
      <c r="I388" t="inlineStr">
        <is>
          <t>CUNDINAMARCA</t>
        </is>
      </c>
      <c r="J388" t="inlineStr">
        <is>
          <t>BOGOTA</t>
        </is>
      </c>
      <c r="K388" t="inlineStr">
        <is>
          <t>BARRIO BOLIVIA BOGOTA 3</t>
        </is>
      </c>
      <c r="L388" t="inlineStr">
        <is>
          <t>BANCOLOMBIA</t>
        </is>
      </c>
      <c r="M388" t="inlineStr">
        <is>
          <t>FO-25-1390888</t>
        </is>
      </c>
      <c r="N388" s="46" t="n">
        <v>45888.72430555556</v>
      </c>
      <c r="O388" s="46" t="n">
        <v>45889.68055555555</v>
      </c>
      <c r="P388" t="inlineStr">
        <is>
          <t>UNO A UNO</t>
        </is>
      </c>
      <c r="Q388" t="inlineStr">
        <is>
          <t>UNO A UNO</t>
        </is>
      </c>
      <c r="R388" t="inlineStr">
        <is>
          <t>EJECUTADO</t>
        </is>
      </c>
      <c r="S388" t="inlineStr">
        <is>
          <t>VISITA TECNICA</t>
        </is>
      </c>
      <c r="T388" t="inlineStr">
        <is>
          <t>SGZZZ988</t>
        </is>
      </c>
      <c r="U388" t="inlineStr">
        <is>
          <t>TIPO I</t>
        </is>
      </c>
      <c r="V388" t="inlineStr">
        <is>
          <t>TERRESTRE</t>
        </is>
      </c>
      <c r="W388" t="inlineStr">
        <is>
          <t>MURCIA HERNANDEZ HARVEY IGNACIO</t>
        </is>
      </c>
      <c r="X388" t="inlineStr">
        <is>
          <t>Si</t>
        </is>
      </c>
      <c r="Y388" t="inlineStr">
        <is>
          <t>Si</t>
        </is>
      </c>
      <c r="Z388" s="45" t="n">
        <v>0</v>
      </c>
      <c r="AA388" t="inlineStr">
        <is>
          <t>0</t>
        </is>
      </c>
      <c r="AB388" s="45" t="n">
        <v>194983</v>
      </c>
      <c r="AC388" s="45" t="n">
        <v>0</v>
      </c>
    </row>
    <row r="389">
      <c r="A389" t="inlineStr">
        <is>
          <t>PASTO</t>
        </is>
      </c>
      <c r="B389" t="inlineStr">
        <is>
          <t>SUROCCIDENTE Y EJE CAFETERO</t>
        </is>
      </c>
      <c r="C389" t="inlineStr">
        <is>
          <t>0004-0003</t>
        </is>
      </c>
      <c r="D389" t="inlineStr">
        <is>
          <t>52683</t>
        </is>
      </c>
      <c r="E389" t="inlineStr">
        <is>
          <t>TA-25-982533</t>
        </is>
      </c>
      <c r="F389" t="inlineStr">
        <is>
          <t>3007081098</t>
        </is>
      </c>
      <c r="G389" t="inlineStr">
        <is>
          <t>APERTURA</t>
        </is>
      </c>
      <c r="H389" t="inlineStr">
        <is>
          <t>CB CRECIMIENTO - NUEVO</t>
        </is>
      </c>
      <c r="I389" t="inlineStr">
        <is>
          <t>NARIÑO</t>
        </is>
      </c>
      <c r="J389" t="inlineStr">
        <is>
          <t>SANDONA</t>
        </is>
      </c>
      <c r="K389" t="inlineStr">
        <is>
          <t>BARRIO EL COMERCIO SANDONA</t>
        </is>
      </c>
      <c r="L389" t="inlineStr">
        <is>
          <t>BANCOLOMBIA</t>
        </is>
      </c>
      <c r="M389" t="inlineStr">
        <is>
          <t>FO-25-1390894</t>
        </is>
      </c>
      <c r="N389" s="46" t="n">
        <v>45888.62986111111</v>
      </c>
      <c r="O389" s="46" t="n">
        <v>45889.65138888889</v>
      </c>
      <c r="P389" t="inlineStr">
        <is>
          <t>UNO A UNO</t>
        </is>
      </c>
      <c r="Q389" t="inlineStr">
        <is>
          <t>UNO A UNO</t>
        </is>
      </c>
      <c r="R389" t="inlineStr">
        <is>
          <t>EJECUTADO</t>
        </is>
      </c>
      <c r="S389" t="inlineStr">
        <is>
          <t>VISITA TECNICA</t>
        </is>
      </c>
      <c r="T389" t="inlineStr">
        <is>
          <t>SGZZZ989</t>
        </is>
      </c>
      <c r="U389" t="inlineStr">
        <is>
          <t>TIPO II</t>
        </is>
      </c>
      <c r="V389" t="inlineStr">
        <is>
          <t>TERRESTRE</t>
        </is>
      </c>
      <c r="W389" t="inlineStr">
        <is>
          <t>PAZ MARTINEZ RICHARD HUMBERTO</t>
        </is>
      </c>
      <c r="X389" t="inlineStr">
        <is>
          <t>Si</t>
        </is>
      </c>
      <c r="Y389" t="inlineStr">
        <is>
          <t>Si</t>
        </is>
      </c>
      <c r="Z389" s="45" t="n">
        <v>0</v>
      </c>
      <c r="AA389" t="inlineStr">
        <is>
          <t>0</t>
        </is>
      </c>
      <c r="AB389" s="45" t="n">
        <v>248376</v>
      </c>
      <c r="AC389" s="45" t="n">
        <v>0</v>
      </c>
    </row>
    <row r="390">
      <c r="A390" t="inlineStr">
        <is>
          <t>BOGOTA</t>
        </is>
      </c>
      <c r="B390" t="inlineStr">
        <is>
          <t>CUNDINAMARCA</t>
        </is>
      </c>
      <c r="C390" t="inlineStr">
        <is>
          <t>0004-0004</t>
        </is>
      </c>
      <c r="D390" t="inlineStr">
        <is>
          <t>11001</t>
        </is>
      </c>
      <c r="E390" t="inlineStr">
        <is>
          <t>TA-25-982534</t>
        </is>
      </c>
      <c r="F390" t="inlineStr">
        <is>
          <t>3007081054</t>
        </is>
      </c>
      <c r="G390" t="inlineStr">
        <is>
          <t>APERTURA</t>
        </is>
      </c>
      <c r="H390" t="inlineStr">
        <is>
          <t>CB CRECIMIENTO - NUEVO</t>
        </is>
      </c>
      <c r="I390" t="inlineStr">
        <is>
          <t>CUNDINAMARCA</t>
        </is>
      </c>
      <c r="J390" t="inlineStr">
        <is>
          <t>BOGOTA</t>
        </is>
      </c>
      <c r="K390" t="inlineStr">
        <is>
          <t>BARRIO CANDELARIA LA NUEVA BOGOTA 10</t>
        </is>
      </c>
      <c r="L390" t="inlineStr">
        <is>
          <t>BANCOLOMBIA</t>
        </is>
      </c>
      <c r="M390" t="inlineStr">
        <is>
          <t>FO-25-1390897</t>
        </is>
      </c>
      <c r="N390" s="46" t="n">
        <v>45888.71736111111</v>
      </c>
      <c r="O390" s="46" t="n">
        <v>45890.60486111111</v>
      </c>
      <c r="P390" t="inlineStr">
        <is>
          <t>UNO A UNO</t>
        </is>
      </c>
      <c r="Q390" t="inlineStr">
        <is>
          <t>UNO A UNO</t>
        </is>
      </c>
      <c r="R390" t="inlineStr">
        <is>
          <t>EJECUTADO</t>
        </is>
      </c>
      <c r="S390" t="inlineStr">
        <is>
          <t>VISITA TECNICA</t>
        </is>
      </c>
      <c r="T390" t="inlineStr">
        <is>
          <t>SGZZZ990</t>
        </is>
      </c>
      <c r="U390" t="inlineStr">
        <is>
          <t>TIPO I</t>
        </is>
      </c>
      <c r="V390" t="inlineStr">
        <is>
          <t>TERRESTRE</t>
        </is>
      </c>
      <c r="W390" t="inlineStr">
        <is>
          <t>BUSTOS MORA DIEGO MANUEL</t>
        </is>
      </c>
      <c r="X390" t="inlineStr">
        <is>
          <t>Si</t>
        </is>
      </c>
      <c r="Y390" t="inlineStr">
        <is>
          <t>Si</t>
        </is>
      </c>
      <c r="Z390" s="45" t="n">
        <v>0</v>
      </c>
      <c r="AA390" t="inlineStr">
        <is>
          <t>0</t>
        </is>
      </c>
      <c r="AB390" s="45" t="n">
        <v>194983</v>
      </c>
      <c r="AC390" s="45" t="n">
        <v>0</v>
      </c>
    </row>
    <row r="391">
      <c r="A391" t="inlineStr">
        <is>
          <t>CALI</t>
        </is>
      </c>
      <c r="B391" t="inlineStr">
        <is>
          <t>SUROCCIDENTE Y EJE CAFETERO</t>
        </is>
      </c>
      <c r="C391" t="inlineStr">
        <is>
          <t>0004-0003</t>
        </is>
      </c>
      <c r="D391" t="inlineStr">
        <is>
          <t>76834</t>
        </is>
      </c>
      <c r="E391" t="inlineStr">
        <is>
          <t>TA-25-982535</t>
        </is>
      </c>
      <c r="F391" t="inlineStr">
        <is>
          <t>3007081106</t>
        </is>
      </c>
      <c r="G391" t="inlineStr">
        <is>
          <t>APERTURA</t>
        </is>
      </c>
      <c r="H391" t="inlineStr">
        <is>
          <t>CB CRECIMIENTO - NUEVO</t>
        </is>
      </c>
      <c r="I391" t="inlineStr">
        <is>
          <t>VALLE DEL CAUCA</t>
        </is>
      </c>
      <c r="J391" t="inlineStr">
        <is>
          <t>TULUA</t>
        </is>
      </c>
      <c r="K391" t="inlineStr">
        <is>
          <t>BARRIO EL HORIZONTE TULUA</t>
        </is>
      </c>
      <c r="L391" t="inlineStr">
        <is>
          <t>BANCOLOMBIA</t>
        </is>
      </c>
      <c r="M391" t="inlineStr">
        <is>
          <t>FO-25-1390901</t>
        </is>
      </c>
      <c r="N391" s="46" t="n">
        <v>45888.70138888889</v>
      </c>
      <c r="O391" s="46" t="n">
        <v>45890.68888888889</v>
      </c>
      <c r="P391" t="inlineStr">
        <is>
          <t>UNO A UNO</t>
        </is>
      </c>
      <c r="Q391" t="inlineStr">
        <is>
          <t>UNO A UNO</t>
        </is>
      </c>
      <c r="R391" t="inlineStr">
        <is>
          <t>EJECUTADO</t>
        </is>
      </c>
      <c r="S391" t="inlineStr">
        <is>
          <t>VISITA TECNICA</t>
        </is>
      </c>
      <c r="T391" t="inlineStr">
        <is>
          <t>SGZZZ991</t>
        </is>
      </c>
      <c r="U391" t="inlineStr">
        <is>
          <t>TIPO II</t>
        </is>
      </c>
      <c r="V391" t="inlineStr">
        <is>
          <t>TERRESTRE</t>
        </is>
      </c>
      <c r="W391" t="inlineStr">
        <is>
          <t>MONTERO MUESES GIAN CARLO</t>
        </is>
      </c>
      <c r="X391" t="inlineStr">
        <is>
          <t>Si</t>
        </is>
      </c>
      <c r="Y391" t="inlineStr">
        <is>
          <t>Si</t>
        </is>
      </c>
      <c r="Z391" s="45" t="n">
        <v>0</v>
      </c>
      <c r="AA391" t="inlineStr">
        <is>
          <t>0</t>
        </is>
      </c>
      <c r="AB391" s="45" t="n">
        <v>248376</v>
      </c>
      <c r="AC391" s="45" t="n">
        <v>0</v>
      </c>
    </row>
    <row r="392">
      <c r="A392" t="inlineStr">
        <is>
          <t>MONTERIA</t>
        </is>
      </c>
      <c r="B392" t="inlineStr">
        <is>
          <t>COSTA</t>
        </is>
      </c>
      <c r="C392" t="inlineStr">
        <is>
          <t>0004-0001</t>
        </is>
      </c>
      <c r="D392" t="inlineStr">
        <is>
          <t>23807</t>
        </is>
      </c>
      <c r="E392" t="inlineStr">
        <is>
          <t>TA-25-982536</t>
        </is>
      </c>
      <c r="F392" t="inlineStr">
        <is>
          <t>3007081105</t>
        </is>
      </c>
      <c r="G392" t="inlineStr">
        <is>
          <t>APERTURA</t>
        </is>
      </c>
      <c r="H392" t="inlineStr">
        <is>
          <t>CB CRECIMIENTO - NUEVO</t>
        </is>
      </c>
      <c r="I392" t="inlineStr">
        <is>
          <t>CORDOBA</t>
        </is>
      </c>
      <c r="J392" t="inlineStr">
        <is>
          <t>TIERRALTA</t>
        </is>
      </c>
      <c r="K392" t="inlineStr">
        <is>
          <t>BARRIO 9 DE AGOSTO TIERRALTA</t>
        </is>
      </c>
      <c r="L392" t="inlineStr">
        <is>
          <t>BANCOLOMBIA</t>
        </is>
      </c>
      <c r="M392" t="inlineStr">
        <is>
          <t>FO-25-1390904</t>
        </is>
      </c>
      <c r="N392" s="46" t="n">
        <v>45888.66597222222</v>
      </c>
      <c r="O392" s="46" t="n">
        <v>45890.66319444445</v>
      </c>
      <c r="P392" t="inlineStr">
        <is>
          <t>UNO A UNO</t>
        </is>
      </c>
      <c r="Q392" t="inlineStr">
        <is>
          <t>UNO A UNO</t>
        </is>
      </c>
      <c r="R392" t="inlineStr">
        <is>
          <t>EJECUTADO</t>
        </is>
      </c>
      <c r="S392" t="inlineStr">
        <is>
          <t>VISITA TECNICA</t>
        </is>
      </c>
      <c r="T392" t="inlineStr">
        <is>
          <t>SGZZZ992</t>
        </is>
      </c>
      <c r="U392" t="inlineStr">
        <is>
          <t>TIPO III</t>
        </is>
      </c>
      <c r="V392" t="inlineStr">
        <is>
          <t>TERRESTRE</t>
        </is>
      </c>
      <c r="W392" t="inlineStr">
        <is>
          <t>GONZALEZ FERRER JESUS ALEXANDER</t>
        </is>
      </c>
      <c r="X392" t="inlineStr">
        <is>
          <t>Si</t>
        </is>
      </c>
      <c r="Y392" t="inlineStr">
        <is>
          <t>Si</t>
        </is>
      </c>
      <c r="Z392" s="45" t="n">
        <v>0</v>
      </c>
      <c r="AA392" t="inlineStr">
        <is>
          <t>0</t>
        </is>
      </c>
      <c r="AB392" s="45" t="n">
        <v>248376</v>
      </c>
      <c r="AC392" s="45" t="n">
        <v>0</v>
      </c>
    </row>
    <row r="393">
      <c r="A393" t="inlineStr">
        <is>
          <t>TUNJA</t>
        </is>
      </c>
      <c r="B393" t="inlineStr">
        <is>
          <t>SANTANDERES</t>
        </is>
      </c>
      <c r="C393" t="inlineStr">
        <is>
          <t>0004-0008</t>
        </is>
      </c>
      <c r="D393" t="inlineStr">
        <is>
          <t>15097</t>
        </is>
      </c>
      <c r="E393" t="inlineStr">
        <is>
          <t>TA-25-982538</t>
        </is>
      </c>
      <c r="F393" t="inlineStr">
        <is>
          <t>3007081050</t>
        </is>
      </c>
      <c r="G393" t="inlineStr">
        <is>
          <t>APERTURA</t>
        </is>
      </c>
      <c r="H393" t="inlineStr">
        <is>
          <t>CB CRECIMIENTO - NUEVO</t>
        </is>
      </c>
      <c r="I393" t="inlineStr">
        <is>
          <t>BOYACA</t>
        </is>
      </c>
      <c r="J393" t="inlineStr">
        <is>
          <t>BOAVITA</t>
        </is>
      </c>
      <c r="K393" t="inlineStr">
        <is>
          <t>BARRIO CENTRO BOAVITA 6</t>
        </is>
      </c>
      <c r="L393" t="inlineStr">
        <is>
          <t>BANCOLOMBIA</t>
        </is>
      </c>
      <c r="M393" t="inlineStr">
        <is>
          <t>FO-25-1390908</t>
        </is>
      </c>
      <c r="N393" s="46" t="n">
        <v>45888.62777777778</v>
      </c>
      <c r="O393" s="46" t="n">
        <v>45890.57291666666</v>
      </c>
      <c r="P393" t="inlineStr">
        <is>
          <t>UNO A UNO</t>
        </is>
      </c>
      <c r="Q393" t="inlineStr">
        <is>
          <t>UNO A UNO</t>
        </is>
      </c>
      <c r="R393" t="inlineStr">
        <is>
          <t>EJECUTADO</t>
        </is>
      </c>
      <c r="S393" t="inlineStr">
        <is>
          <t>VISITA TECNICA</t>
        </is>
      </c>
      <c r="T393" t="inlineStr">
        <is>
          <t>SGZZZ993</t>
        </is>
      </c>
      <c r="U393" t="inlineStr">
        <is>
          <t>TIPO IV</t>
        </is>
      </c>
      <c r="V393" t="inlineStr">
        <is>
          <t>TERRESTRE</t>
        </is>
      </c>
      <c r="W393" t="inlineStr">
        <is>
          <t>GONZALEZ GONZALEZ MARIO ALBERTO</t>
        </is>
      </c>
      <c r="X393" t="inlineStr">
        <is>
          <t>Si</t>
        </is>
      </c>
      <c r="Y393" t="inlineStr">
        <is>
          <t>Si</t>
        </is>
      </c>
      <c r="Z393" s="45" t="n">
        <v>0</v>
      </c>
      <c r="AA393" t="inlineStr">
        <is>
          <t>0</t>
        </is>
      </c>
      <c r="AB393" s="45" t="n">
        <v>248376</v>
      </c>
      <c r="AC393" s="45" t="n">
        <v>0</v>
      </c>
    </row>
    <row r="394">
      <c r="A394" t="inlineStr">
        <is>
          <t>BUCARAMANGA</t>
        </is>
      </c>
      <c r="B394" t="inlineStr">
        <is>
          <t>SANTANDERES</t>
        </is>
      </c>
      <c r="C394" t="inlineStr">
        <is>
          <t>0004-0008</t>
        </is>
      </c>
      <c r="D394" t="inlineStr">
        <is>
          <t>68547</t>
        </is>
      </c>
      <c r="E394" t="inlineStr">
        <is>
          <t>TA-25-982539</t>
        </is>
      </c>
      <c r="F394" t="inlineStr">
        <is>
          <t>3007081091</t>
        </is>
      </c>
      <c r="G394" t="inlineStr">
        <is>
          <t>APERTURA</t>
        </is>
      </c>
      <c r="H394" t="inlineStr">
        <is>
          <t>CB CRECIMIENTO - NUEVO</t>
        </is>
      </c>
      <c r="I394" t="inlineStr">
        <is>
          <t>SANTANDER</t>
        </is>
      </c>
      <c r="J394" t="inlineStr">
        <is>
          <t>PIEDECUESTA</t>
        </is>
      </c>
      <c r="K394" t="inlineStr">
        <is>
          <t>BARRIO PIEDECUESTA PIEDECUESTA 3</t>
        </is>
      </c>
      <c r="L394" t="inlineStr">
        <is>
          <t>BANCOLOMBIA</t>
        </is>
      </c>
      <c r="M394" t="inlineStr">
        <is>
          <t>FO-25-1390913</t>
        </is>
      </c>
      <c r="N394" s="46" t="n">
        <v>45888.62777777778</v>
      </c>
      <c r="O394" s="46" t="n">
        <v>45890.60833333333</v>
      </c>
      <c r="P394" t="inlineStr">
        <is>
          <t>UNO A UNO</t>
        </is>
      </c>
      <c r="Q394" t="inlineStr">
        <is>
          <t>UNO A UNO</t>
        </is>
      </c>
      <c r="R394" t="inlineStr">
        <is>
          <t>EJECUTADO</t>
        </is>
      </c>
      <c r="S394" t="inlineStr">
        <is>
          <t>VISITA TECNICA</t>
        </is>
      </c>
      <c r="T394" t="inlineStr">
        <is>
          <t>SGZZZ994</t>
        </is>
      </c>
      <c r="U394" t="inlineStr">
        <is>
          <t>TIPO II</t>
        </is>
      </c>
      <c r="V394" t="inlineStr">
        <is>
          <t>TERRESTRE</t>
        </is>
      </c>
      <c r="W394" t="inlineStr">
        <is>
          <t>GELVEZ MOGOLLON JOSE ELISEO</t>
        </is>
      </c>
      <c r="X394" t="inlineStr">
        <is>
          <t>Si</t>
        </is>
      </c>
      <c r="Y394" t="inlineStr">
        <is>
          <t>Si</t>
        </is>
      </c>
      <c r="Z394" s="45" t="n">
        <v>0</v>
      </c>
      <c r="AA394" t="inlineStr">
        <is>
          <t>0</t>
        </is>
      </c>
      <c r="AB394" s="45" t="n">
        <v>248376</v>
      </c>
      <c r="AC394" s="45" t="n">
        <v>0</v>
      </c>
    </row>
    <row r="395">
      <c r="A395" t="inlineStr">
        <is>
          <t>VILLAVICENCIO</t>
        </is>
      </c>
      <c r="B395" t="inlineStr">
        <is>
          <t>REMOTAS</t>
        </is>
      </c>
      <c r="C395" t="inlineStr">
        <is>
          <t>0004-0007</t>
        </is>
      </c>
      <c r="D395" t="inlineStr">
        <is>
          <t>50568</t>
        </is>
      </c>
      <c r="E395" t="inlineStr">
        <is>
          <t>TA-25-982541</t>
        </is>
      </c>
      <c r="F395" t="inlineStr">
        <is>
          <t>3007081095</t>
        </is>
      </c>
      <c r="G395" t="inlineStr">
        <is>
          <t>APERTURA</t>
        </is>
      </c>
      <c r="H395" t="inlineStr">
        <is>
          <t>CB CRECIMIENTO - NUEVO</t>
        </is>
      </c>
      <c r="I395" t="inlineStr">
        <is>
          <t>META</t>
        </is>
      </c>
      <c r="J395" t="inlineStr">
        <is>
          <t>PUERTO GAITAN</t>
        </is>
      </c>
      <c r="K395" t="inlineStr">
        <is>
          <t>BARRIO PERLAS DEL NANACACIAS PUERTO GAITAN</t>
        </is>
      </c>
      <c r="L395" t="inlineStr">
        <is>
          <t>BANCOLOMBIA</t>
        </is>
      </c>
      <c r="M395" t="inlineStr">
        <is>
          <t>FO-25-1390916</t>
        </is>
      </c>
      <c r="N395" s="46" t="n">
        <v>45888.66875</v>
      </c>
      <c r="O395" s="46" t="n">
        <v>45891.30694444444</v>
      </c>
      <c r="P395" t="inlineStr">
        <is>
          <t>UNO A UNO</t>
        </is>
      </c>
      <c r="Q395" t="inlineStr">
        <is>
          <t>UNO A UNO</t>
        </is>
      </c>
      <c r="R395" t="inlineStr">
        <is>
          <t>EJECUTADO</t>
        </is>
      </c>
      <c r="S395" t="inlineStr">
        <is>
          <t>VISITA TECNICA</t>
        </is>
      </c>
      <c r="T395" t="inlineStr">
        <is>
          <t>SGZZZ995</t>
        </is>
      </c>
      <c r="U395" t="inlineStr">
        <is>
          <t>TIPO III</t>
        </is>
      </c>
      <c r="V395" t="inlineStr">
        <is>
          <t>TERRESTRE</t>
        </is>
      </c>
      <c r="W395" t="inlineStr">
        <is>
          <t>ROZO JIMENEZ EDGAR ARMANDO</t>
        </is>
      </c>
      <c r="X395" t="inlineStr">
        <is>
          <t>Si</t>
        </is>
      </c>
      <c r="Y395" t="inlineStr">
        <is>
          <t>Si</t>
        </is>
      </c>
      <c r="Z395" s="45" t="n">
        <v>0</v>
      </c>
      <c r="AA395" t="inlineStr">
        <is>
          <t>0</t>
        </is>
      </c>
      <c r="AB395" s="45" t="n">
        <v>248376</v>
      </c>
      <c r="AC395" s="45" t="n">
        <v>0</v>
      </c>
    </row>
    <row r="396">
      <c r="A396" t="inlineStr">
        <is>
          <t>VALLEDUPAR</t>
        </is>
      </c>
      <c r="B396" t="inlineStr">
        <is>
          <t>COSTA</t>
        </is>
      </c>
      <c r="C396" t="inlineStr">
        <is>
          <t>0004-0001</t>
        </is>
      </c>
      <c r="D396" t="inlineStr">
        <is>
          <t>20570</t>
        </is>
      </c>
      <c r="E396" t="inlineStr">
        <is>
          <t>TA-25-982542</t>
        </is>
      </c>
      <c r="F396" t="inlineStr">
        <is>
          <t>3007081094</t>
        </is>
      </c>
      <c r="G396" t="inlineStr">
        <is>
          <t>APERTURA</t>
        </is>
      </c>
      <c r="H396" t="inlineStr">
        <is>
          <t>CB CRECIMIENTO - NUEVO</t>
        </is>
      </c>
      <c r="I396" t="inlineStr">
        <is>
          <t>CESAR</t>
        </is>
      </c>
      <c r="J396" t="inlineStr">
        <is>
          <t>PUEBLO BELLO</t>
        </is>
      </c>
      <c r="K396" t="inlineStr">
        <is>
          <t>BARRIO LA CEIBA PUEBLO BELLO</t>
        </is>
      </c>
      <c r="L396" t="inlineStr">
        <is>
          <t>BANCOLOMBIA</t>
        </is>
      </c>
      <c r="M396" t="inlineStr">
        <is>
          <t>FO-25-1390919</t>
        </is>
      </c>
      <c r="N396" s="46" t="n">
        <v>45888.71527777778</v>
      </c>
      <c r="O396" s="46" t="n">
        <v>45889.59652777778</v>
      </c>
      <c r="P396" t="inlineStr">
        <is>
          <t>UNO A UNO</t>
        </is>
      </c>
      <c r="Q396" t="inlineStr">
        <is>
          <t>UNO A UNO</t>
        </is>
      </c>
      <c r="R396" t="inlineStr">
        <is>
          <t>EJECUTADO</t>
        </is>
      </c>
      <c r="S396" t="inlineStr">
        <is>
          <t>VISITA TECNICA</t>
        </is>
      </c>
      <c r="T396" t="inlineStr">
        <is>
          <t>SGZZZ996</t>
        </is>
      </c>
      <c r="U396" t="inlineStr">
        <is>
          <t>TIPO III</t>
        </is>
      </c>
      <c r="V396" t="inlineStr">
        <is>
          <t>TERRESTRE</t>
        </is>
      </c>
      <c r="W396" t="inlineStr">
        <is>
          <t>MAESTRE MENGUAL EDGAR ENRIQUE</t>
        </is>
      </c>
      <c r="X396" t="inlineStr">
        <is>
          <t>Si</t>
        </is>
      </c>
      <c r="Y396" t="inlineStr">
        <is>
          <t>Si</t>
        </is>
      </c>
      <c r="Z396" s="45" t="n">
        <v>0</v>
      </c>
      <c r="AA396" t="inlineStr">
        <is>
          <t>0</t>
        </is>
      </c>
      <c r="AB396" s="45" t="n">
        <v>248376</v>
      </c>
      <c r="AC396" s="45" t="n">
        <v>0</v>
      </c>
    </row>
    <row r="397">
      <c r="A397" t="inlineStr">
        <is>
          <t>CALI</t>
        </is>
      </c>
      <c r="B397" t="inlineStr">
        <is>
          <t>SUROCCIDENTE Y EJE CAFETERO</t>
        </is>
      </c>
      <c r="C397" t="inlineStr">
        <is>
          <t>0004-0003</t>
        </is>
      </c>
      <c r="D397" t="inlineStr">
        <is>
          <t>76001</t>
        </is>
      </c>
      <c r="E397" t="inlineStr">
        <is>
          <t>TA-25-982543</t>
        </is>
      </c>
      <c r="F397" t="inlineStr">
        <is>
          <t>3007081064</t>
        </is>
      </c>
      <c r="G397" t="inlineStr">
        <is>
          <t>APERTURA</t>
        </is>
      </c>
      <c r="H397" t="inlineStr">
        <is>
          <t>CB CRECIMIENTO - NUEVO</t>
        </is>
      </c>
      <c r="I397" t="inlineStr">
        <is>
          <t>VALLE DEL CAUCA</t>
        </is>
      </c>
      <c r="J397" t="inlineStr">
        <is>
          <t>CALI</t>
        </is>
      </c>
      <c r="K397" t="inlineStr">
        <is>
          <t>BARRIO VILLA SAN MARCOS  CALI</t>
        </is>
      </c>
      <c r="L397" t="inlineStr">
        <is>
          <t>BANCOLOMBIA</t>
        </is>
      </c>
      <c r="M397" t="inlineStr">
        <is>
          <t>FO-25-1390924</t>
        </is>
      </c>
      <c r="N397" s="46" t="n">
        <v>45888.72708333333</v>
      </c>
      <c r="O397" s="46" t="n">
        <v>45889.62847222222</v>
      </c>
      <c r="P397" t="inlineStr">
        <is>
          <t>UNO A UNO</t>
        </is>
      </c>
      <c r="Q397" t="inlineStr">
        <is>
          <t>UNO A UNO</t>
        </is>
      </c>
      <c r="R397" t="inlineStr">
        <is>
          <t>EJECUTADO</t>
        </is>
      </c>
      <c r="S397" t="inlineStr">
        <is>
          <t>VISITA TECNICA</t>
        </is>
      </c>
      <c r="T397" t="inlineStr">
        <is>
          <t>SGZZZ997</t>
        </is>
      </c>
      <c r="U397" t="inlineStr">
        <is>
          <t>TIPO I</t>
        </is>
      </c>
      <c r="V397" t="inlineStr">
        <is>
          <t>TERRESTRE</t>
        </is>
      </c>
      <c r="W397" t="inlineStr">
        <is>
          <t>PAREDES CASTILLO DIEGO</t>
        </is>
      </c>
      <c r="X397" t="inlineStr">
        <is>
          <t>Si</t>
        </is>
      </c>
      <c r="Y397" t="inlineStr">
        <is>
          <t>Si</t>
        </is>
      </c>
      <c r="Z397" s="45" t="n">
        <v>0</v>
      </c>
      <c r="AA397" t="inlineStr">
        <is>
          <t>0</t>
        </is>
      </c>
      <c r="AB397" s="45" t="n">
        <v>194983</v>
      </c>
      <c r="AC397" s="45" t="n">
        <v>0</v>
      </c>
    </row>
    <row r="398">
      <c r="A398" t="inlineStr">
        <is>
          <t>MANIZALES</t>
        </is>
      </c>
      <c r="B398" t="inlineStr">
        <is>
          <t>SUROCCIDENTE Y EJE CAFETERO</t>
        </is>
      </c>
      <c r="C398" t="inlineStr">
        <is>
          <t>0004-0002</t>
        </is>
      </c>
      <c r="D398" t="inlineStr">
        <is>
          <t>17524</t>
        </is>
      </c>
      <c r="E398" t="inlineStr">
        <is>
          <t>TA-25-982544</t>
        </is>
      </c>
      <c r="F398" t="inlineStr">
        <is>
          <t>3007081103</t>
        </is>
      </c>
      <c r="G398" t="inlineStr">
        <is>
          <t>APERTURA</t>
        </is>
      </c>
      <c r="H398" t="inlineStr">
        <is>
          <t>CB CRECIMIENTO - NUEVO</t>
        </is>
      </c>
      <c r="I398" t="inlineStr">
        <is>
          <t>CALDAS</t>
        </is>
      </c>
      <c r="J398" t="inlineStr">
        <is>
          <t>PALESTINA</t>
        </is>
      </c>
      <c r="K398" t="inlineStr">
        <is>
          <t>BARRIO ARAUCA PALESTINA 2</t>
        </is>
      </c>
      <c r="L398" t="inlineStr">
        <is>
          <t>BANCOLOMBIA</t>
        </is>
      </c>
      <c r="M398" t="inlineStr">
        <is>
          <t>FO-25-1390928</t>
        </is>
      </c>
      <c r="N398" s="46" t="n">
        <v>45888.65</v>
      </c>
      <c r="O398" s="46" t="n">
        <v>45890.57013888889</v>
      </c>
      <c r="P398" t="inlineStr">
        <is>
          <t>UNO A UNO</t>
        </is>
      </c>
      <c r="Q398" t="inlineStr">
        <is>
          <t>UNO A UNO</t>
        </is>
      </c>
      <c r="R398" t="inlineStr">
        <is>
          <t>EJECUTADO</t>
        </is>
      </c>
      <c r="S398" t="inlineStr">
        <is>
          <t>VISITA TECNICA</t>
        </is>
      </c>
      <c r="T398" t="inlineStr">
        <is>
          <t>SGZZZ998</t>
        </is>
      </c>
      <c r="U398" t="inlineStr">
        <is>
          <t>TIPO II</t>
        </is>
      </c>
      <c r="V398" t="inlineStr">
        <is>
          <t>TERRESTRE</t>
        </is>
      </c>
      <c r="W398" t="inlineStr">
        <is>
          <t>AGUIRRE HENAO RAUL EDUARDO</t>
        </is>
      </c>
      <c r="X398" t="inlineStr">
        <is>
          <t>Si</t>
        </is>
      </c>
      <c r="Y398" t="inlineStr">
        <is>
          <t>Si</t>
        </is>
      </c>
      <c r="Z398" s="45" t="n">
        <v>0</v>
      </c>
      <c r="AA398" t="inlineStr">
        <is>
          <t>0</t>
        </is>
      </c>
      <c r="AB398" s="45" t="n">
        <v>248376</v>
      </c>
      <c r="AC398" s="45" t="n">
        <v>0</v>
      </c>
    </row>
    <row r="399">
      <c r="A399" t="inlineStr">
        <is>
          <t>CALI</t>
        </is>
      </c>
      <c r="B399" t="inlineStr">
        <is>
          <t>SUROCCIDENTE Y EJE CAFETERO</t>
        </is>
      </c>
      <c r="C399" t="inlineStr">
        <is>
          <t>0004-0003</t>
        </is>
      </c>
      <c r="D399" t="inlineStr">
        <is>
          <t>76113</t>
        </is>
      </c>
      <c r="E399" t="inlineStr">
        <is>
          <t>TA-25-982545</t>
        </is>
      </c>
      <c r="F399" t="inlineStr">
        <is>
          <t>3007081057</t>
        </is>
      </c>
      <c r="G399" t="inlineStr">
        <is>
          <t>APERTURA</t>
        </is>
      </c>
      <c r="H399" t="inlineStr">
        <is>
          <t>CB CRECIMIENTO - NUEVO</t>
        </is>
      </c>
      <c r="I399" t="inlineStr">
        <is>
          <t>VALLE DEL CAUCA</t>
        </is>
      </c>
      <c r="J399" t="inlineStr">
        <is>
          <t>BUGALAGRANDE</t>
        </is>
      </c>
      <c r="K399" t="inlineStr">
        <is>
          <t>BARRIO LOS MARMOLES BUGALAGRANDE</t>
        </is>
      </c>
      <c r="L399" t="inlineStr">
        <is>
          <t>BANCOLOMBIA</t>
        </is>
      </c>
      <c r="M399" t="inlineStr">
        <is>
          <t>FO-25-1390932</t>
        </is>
      </c>
      <c r="N399" s="46" t="n">
        <v>45888.69444444445</v>
      </c>
      <c r="O399" s="46" t="n">
        <v>45890.67083333333</v>
      </c>
      <c r="P399" t="inlineStr">
        <is>
          <t>UNO A UNO</t>
        </is>
      </c>
      <c r="Q399" t="inlineStr">
        <is>
          <t>UNO A UNO</t>
        </is>
      </c>
      <c r="R399" t="inlineStr">
        <is>
          <t>EJECUTADO</t>
        </is>
      </c>
      <c r="S399" t="inlineStr">
        <is>
          <t>VISITA TECNICA</t>
        </is>
      </c>
      <c r="T399" t="inlineStr">
        <is>
          <t>SGZZZ999</t>
        </is>
      </c>
      <c r="U399" t="inlineStr">
        <is>
          <t>TIPO II</t>
        </is>
      </c>
      <c r="V399" t="inlineStr">
        <is>
          <t>TERRESTRE</t>
        </is>
      </c>
      <c r="W399" t="inlineStr">
        <is>
          <t>PAREDES CASTILLO DIEGO</t>
        </is>
      </c>
      <c r="X399" t="inlineStr">
        <is>
          <t>Si</t>
        </is>
      </c>
      <c r="Y399" t="inlineStr">
        <is>
          <t>Si</t>
        </is>
      </c>
      <c r="Z399" s="45" t="n">
        <v>0</v>
      </c>
      <c r="AA399" t="inlineStr">
        <is>
          <t>0</t>
        </is>
      </c>
      <c r="AB399" s="45" t="n">
        <v>248376</v>
      </c>
      <c r="AC399" s="45" t="n">
        <v>0</v>
      </c>
    </row>
    <row r="400">
      <c r="A400" t="inlineStr">
        <is>
          <t>BOGOTA</t>
        </is>
      </c>
      <c r="B400" t="inlineStr">
        <is>
          <t>CUNDINAMARCA</t>
        </is>
      </c>
      <c r="C400" t="inlineStr">
        <is>
          <t>0004-0004</t>
        </is>
      </c>
      <c r="D400" t="inlineStr">
        <is>
          <t>11001</t>
        </is>
      </c>
      <c r="E400" t="inlineStr">
        <is>
          <t>TA-25-982550</t>
        </is>
      </c>
      <c r="F400" t="inlineStr">
        <is>
          <t>3007081055</t>
        </is>
      </c>
      <c r="G400" t="inlineStr">
        <is>
          <t>APERTURA</t>
        </is>
      </c>
      <c r="H400" t="inlineStr">
        <is>
          <t>CB CRECIMIENTO - NUEVO</t>
        </is>
      </c>
      <c r="I400" t="inlineStr">
        <is>
          <t>CUNDINAMARCA</t>
        </is>
      </c>
      <c r="J400" t="inlineStr">
        <is>
          <t>BOGOTA</t>
        </is>
      </c>
      <c r="K400" t="inlineStr">
        <is>
          <t>BARRIO KENNEDY SAN CARLOS BOGOTA</t>
        </is>
      </c>
      <c r="L400" t="inlineStr">
        <is>
          <t>BANCOLOMBIA</t>
        </is>
      </c>
      <c r="M400" t="inlineStr">
        <is>
          <t>FO-25-1390950</t>
        </is>
      </c>
      <c r="N400" s="46" t="n">
        <v>45888.72430555556</v>
      </c>
      <c r="O400" s="46" t="n">
        <v>45890.27638888889</v>
      </c>
      <c r="P400" t="inlineStr">
        <is>
          <t>UNO A UNO</t>
        </is>
      </c>
      <c r="Q400" t="inlineStr">
        <is>
          <t>UNO A UNO</t>
        </is>
      </c>
      <c r="R400" t="inlineStr">
        <is>
          <t>EJECUTADO</t>
        </is>
      </c>
      <c r="S400" t="inlineStr">
        <is>
          <t>VISITA TECNICA</t>
        </is>
      </c>
      <c r="T400" t="inlineStr">
        <is>
          <t>SHZZZ003</t>
        </is>
      </c>
      <c r="U400" t="inlineStr">
        <is>
          <t>TIPO I</t>
        </is>
      </c>
      <c r="V400" t="inlineStr">
        <is>
          <t>TERRESTRE</t>
        </is>
      </c>
      <c r="W400" t="inlineStr">
        <is>
          <t>SOTO LONDOÑO FREDY ALEXANDER</t>
        </is>
      </c>
      <c r="X400" t="inlineStr">
        <is>
          <t>Si</t>
        </is>
      </c>
      <c r="Y400" t="inlineStr">
        <is>
          <t>Si</t>
        </is>
      </c>
      <c r="Z400" s="45" t="n">
        <v>0</v>
      </c>
      <c r="AA400" t="inlineStr">
        <is>
          <t>0</t>
        </is>
      </c>
      <c r="AB400" s="45" t="n">
        <v>194983</v>
      </c>
      <c r="AC400" s="45" t="n">
        <v>0</v>
      </c>
    </row>
    <row r="401">
      <c r="A401" t="inlineStr">
        <is>
          <t>MEDELLIN</t>
        </is>
      </c>
      <c r="B401" t="inlineStr">
        <is>
          <t>NOROCCIDENTE</t>
        </is>
      </c>
      <c r="C401" t="inlineStr">
        <is>
          <t>0004-0005</t>
        </is>
      </c>
      <c r="D401" t="inlineStr">
        <is>
          <t>5789</t>
        </is>
      </c>
      <c r="E401" t="inlineStr">
        <is>
          <t>TA-25-982551</t>
        </is>
      </c>
      <c r="F401" t="inlineStr">
        <is>
          <t>3007081097</t>
        </is>
      </c>
      <c r="G401" t="inlineStr">
        <is>
          <t>APERTURA</t>
        </is>
      </c>
      <c r="H401" t="inlineStr">
        <is>
          <t>CB CRECIMIENTO - NUEVO</t>
        </is>
      </c>
      <c r="I401" t="inlineStr">
        <is>
          <t>ANTIOQUIA</t>
        </is>
      </c>
      <c r="J401" t="inlineStr">
        <is>
          <t>TAMESIS</t>
        </is>
      </c>
      <c r="K401" t="inlineStr">
        <is>
          <t>BARRIO TAMESIS TAMESIS 4</t>
        </is>
      </c>
      <c r="L401" t="inlineStr">
        <is>
          <t>BANCOLOMBIA</t>
        </is>
      </c>
      <c r="M401" t="inlineStr">
        <is>
          <t>FO-25-1390956</t>
        </is>
      </c>
      <c r="N401" s="46" t="n">
        <v>45888.67291666667</v>
      </c>
      <c r="O401" s="46" t="n">
        <v>45891.28819444445</v>
      </c>
      <c r="P401" t="inlineStr">
        <is>
          <t>UNO A UNO</t>
        </is>
      </c>
      <c r="Q401" t="inlineStr">
        <is>
          <t>UNO A UNO</t>
        </is>
      </c>
      <c r="R401" t="inlineStr">
        <is>
          <t>EJECUTADO</t>
        </is>
      </c>
      <c r="S401" t="inlineStr">
        <is>
          <t>VISITA TECNICA</t>
        </is>
      </c>
      <c r="T401" t="inlineStr">
        <is>
          <t>SHZZZ004</t>
        </is>
      </c>
      <c r="U401" t="inlineStr">
        <is>
          <t>TIPO III</t>
        </is>
      </c>
      <c r="V401" t="inlineStr">
        <is>
          <t>TERRESTRE</t>
        </is>
      </c>
      <c r="W401" t="inlineStr">
        <is>
          <t>QUINTERO SANCHEZ JUAN SEBASTIAN</t>
        </is>
      </c>
      <c r="X401" t="inlineStr">
        <is>
          <t>Si</t>
        </is>
      </c>
      <c r="Y401" t="inlineStr">
        <is>
          <t>Si</t>
        </is>
      </c>
      <c r="Z401" s="45" t="n">
        <v>0</v>
      </c>
      <c r="AA401" t="inlineStr">
        <is>
          <t>0</t>
        </is>
      </c>
      <c r="AB401" s="45" t="n">
        <v>248376</v>
      </c>
      <c r="AC401" s="45" t="n">
        <v>0</v>
      </c>
    </row>
    <row r="402">
      <c r="A402" t="inlineStr">
        <is>
          <t>PEREIRA</t>
        </is>
      </c>
      <c r="B402" t="inlineStr">
        <is>
          <t>SUROCCIDENTE Y EJE CAFETERO</t>
        </is>
      </c>
      <c r="C402" t="inlineStr">
        <is>
          <t>0004-0002</t>
        </is>
      </c>
      <c r="D402" t="inlineStr">
        <is>
          <t>63001</t>
        </is>
      </c>
      <c r="E402" t="inlineStr">
        <is>
          <t>TA-25-982552</t>
        </is>
      </c>
      <c r="F402" t="inlineStr">
        <is>
          <t>3007081051</t>
        </is>
      </c>
      <c r="G402" t="inlineStr">
        <is>
          <t>APERTURA</t>
        </is>
      </c>
      <c r="H402" t="inlineStr">
        <is>
          <t>CB CRECIMIENTO - NUEVO</t>
        </is>
      </c>
      <c r="I402" t="inlineStr">
        <is>
          <t>QUINDIO</t>
        </is>
      </c>
      <c r="J402" t="inlineStr">
        <is>
          <t>ARMENIA</t>
        </is>
      </c>
      <c r="K402" t="inlineStr">
        <is>
          <t>BARRIO GIBRALTAR ARMENIA</t>
        </is>
      </c>
      <c r="L402" t="inlineStr">
        <is>
          <t>BANCOLOMBIA</t>
        </is>
      </c>
      <c r="M402" t="inlineStr">
        <is>
          <t>FO-25-1390963</t>
        </is>
      </c>
      <c r="N402" s="46" t="n">
        <v>45888.60694444444</v>
      </c>
      <c r="O402" s="46" t="n">
        <v>45889.57430555556</v>
      </c>
      <c r="P402" t="inlineStr">
        <is>
          <t>UNO A UNO</t>
        </is>
      </c>
      <c r="Q402" t="inlineStr">
        <is>
          <t>UNO A UNO</t>
        </is>
      </c>
      <c r="R402" t="inlineStr">
        <is>
          <t>EJECUTADO</t>
        </is>
      </c>
      <c r="S402" t="inlineStr">
        <is>
          <t>VISITA TECNICA</t>
        </is>
      </c>
      <c r="T402" t="inlineStr">
        <is>
          <t>SHZZZ005</t>
        </is>
      </c>
      <c r="U402" t="inlineStr">
        <is>
          <t>TIPO II</t>
        </is>
      </c>
      <c r="V402" t="inlineStr">
        <is>
          <t>TERRESTRE</t>
        </is>
      </c>
      <c r="W402" t="inlineStr">
        <is>
          <t>SANCHEZ SOLORZANO JUAN SEBASTIAN</t>
        </is>
      </c>
      <c r="X402" t="inlineStr">
        <is>
          <t>Si</t>
        </is>
      </c>
      <c r="Y402" t="inlineStr">
        <is>
          <t>Si</t>
        </is>
      </c>
      <c r="Z402" s="45" t="n">
        <v>0</v>
      </c>
      <c r="AA402" t="inlineStr">
        <is>
          <t>0</t>
        </is>
      </c>
      <c r="AB402" s="45" t="n">
        <v>248376</v>
      </c>
      <c r="AC402" s="45" t="n">
        <v>0</v>
      </c>
    </row>
    <row r="403">
      <c r="A403" t="inlineStr">
        <is>
          <t>MEDELLIN</t>
        </is>
      </c>
      <c r="B403" t="inlineStr">
        <is>
          <t>NOROCCIDENTE</t>
        </is>
      </c>
      <c r="C403" t="inlineStr">
        <is>
          <t>0004-0005</t>
        </is>
      </c>
      <c r="D403" t="inlineStr">
        <is>
          <t>5088</t>
        </is>
      </c>
      <c r="E403" t="inlineStr">
        <is>
          <t>TA-25-982553</t>
        </is>
      </c>
      <c r="F403" t="inlineStr">
        <is>
          <t>3007081107</t>
        </is>
      </c>
      <c r="G403" t="inlineStr">
        <is>
          <t>APERTURA</t>
        </is>
      </c>
      <c r="H403" t="inlineStr">
        <is>
          <t>CB CRECIMIENTO - NUEVO</t>
        </is>
      </c>
      <c r="I403" t="inlineStr">
        <is>
          <t>ANTIOQUIA</t>
        </is>
      </c>
      <c r="J403" t="inlineStr">
        <is>
          <t>BELLO</t>
        </is>
      </c>
      <c r="K403" t="inlineStr">
        <is>
          <t>BARRIO EL PINAR BELLO 3</t>
        </is>
      </c>
      <c r="L403" t="inlineStr">
        <is>
          <t>BANCOLOMBIA</t>
        </is>
      </c>
      <c r="M403" t="inlineStr">
        <is>
          <t>FO-25-1390968</t>
        </is>
      </c>
      <c r="N403" s="46" t="n">
        <v>45888.67291666667</v>
      </c>
      <c r="O403" s="46" t="n">
        <v>45890.27361111111</v>
      </c>
      <c r="P403" t="inlineStr">
        <is>
          <t>UNO A UNO</t>
        </is>
      </c>
      <c r="Q403" t="inlineStr">
        <is>
          <t>UNO A UNO</t>
        </is>
      </c>
      <c r="R403" t="inlineStr">
        <is>
          <t>EJECUTADO</t>
        </is>
      </c>
      <c r="S403" t="inlineStr">
        <is>
          <t>VISITA TECNICA</t>
        </is>
      </c>
      <c r="T403" t="inlineStr">
        <is>
          <t>SHZZZ006</t>
        </is>
      </c>
      <c r="U403" t="inlineStr">
        <is>
          <t>TIPO I</t>
        </is>
      </c>
      <c r="V403" t="inlineStr">
        <is>
          <t>TERRESTRE</t>
        </is>
      </c>
      <c r="W403" t="inlineStr">
        <is>
          <t>MARTINEZ TOVAR OSCAR DAVID</t>
        </is>
      </c>
      <c r="X403" t="inlineStr">
        <is>
          <t>Si</t>
        </is>
      </c>
      <c r="Y403" t="inlineStr">
        <is>
          <t>Si</t>
        </is>
      </c>
      <c r="Z403" s="45" t="n">
        <v>0</v>
      </c>
      <c r="AA403" t="inlineStr">
        <is>
          <t>0</t>
        </is>
      </c>
      <c r="AB403" s="45" t="n">
        <v>194983</v>
      </c>
      <c r="AC403" s="45" t="n">
        <v>0</v>
      </c>
    </row>
    <row r="404">
      <c r="A404" t="inlineStr">
        <is>
          <t>MONTERIA</t>
        </is>
      </c>
      <c r="B404" t="inlineStr">
        <is>
          <t>COSTA</t>
        </is>
      </c>
      <c r="C404" t="inlineStr">
        <is>
          <t>0004-0001</t>
        </is>
      </c>
      <c r="D404" t="inlineStr">
        <is>
          <t>5250</t>
        </is>
      </c>
      <c r="E404" t="inlineStr">
        <is>
          <t>TA-25-982554</t>
        </is>
      </c>
      <c r="F404" t="inlineStr">
        <is>
          <t>3007081072</t>
        </is>
      </c>
      <c r="G404" t="inlineStr">
        <is>
          <t>APERTURA</t>
        </is>
      </c>
      <c r="H404" t="inlineStr">
        <is>
          <t>CB CRECIMIENTO - NUEVO</t>
        </is>
      </c>
      <c r="I404" t="inlineStr">
        <is>
          <t>ANTIOQUIA</t>
        </is>
      </c>
      <c r="J404" t="inlineStr">
        <is>
          <t>EL BAGRE</t>
        </is>
      </c>
      <c r="K404" t="inlineStr">
        <is>
          <t>BARRIO BIJAO EL BAGRE 5</t>
        </is>
      </c>
      <c r="L404" t="inlineStr">
        <is>
          <t>BANCOLOMBIA</t>
        </is>
      </c>
      <c r="M404" t="inlineStr">
        <is>
          <t>FO-25-1390972</t>
        </is>
      </c>
      <c r="N404" s="46" t="n">
        <v>45888.66666666666</v>
      </c>
      <c r="O404" s="46" t="n">
        <v>45890.57569444444</v>
      </c>
      <c r="P404" t="inlineStr">
        <is>
          <t>UNO A UNO</t>
        </is>
      </c>
      <c r="Q404" t="inlineStr">
        <is>
          <t>UNO A UNO</t>
        </is>
      </c>
      <c r="R404" t="inlineStr">
        <is>
          <t>EJECUTADO</t>
        </is>
      </c>
      <c r="S404" t="inlineStr">
        <is>
          <t>VISITA TECNICA</t>
        </is>
      </c>
      <c r="T404" t="inlineStr">
        <is>
          <t>SHZZZ007</t>
        </is>
      </c>
      <c r="U404" t="inlineStr">
        <is>
          <t>TIPO IV</t>
        </is>
      </c>
      <c r="V404" t="inlineStr">
        <is>
          <t>TERRESTRE</t>
        </is>
      </c>
      <c r="W404" t="inlineStr">
        <is>
          <t>COGOLLO VERTEL EDER LUIS</t>
        </is>
      </c>
      <c r="X404" t="inlineStr">
        <is>
          <t>Si</t>
        </is>
      </c>
      <c r="Y404" t="inlineStr">
        <is>
          <t>Si</t>
        </is>
      </c>
      <c r="Z404" s="45" t="n">
        <v>0</v>
      </c>
      <c r="AA404" t="inlineStr">
        <is>
          <t>0</t>
        </is>
      </c>
      <c r="AB404" s="45" t="n">
        <v>248376</v>
      </c>
      <c r="AC404" s="45" t="n">
        <v>0</v>
      </c>
    </row>
    <row r="405">
      <c r="A405" t="inlineStr">
        <is>
          <t>VILLAVICENCIO</t>
        </is>
      </c>
      <c r="B405" t="inlineStr">
        <is>
          <t>REMOTAS</t>
        </is>
      </c>
      <c r="C405" t="inlineStr">
        <is>
          <t>0004-0007</t>
        </is>
      </c>
      <c r="D405" t="inlineStr">
        <is>
          <t>50006</t>
        </is>
      </c>
      <c r="E405" t="inlineStr">
        <is>
          <t>TA-25-982556</t>
        </is>
      </c>
      <c r="F405" t="inlineStr">
        <is>
          <t>3007081049</t>
        </is>
      </c>
      <c r="G405" t="inlineStr">
        <is>
          <t>APERTURA</t>
        </is>
      </c>
      <c r="H405" t="inlineStr">
        <is>
          <t>CB CRECIMIENTO - NUEVO</t>
        </is>
      </c>
      <c r="I405" t="inlineStr">
        <is>
          <t>META</t>
        </is>
      </c>
      <c r="J405" t="inlineStr">
        <is>
          <t>ACACIAS</t>
        </is>
      </c>
      <c r="K405" t="inlineStr">
        <is>
          <t>BARRIO MANCERA ACACIAS 6</t>
        </is>
      </c>
      <c r="L405" t="inlineStr">
        <is>
          <t>BANCOLOMBIA</t>
        </is>
      </c>
      <c r="M405" t="inlineStr">
        <is>
          <t>FO-25-1390978</t>
        </is>
      </c>
      <c r="N405" s="46" t="n">
        <v>45888.66944444444</v>
      </c>
      <c r="O405" s="46" t="n">
        <v>45890.57708333333</v>
      </c>
      <c r="P405" t="inlineStr">
        <is>
          <t>UNO A UNO</t>
        </is>
      </c>
      <c r="Q405" t="inlineStr">
        <is>
          <t>UNO A UNO</t>
        </is>
      </c>
      <c r="R405" t="inlineStr">
        <is>
          <t>EJECUTADO</t>
        </is>
      </c>
      <c r="S405" t="inlineStr">
        <is>
          <t>VISITA TECNICA</t>
        </is>
      </c>
      <c r="T405" t="inlineStr">
        <is>
          <t>SHZZZ008</t>
        </is>
      </c>
      <c r="U405" t="inlineStr">
        <is>
          <t>TIPO II</t>
        </is>
      </c>
      <c r="V405" t="inlineStr">
        <is>
          <t>TERRESTRE</t>
        </is>
      </c>
      <c r="W405" t="inlineStr">
        <is>
          <t>PEDREROS CONTRERAS MICHAEL STEVENS</t>
        </is>
      </c>
      <c r="X405" t="inlineStr">
        <is>
          <t>Si</t>
        </is>
      </c>
      <c r="Y405" t="inlineStr">
        <is>
          <t>Si</t>
        </is>
      </c>
      <c r="Z405" s="45" t="n">
        <v>0</v>
      </c>
      <c r="AA405" t="inlineStr">
        <is>
          <t>0</t>
        </is>
      </c>
      <c r="AB405" s="45" t="n">
        <v>248376</v>
      </c>
      <c r="AC405" s="45" t="n">
        <v>0</v>
      </c>
    </row>
    <row r="406">
      <c r="A406" t="inlineStr">
        <is>
          <t>CUCUTA</t>
        </is>
      </c>
      <c r="B406" t="inlineStr">
        <is>
          <t>SANTANDERES</t>
        </is>
      </c>
      <c r="C406" t="inlineStr">
        <is>
          <t>0004-0008</t>
        </is>
      </c>
      <c r="D406" t="inlineStr">
        <is>
          <t>54001</t>
        </is>
      </c>
      <c r="E406" t="inlineStr">
        <is>
          <t>TA-25-982557</t>
        </is>
      </c>
      <c r="F406" t="inlineStr">
        <is>
          <t>3007081069</t>
        </is>
      </c>
      <c r="G406" t="inlineStr">
        <is>
          <t>APERTURA</t>
        </is>
      </c>
      <c r="H406" t="inlineStr">
        <is>
          <t>CB CRECIMIENTO - NUEVO</t>
        </is>
      </c>
      <c r="I406" t="inlineStr">
        <is>
          <t>NORTE DE SANTANDER</t>
        </is>
      </c>
      <c r="J406" t="inlineStr">
        <is>
          <t>CUCUTA</t>
        </is>
      </c>
      <c r="K406" t="inlineStr">
        <is>
          <t>BARRIO SAN LUIS CUCUTA  32</t>
        </is>
      </c>
      <c r="L406" t="inlineStr">
        <is>
          <t>BANCOLOMBIA</t>
        </is>
      </c>
      <c r="M406" t="inlineStr">
        <is>
          <t>FO-25-1390985</t>
        </is>
      </c>
      <c r="N406" s="46" t="n">
        <v>45888.62777777778</v>
      </c>
      <c r="O406" s="46" t="n">
        <v>45890.30347222222</v>
      </c>
      <c r="P406" t="inlineStr">
        <is>
          <t>UNO A UNO</t>
        </is>
      </c>
      <c r="Q406" t="inlineStr">
        <is>
          <t>UNO A UNO</t>
        </is>
      </c>
      <c r="R406" t="inlineStr">
        <is>
          <t>EJECUTADO</t>
        </is>
      </c>
      <c r="S406" t="inlineStr">
        <is>
          <t>VISITA TECNICA</t>
        </is>
      </c>
      <c r="T406" t="inlineStr">
        <is>
          <t>SHZZZ009</t>
        </is>
      </c>
      <c r="U406" t="inlineStr">
        <is>
          <t>TIPO I</t>
        </is>
      </c>
      <c r="V406" t="inlineStr">
        <is>
          <t>TERRESTRE</t>
        </is>
      </c>
      <c r="W406" t="inlineStr">
        <is>
          <t>MORA VEGA JEAMPIER</t>
        </is>
      </c>
      <c r="X406" t="inlineStr">
        <is>
          <t>Si</t>
        </is>
      </c>
      <c r="Y406" t="inlineStr">
        <is>
          <t>Si</t>
        </is>
      </c>
      <c r="Z406" s="45" t="n">
        <v>0</v>
      </c>
      <c r="AA406" t="inlineStr">
        <is>
          <t>0</t>
        </is>
      </c>
      <c r="AB406" s="45" t="n">
        <v>194983</v>
      </c>
      <c r="AC406" s="45" t="n">
        <v>0</v>
      </c>
    </row>
    <row r="407">
      <c r="A407" t="inlineStr">
        <is>
          <t>MONTERIA</t>
        </is>
      </c>
      <c r="B407" t="inlineStr">
        <is>
          <t>COSTA</t>
        </is>
      </c>
      <c r="C407" t="inlineStr">
        <is>
          <t>0004-0001</t>
        </is>
      </c>
      <c r="D407" t="inlineStr">
        <is>
          <t>5154</t>
        </is>
      </c>
      <c r="E407" t="inlineStr">
        <is>
          <t>TA-25-982559</t>
        </is>
      </c>
      <c r="F407" t="inlineStr">
        <is>
          <t>3007081065</t>
        </is>
      </c>
      <c r="G407" t="inlineStr">
        <is>
          <t>APERTURA</t>
        </is>
      </c>
      <c r="H407" t="inlineStr">
        <is>
          <t>CB CRECIMIENTO - NUEVO</t>
        </is>
      </c>
      <c r="I407" t="inlineStr">
        <is>
          <t>ANTIOQUIA</t>
        </is>
      </c>
      <c r="J407" t="inlineStr">
        <is>
          <t>CAUCASIA</t>
        </is>
      </c>
      <c r="K407" t="inlineStr">
        <is>
          <t>BARRIO VRD VILLA DEL SOCORRO CAUCASIA</t>
        </is>
      </c>
      <c r="L407" t="inlineStr">
        <is>
          <t>BANCOLOMBIA</t>
        </is>
      </c>
      <c r="M407" t="inlineStr">
        <is>
          <t>FO-25-1390990</t>
        </is>
      </c>
      <c r="N407" s="46" t="n">
        <v>45888.66736111111</v>
      </c>
      <c r="O407" s="46" t="n">
        <v>45891.30625</v>
      </c>
      <c r="P407" t="inlineStr">
        <is>
          <t>UNO A UNO</t>
        </is>
      </c>
      <c r="Q407" t="inlineStr">
        <is>
          <t>UNO A UNO</t>
        </is>
      </c>
      <c r="R407" t="inlineStr">
        <is>
          <t>EJECUTADO</t>
        </is>
      </c>
      <c r="S407" t="inlineStr">
        <is>
          <t>VISITA TECNICA</t>
        </is>
      </c>
      <c r="T407" t="inlineStr">
        <is>
          <t>SHZZZ010</t>
        </is>
      </c>
      <c r="U407" t="inlineStr">
        <is>
          <t>TIPO II</t>
        </is>
      </c>
      <c r="V407" t="inlineStr">
        <is>
          <t>TERRESTRE</t>
        </is>
      </c>
      <c r="W407" t="inlineStr">
        <is>
          <t>CALDERA SALCEDO CARLOS JULIO</t>
        </is>
      </c>
      <c r="X407" t="inlineStr">
        <is>
          <t>Si</t>
        </is>
      </c>
      <c r="Y407" t="inlineStr">
        <is>
          <t>Si</t>
        </is>
      </c>
      <c r="Z407" s="45" t="n">
        <v>0</v>
      </c>
      <c r="AA407" t="inlineStr">
        <is>
          <t>0</t>
        </is>
      </c>
      <c r="AB407" s="45" t="n">
        <v>248376</v>
      </c>
      <c r="AC407" s="45" t="n">
        <v>0</v>
      </c>
    </row>
    <row r="408">
      <c r="A408" t="inlineStr">
        <is>
          <t>TUNJA</t>
        </is>
      </c>
      <c r="B408" t="inlineStr">
        <is>
          <t>SANTANDERES</t>
        </is>
      </c>
      <c r="C408" t="inlineStr">
        <is>
          <t>0004-0008</t>
        </is>
      </c>
      <c r="D408" t="inlineStr">
        <is>
          <t>15759</t>
        </is>
      </c>
      <c r="E408" t="inlineStr">
        <is>
          <t>TA-25-982561</t>
        </is>
      </c>
      <c r="F408" t="inlineStr">
        <is>
          <t>3007081102</t>
        </is>
      </c>
      <c r="G408" t="inlineStr">
        <is>
          <t>APERTURA</t>
        </is>
      </c>
      <c r="H408" t="inlineStr">
        <is>
          <t>CB CRECIMIENTO - NUEVO</t>
        </is>
      </c>
      <c r="I408" t="inlineStr">
        <is>
          <t>BOYACA</t>
        </is>
      </c>
      <c r="J408" t="inlineStr">
        <is>
          <t>SOGAMOSO</t>
        </is>
      </c>
      <c r="K408" t="inlineStr">
        <is>
          <t>BARRIO SUGAMUXI SOGAMOSO</t>
        </is>
      </c>
      <c r="L408" t="inlineStr">
        <is>
          <t>BANCOLOMBIA</t>
        </is>
      </c>
      <c r="M408" t="inlineStr">
        <is>
          <t>FO-25-1390993</t>
        </is>
      </c>
      <c r="N408" s="46" t="n">
        <v>45888.62777777778</v>
      </c>
      <c r="O408" s="46" t="n">
        <v>45889.6</v>
      </c>
      <c r="P408" t="inlineStr">
        <is>
          <t>UNO A UNO</t>
        </is>
      </c>
      <c r="Q408" t="inlineStr">
        <is>
          <t>UNO A UNO</t>
        </is>
      </c>
      <c r="R408" t="inlineStr">
        <is>
          <t>EJECUTADO</t>
        </is>
      </c>
      <c r="S408" t="inlineStr">
        <is>
          <t>VISITA TECNICA</t>
        </is>
      </c>
      <c r="T408" t="inlineStr">
        <is>
          <t>SHZZZ011</t>
        </is>
      </c>
      <c r="U408" t="inlineStr">
        <is>
          <t>TIPO II</t>
        </is>
      </c>
      <c r="V408" t="inlineStr">
        <is>
          <t>TERRESTRE</t>
        </is>
      </c>
      <c r="W408" t="inlineStr">
        <is>
          <t>RODRIGUEZ MURCIA YERSON IVAN</t>
        </is>
      </c>
      <c r="X408" t="inlineStr">
        <is>
          <t>Si</t>
        </is>
      </c>
      <c r="Y408" t="inlineStr">
        <is>
          <t>Si</t>
        </is>
      </c>
      <c r="Z408" s="45" t="n">
        <v>0</v>
      </c>
      <c r="AA408" t="inlineStr">
        <is>
          <t>0</t>
        </is>
      </c>
      <c r="AB408" s="45" t="n">
        <v>248376</v>
      </c>
      <c r="AC408" s="45" t="n">
        <v>0</v>
      </c>
    </row>
    <row r="409">
      <c r="A409" t="inlineStr">
        <is>
          <t>PEREIRA</t>
        </is>
      </c>
      <c r="B409" t="inlineStr">
        <is>
          <t>SUROCCIDENTE Y EJE CAFETERO</t>
        </is>
      </c>
      <c r="C409" t="inlineStr">
        <is>
          <t>0004-0002</t>
        </is>
      </c>
      <c r="D409" t="inlineStr">
        <is>
          <t>63001</t>
        </is>
      </c>
      <c r="E409" t="inlineStr">
        <is>
          <t>TA-25-982562</t>
        </is>
      </c>
      <c r="F409" t="inlineStr">
        <is>
          <t>3007081052</t>
        </is>
      </c>
      <c r="G409" t="inlineStr">
        <is>
          <t>APERTURA</t>
        </is>
      </c>
      <c r="H409" t="inlineStr">
        <is>
          <t>CB CRECIMIENTO - NUEVO</t>
        </is>
      </c>
      <c r="I409" t="inlineStr">
        <is>
          <t>QUINDIO</t>
        </is>
      </c>
      <c r="J409" t="inlineStr">
        <is>
          <t>ARMENIA</t>
        </is>
      </c>
      <c r="K409" t="inlineStr">
        <is>
          <t>BARRIO BAMBUSA ARMENIA</t>
        </is>
      </c>
      <c r="L409" t="inlineStr">
        <is>
          <t>BANCOLOMBIA</t>
        </is>
      </c>
      <c r="M409" t="inlineStr">
        <is>
          <t>FO-25-1390995</t>
        </is>
      </c>
      <c r="N409" s="46" t="n">
        <v>45888.60763888889</v>
      </c>
      <c r="O409" s="46" t="n">
        <v>45890.27847222222</v>
      </c>
      <c r="P409" t="inlineStr">
        <is>
          <t>UNO A UNO</t>
        </is>
      </c>
      <c r="Q409" t="inlineStr">
        <is>
          <t>UNO A UNO</t>
        </is>
      </c>
      <c r="R409" t="inlineStr">
        <is>
          <t>EJECUTADO</t>
        </is>
      </c>
      <c r="S409" t="inlineStr">
        <is>
          <t>VISITA TECNICA</t>
        </is>
      </c>
      <c r="T409" t="inlineStr">
        <is>
          <t>SHZZZ012</t>
        </is>
      </c>
      <c r="U409" t="inlineStr">
        <is>
          <t>TIPO II</t>
        </is>
      </c>
      <c r="V409" t="inlineStr">
        <is>
          <t>TERRESTRE</t>
        </is>
      </c>
      <c r="W409" t="inlineStr">
        <is>
          <t>SANCHEZ SOLORZANO JUAN SEBASTIAN</t>
        </is>
      </c>
      <c r="X409" t="inlineStr">
        <is>
          <t>Si</t>
        </is>
      </c>
      <c r="Y409" t="inlineStr">
        <is>
          <t>Si</t>
        </is>
      </c>
      <c r="Z409" s="45" t="n">
        <v>0</v>
      </c>
      <c r="AA409" t="inlineStr">
        <is>
          <t>0</t>
        </is>
      </c>
      <c r="AB409" s="45" t="n">
        <v>248376</v>
      </c>
      <c r="AC409" s="45" t="n">
        <v>0</v>
      </c>
    </row>
    <row r="410">
      <c r="A410" t="inlineStr">
        <is>
          <t>MANIZALES</t>
        </is>
      </c>
      <c r="B410" t="inlineStr">
        <is>
          <t>SUROCCIDENTE Y EJE CAFETERO</t>
        </is>
      </c>
      <c r="C410" t="inlineStr">
        <is>
          <t>0004-0002</t>
        </is>
      </c>
      <c r="D410" t="inlineStr">
        <is>
          <t>17001</t>
        </is>
      </c>
      <c r="E410" t="inlineStr">
        <is>
          <t>TA-25-982564</t>
        </is>
      </c>
      <c r="F410" t="inlineStr">
        <is>
          <t>3007081082</t>
        </is>
      </c>
      <c r="G410" t="inlineStr">
        <is>
          <t>APERTURA</t>
        </is>
      </c>
      <c r="H410" t="inlineStr">
        <is>
          <t>CB CRECIMIENTO - NUEVO</t>
        </is>
      </c>
      <c r="I410" t="inlineStr">
        <is>
          <t>CALDAS</t>
        </is>
      </c>
      <c r="J410" t="inlineStr">
        <is>
          <t>MANIZALES</t>
        </is>
      </c>
      <c r="K410" t="inlineStr">
        <is>
          <t>BARRIO VILLA PILAR MANIZALES 1</t>
        </is>
      </c>
      <c r="L410" t="inlineStr">
        <is>
          <t>BANCOLOMBIA</t>
        </is>
      </c>
      <c r="M410" t="inlineStr">
        <is>
          <t>FO-25-1391003</t>
        </is>
      </c>
      <c r="N410" s="46" t="n">
        <v>45888.61527777778</v>
      </c>
      <c r="O410" s="46" t="n">
        <v>45890.27986111111</v>
      </c>
      <c r="P410" t="inlineStr">
        <is>
          <t>UNO A UNO</t>
        </is>
      </c>
      <c r="Q410" t="inlineStr">
        <is>
          <t>UNO A UNO</t>
        </is>
      </c>
      <c r="R410" t="inlineStr">
        <is>
          <t>EJECUTADO</t>
        </is>
      </c>
      <c r="S410" t="inlineStr">
        <is>
          <t>VISITA TECNICA</t>
        </is>
      </c>
      <c r="T410" t="inlineStr">
        <is>
          <t>SHZZZ014</t>
        </is>
      </c>
      <c r="U410" t="inlineStr">
        <is>
          <t>TIPO I</t>
        </is>
      </c>
      <c r="V410" t="inlineStr">
        <is>
          <t>TERRESTRE</t>
        </is>
      </c>
      <c r="W410" t="inlineStr">
        <is>
          <t>AGUIRRE HENAO RAUL EDUARDO</t>
        </is>
      </c>
      <c r="X410" t="inlineStr">
        <is>
          <t>Si</t>
        </is>
      </c>
      <c r="Y410" t="inlineStr">
        <is>
          <t>Si</t>
        </is>
      </c>
      <c r="Z410" s="45" t="n">
        <v>0</v>
      </c>
      <c r="AA410" t="inlineStr">
        <is>
          <t>0</t>
        </is>
      </c>
      <c r="AB410" s="45" t="n">
        <v>194983</v>
      </c>
      <c r="AC410" s="45" t="n">
        <v>0</v>
      </c>
    </row>
    <row r="411">
      <c r="A411" t="inlineStr">
        <is>
          <t>MONTERIA</t>
        </is>
      </c>
      <c r="B411" t="inlineStr">
        <is>
          <t>COSTA</t>
        </is>
      </c>
      <c r="C411" t="inlineStr">
        <is>
          <t>0004-0001</t>
        </is>
      </c>
      <c r="D411" t="inlineStr">
        <is>
          <t>23001</t>
        </is>
      </c>
      <c r="E411" t="inlineStr">
        <is>
          <t>TA-25-982569</t>
        </is>
      </c>
      <c r="F411" t="inlineStr">
        <is>
          <t>3007081085</t>
        </is>
      </c>
      <c r="G411" t="inlineStr">
        <is>
          <t>APERTURA</t>
        </is>
      </c>
      <c r="H411" t="inlineStr">
        <is>
          <t>CB CRECIMIENTO - NUEVO</t>
        </is>
      </c>
      <c r="I411" t="inlineStr">
        <is>
          <t>CORDOBA</t>
        </is>
      </c>
      <c r="J411" t="inlineStr">
        <is>
          <t>MONTERIA</t>
        </is>
      </c>
      <c r="K411" t="inlineStr">
        <is>
          <t>BARRIO CGT SANTA ISABEL MONTERIA</t>
        </is>
      </c>
      <c r="L411" t="inlineStr">
        <is>
          <t>BANCOLOMBIA</t>
        </is>
      </c>
      <c r="M411" t="inlineStr">
        <is>
          <t>FO-25-1391010</t>
        </is>
      </c>
      <c r="N411" s="46" t="n">
        <v>45888.66458333333</v>
      </c>
      <c r="O411" s="46" t="n">
        <v>45890.63055555556</v>
      </c>
      <c r="P411" t="inlineStr">
        <is>
          <t>UNO A UNO</t>
        </is>
      </c>
      <c r="Q411" t="inlineStr">
        <is>
          <t>UNO A UNO</t>
        </is>
      </c>
      <c r="R411" t="inlineStr">
        <is>
          <t>EJECUTADO</t>
        </is>
      </c>
      <c r="S411" t="inlineStr">
        <is>
          <t>VISITA TECNICA</t>
        </is>
      </c>
      <c r="T411" t="inlineStr">
        <is>
          <t>SHZZZ015</t>
        </is>
      </c>
      <c r="U411" t="inlineStr">
        <is>
          <t>TIPO I</t>
        </is>
      </c>
      <c r="V411" t="inlineStr">
        <is>
          <t>TERRESTRE</t>
        </is>
      </c>
      <c r="W411" t="inlineStr">
        <is>
          <t>CASSIANI PEREZ RAUL RAMIRO</t>
        </is>
      </c>
      <c r="X411" t="inlineStr">
        <is>
          <t>Si</t>
        </is>
      </c>
      <c r="Y411" t="inlineStr">
        <is>
          <t>Si</t>
        </is>
      </c>
      <c r="Z411" s="45" t="n">
        <v>0</v>
      </c>
      <c r="AA411" t="inlineStr">
        <is>
          <t>0</t>
        </is>
      </c>
      <c r="AB411" s="45" t="n">
        <v>194983</v>
      </c>
      <c r="AC411" s="45" t="n">
        <v>0</v>
      </c>
    </row>
    <row r="412">
      <c r="A412" t="inlineStr">
        <is>
          <t>BOGOTA</t>
        </is>
      </c>
      <c r="B412" t="inlineStr">
        <is>
          <t>CUNDINAMARCA</t>
        </is>
      </c>
      <c r="C412" t="inlineStr">
        <is>
          <t>0004-0004</t>
        </is>
      </c>
      <c r="D412" t="inlineStr">
        <is>
          <t>25126</t>
        </is>
      </c>
      <c r="E412" t="inlineStr">
        <is>
          <t>TA-25-982574</t>
        </is>
      </c>
      <c r="F412" t="inlineStr">
        <is>
          <t>3007081058</t>
        </is>
      </c>
      <c r="G412" t="inlineStr">
        <is>
          <t>APERTURA</t>
        </is>
      </c>
      <c r="H412" t="inlineStr">
        <is>
          <t>CB CRECIMIENTO - NUEVO</t>
        </is>
      </c>
      <c r="I412" t="inlineStr">
        <is>
          <t>CUNDINAMARCA</t>
        </is>
      </c>
      <c r="J412" t="inlineStr">
        <is>
          <t>CAJICA</t>
        </is>
      </c>
      <c r="K412" t="inlineStr">
        <is>
          <t>BARRIO EL PRADO CAJICA 1</t>
        </is>
      </c>
      <c r="L412" t="inlineStr">
        <is>
          <t>BANCOLOMBIA</t>
        </is>
      </c>
      <c r="M412" t="inlineStr">
        <is>
          <t>FO-25-1391017</t>
        </is>
      </c>
      <c r="N412" s="46" t="n">
        <v>45888.71736111111</v>
      </c>
      <c r="O412" s="46" t="n">
        <v>45890.64236111111</v>
      </c>
      <c r="P412" t="inlineStr">
        <is>
          <t>UNO A UNO</t>
        </is>
      </c>
      <c r="Q412" t="inlineStr">
        <is>
          <t>UNO A UNO</t>
        </is>
      </c>
      <c r="R412" t="inlineStr">
        <is>
          <t>EJECUTADO</t>
        </is>
      </c>
      <c r="S412" t="inlineStr">
        <is>
          <t>VISITA TECNICA</t>
        </is>
      </c>
      <c r="T412" t="inlineStr">
        <is>
          <t>SHZZZ016</t>
        </is>
      </c>
      <c r="U412" t="inlineStr">
        <is>
          <t>TIPO II</t>
        </is>
      </c>
      <c r="V412" t="inlineStr">
        <is>
          <t>TERRESTRE</t>
        </is>
      </c>
      <c r="W412" t="inlineStr">
        <is>
          <t>VEGA MANRIQUE JONATAN MAURICIO</t>
        </is>
      </c>
      <c r="X412" t="inlineStr">
        <is>
          <t>Si</t>
        </is>
      </c>
      <c r="Y412" t="inlineStr">
        <is>
          <t>Si</t>
        </is>
      </c>
      <c r="Z412" s="45" t="n">
        <v>0</v>
      </c>
      <c r="AA412" t="inlineStr">
        <is>
          <t>0</t>
        </is>
      </c>
      <c r="AB412" s="45" t="n">
        <v>248376</v>
      </c>
      <c r="AC412" s="45" t="n">
        <v>0</v>
      </c>
    </row>
    <row r="413">
      <c r="A413" t="inlineStr">
        <is>
          <t>BOGOTA</t>
        </is>
      </c>
      <c r="B413" t="inlineStr">
        <is>
          <t>CUNDINAMARCA</t>
        </is>
      </c>
      <c r="C413" t="inlineStr">
        <is>
          <t>0004-0004</t>
        </is>
      </c>
      <c r="D413" t="inlineStr">
        <is>
          <t>25754</t>
        </is>
      </c>
      <c r="E413" t="inlineStr">
        <is>
          <t>TA-25-982575</t>
        </is>
      </c>
      <c r="F413" t="inlineStr">
        <is>
          <t>3007081101</t>
        </is>
      </c>
      <c r="G413" t="inlineStr">
        <is>
          <t>APERTURA</t>
        </is>
      </c>
      <c r="H413" t="inlineStr">
        <is>
          <t>CB CRECIMIENTO - NUEVO</t>
        </is>
      </c>
      <c r="I413" t="inlineStr">
        <is>
          <t>CUNDINAMARCA</t>
        </is>
      </c>
      <c r="J413" t="inlineStr">
        <is>
          <t>SOACHA</t>
        </is>
      </c>
      <c r="K413" t="inlineStr">
        <is>
          <t>BARRIO CIUDADELA SUCRE SOACHA 2</t>
        </is>
      </c>
      <c r="L413" t="inlineStr">
        <is>
          <t>BANCOLOMBIA</t>
        </is>
      </c>
      <c r="M413" t="inlineStr">
        <is>
          <t>FO-25-1391021</t>
        </is>
      </c>
      <c r="N413" s="46" t="n">
        <v>45888.72430555556</v>
      </c>
      <c r="O413" s="46" t="n">
        <v>45891.30625</v>
      </c>
      <c r="P413" t="inlineStr">
        <is>
          <t>UNO A UNO</t>
        </is>
      </c>
      <c r="Q413" t="inlineStr">
        <is>
          <t>UNO A UNO</t>
        </is>
      </c>
      <c r="R413" t="inlineStr">
        <is>
          <t>EJECUTADO</t>
        </is>
      </c>
      <c r="S413" t="inlineStr">
        <is>
          <t>VISITA TECNICA</t>
        </is>
      </c>
      <c r="T413" t="inlineStr">
        <is>
          <t>SHZZZ017</t>
        </is>
      </c>
      <c r="U413" t="inlineStr">
        <is>
          <t>TIPO I</t>
        </is>
      </c>
      <c r="V413" t="inlineStr">
        <is>
          <t>TERRESTRE</t>
        </is>
      </c>
      <c r="W413" t="inlineStr">
        <is>
          <t>ORTIZ MARTINEZ STIVEN</t>
        </is>
      </c>
      <c r="X413" t="inlineStr">
        <is>
          <t>Si</t>
        </is>
      </c>
      <c r="Y413" t="inlineStr">
        <is>
          <t>Si</t>
        </is>
      </c>
      <c r="Z413" s="45" t="n">
        <v>0</v>
      </c>
      <c r="AA413" t="inlineStr">
        <is>
          <t>0</t>
        </is>
      </c>
      <c r="AB413" s="45" t="n">
        <v>194983</v>
      </c>
      <c r="AC413" s="45" t="n">
        <v>0</v>
      </c>
    </row>
    <row r="414">
      <c r="A414" t="inlineStr">
        <is>
          <t>MEDELLIN</t>
        </is>
      </c>
      <c r="B414" t="inlineStr">
        <is>
          <t>NOROCCIDENTE</t>
        </is>
      </c>
      <c r="C414" t="inlineStr">
        <is>
          <t>0004-0005</t>
        </is>
      </c>
      <c r="D414" t="inlineStr">
        <is>
          <t>5001</t>
        </is>
      </c>
      <c r="E414" t="inlineStr">
        <is>
          <t>TA-25-982576</t>
        </is>
      </c>
      <c r="F414" t="inlineStr">
        <is>
          <t>3007081109</t>
        </is>
      </c>
      <c r="G414" t="inlineStr">
        <is>
          <t>APERTURA</t>
        </is>
      </c>
      <c r="H414" t="inlineStr">
        <is>
          <t>CB CRECIMIENTO - NUEVO</t>
        </is>
      </c>
      <c r="I414" t="inlineStr">
        <is>
          <t>ANTIOQUIA</t>
        </is>
      </c>
      <c r="J414" t="inlineStr">
        <is>
          <t>MEDELLIN</t>
        </is>
      </c>
      <c r="K414" t="inlineStr">
        <is>
          <t>BARRIO ROBLEDO VILLA FLORA MEDELLIN 5</t>
        </is>
      </c>
      <c r="L414" t="inlineStr">
        <is>
          <t>BANCOLOMBIA</t>
        </is>
      </c>
      <c r="M414" t="inlineStr">
        <is>
          <t>FO-25-1391024</t>
        </is>
      </c>
      <c r="N414" s="46" t="n">
        <v>45888.67361111111</v>
      </c>
      <c r="O414" s="46" t="n">
        <v>45890.31180555555</v>
      </c>
      <c r="P414" t="inlineStr">
        <is>
          <t>UNO A UNO</t>
        </is>
      </c>
      <c r="Q414" t="inlineStr">
        <is>
          <t>UNO A UNO</t>
        </is>
      </c>
      <c r="R414" t="inlineStr">
        <is>
          <t>EJECUTADO</t>
        </is>
      </c>
      <c r="S414" t="inlineStr">
        <is>
          <t>VISITA TECNICA</t>
        </is>
      </c>
      <c r="T414" t="inlineStr">
        <is>
          <t>SHZZZ018</t>
        </is>
      </c>
      <c r="U414" t="inlineStr">
        <is>
          <t>TIPO I</t>
        </is>
      </c>
      <c r="V414" t="inlineStr">
        <is>
          <t>TERRESTRE</t>
        </is>
      </c>
      <c r="W414" t="inlineStr">
        <is>
          <t>ALVAREZ ARENAS VICTOR HUGO</t>
        </is>
      </c>
      <c r="X414" t="inlineStr">
        <is>
          <t>Si</t>
        </is>
      </c>
      <c r="Y414" t="inlineStr">
        <is>
          <t>Si</t>
        </is>
      </c>
      <c r="Z414" s="45" t="n">
        <v>0</v>
      </c>
      <c r="AA414" t="inlineStr">
        <is>
          <t>0</t>
        </is>
      </c>
      <c r="AB414" s="45" t="n">
        <v>194983</v>
      </c>
      <c r="AC414" s="45" t="n">
        <v>0</v>
      </c>
    </row>
    <row r="415">
      <c r="A415" t="inlineStr">
        <is>
          <t>MONTERIA</t>
        </is>
      </c>
      <c r="B415" t="inlineStr">
        <is>
          <t>COSTA</t>
        </is>
      </c>
      <c r="C415" t="inlineStr">
        <is>
          <t>0004-0001</t>
        </is>
      </c>
      <c r="D415" t="inlineStr">
        <is>
          <t>5495</t>
        </is>
      </c>
      <c r="E415" t="inlineStr">
        <is>
          <t>TA-25-982577</t>
        </is>
      </c>
      <c r="F415" t="inlineStr">
        <is>
          <t>3007081088</t>
        </is>
      </c>
      <c r="G415" t="inlineStr">
        <is>
          <t>APERTURA</t>
        </is>
      </c>
      <c r="H415" t="inlineStr">
        <is>
          <t>CB CRECIMIENTO - NUEVO</t>
        </is>
      </c>
      <c r="I415" t="inlineStr">
        <is>
          <t>ANTIOQUIA</t>
        </is>
      </c>
      <c r="J415" t="inlineStr">
        <is>
          <t>NECHI</t>
        </is>
      </c>
      <c r="K415" t="inlineStr">
        <is>
          <t>BARRIO 20 DE ENERO NECHI</t>
        </is>
      </c>
      <c r="L415" t="inlineStr">
        <is>
          <t>BANCOLOMBIA</t>
        </is>
      </c>
      <c r="M415" t="inlineStr">
        <is>
          <t>FO-25-1391028</t>
        </is>
      </c>
      <c r="N415" s="46" t="n">
        <v>45888.66736111111</v>
      </c>
      <c r="O415" s="46" t="n">
        <v>45890.57916666667</v>
      </c>
      <c r="P415" t="inlineStr">
        <is>
          <t>UNO A UNO</t>
        </is>
      </c>
      <c r="Q415" t="inlineStr">
        <is>
          <t>UNO A UNO</t>
        </is>
      </c>
      <c r="R415" t="inlineStr">
        <is>
          <t>EJECUTADO</t>
        </is>
      </c>
      <c r="S415" t="inlineStr">
        <is>
          <t>VISITA TECNICA</t>
        </is>
      </c>
      <c r="T415" t="inlineStr">
        <is>
          <t>SHZZZ019</t>
        </is>
      </c>
      <c r="U415" t="inlineStr">
        <is>
          <t>TIPO III</t>
        </is>
      </c>
      <c r="V415" t="inlineStr">
        <is>
          <t>TERRESTRE</t>
        </is>
      </c>
      <c r="W415" t="inlineStr">
        <is>
          <t>CALDERA SALCEDO CARLOS JULIO</t>
        </is>
      </c>
      <c r="X415" t="inlineStr">
        <is>
          <t>Si</t>
        </is>
      </c>
      <c r="Y415" t="inlineStr">
        <is>
          <t>Si</t>
        </is>
      </c>
      <c r="Z415" s="45" t="n">
        <v>0</v>
      </c>
      <c r="AA415" t="inlineStr">
        <is>
          <t>0</t>
        </is>
      </c>
      <c r="AB415" s="45" t="n">
        <v>248376</v>
      </c>
      <c r="AC415" s="45" t="n">
        <v>0</v>
      </c>
    </row>
    <row r="416">
      <c r="A416" t="inlineStr">
        <is>
          <t>BUCARAMANGA</t>
        </is>
      </c>
      <c r="B416" t="inlineStr">
        <is>
          <t>SANTANDERES</t>
        </is>
      </c>
      <c r="C416" t="inlineStr">
        <is>
          <t>0004-0008</t>
        </is>
      </c>
      <c r="D416" t="inlineStr">
        <is>
          <t>68001</t>
        </is>
      </c>
      <c r="E416" t="inlineStr">
        <is>
          <t>TA-25-982578</t>
        </is>
      </c>
      <c r="F416" t="inlineStr">
        <is>
          <t>3007081056</t>
        </is>
      </c>
      <c r="G416" t="inlineStr">
        <is>
          <t>APERTURA</t>
        </is>
      </c>
      <c r="H416" t="inlineStr">
        <is>
          <t>CB CRECIMIENTO - NUEVO</t>
        </is>
      </c>
      <c r="I416" t="inlineStr">
        <is>
          <t>SANTANDER</t>
        </is>
      </c>
      <c r="J416" t="inlineStr">
        <is>
          <t>BUCARAMANGA</t>
        </is>
      </c>
      <c r="K416" t="inlineStr">
        <is>
          <t>BARRIO EL PRADO BUCARAMANGA 5</t>
        </is>
      </c>
      <c r="L416" t="inlineStr">
        <is>
          <t>BANCOLOMBIA</t>
        </is>
      </c>
      <c r="M416" t="inlineStr">
        <is>
          <t>FO-25-1391034</t>
        </is>
      </c>
      <c r="N416" s="46" t="n">
        <v>45888.62847222222</v>
      </c>
      <c r="O416" s="46" t="n">
        <v>45889.57986111111</v>
      </c>
      <c r="P416" t="inlineStr">
        <is>
          <t>UNO A UNO</t>
        </is>
      </c>
      <c r="Q416" t="inlineStr">
        <is>
          <t>UNO A UNO</t>
        </is>
      </c>
      <c r="R416" t="inlineStr">
        <is>
          <t>EJECUTADO</t>
        </is>
      </c>
      <c r="S416" t="inlineStr">
        <is>
          <t>VISITA TECNICA</t>
        </is>
      </c>
      <c r="T416" t="inlineStr">
        <is>
          <t>SHZZZ020</t>
        </is>
      </c>
      <c r="U416" t="inlineStr">
        <is>
          <t>TIPO I</t>
        </is>
      </c>
      <c r="V416" t="inlineStr">
        <is>
          <t>TERRESTRE</t>
        </is>
      </c>
      <c r="W416" t="inlineStr">
        <is>
          <t>HERRERA LUQUE SAUL JAVIER</t>
        </is>
      </c>
      <c r="X416" t="inlineStr">
        <is>
          <t>Si</t>
        </is>
      </c>
      <c r="Y416" t="inlineStr">
        <is>
          <t>Si</t>
        </is>
      </c>
      <c r="Z416" s="45" t="n">
        <v>0</v>
      </c>
      <c r="AA416" t="inlineStr">
        <is>
          <t>0</t>
        </is>
      </c>
      <c r="AB416" s="45" t="n">
        <v>194983</v>
      </c>
      <c r="AC416" s="45" t="n">
        <v>0</v>
      </c>
    </row>
    <row r="417">
      <c r="A417" t="inlineStr">
        <is>
          <t>BUCARAMANGA</t>
        </is>
      </c>
      <c r="B417" t="inlineStr">
        <is>
          <t>SANTANDERES</t>
        </is>
      </c>
      <c r="C417" t="inlineStr">
        <is>
          <t>0004-0008</t>
        </is>
      </c>
      <c r="D417" t="inlineStr">
        <is>
          <t>68895</t>
        </is>
      </c>
      <c r="E417" t="inlineStr">
        <is>
          <t>TA-25-982580</t>
        </is>
      </c>
      <c r="F417" t="inlineStr">
        <is>
          <t>3007081111</t>
        </is>
      </c>
      <c r="G417" t="inlineStr">
        <is>
          <t>APERTURA</t>
        </is>
      </c>
      <c r="H417" t="inlineStr">
        <is>
          <t>CB CRECIMIENTO - NUEVO</t>
        </is>
      </c>
      <c r="I417" t="inlineStr">
        <is>
          <t>SANTANDER</t>
        </is>
      </c>
      <c r="J417" t="inlineStr">
        <is>
          <t>ZAPATOCA</t>
        </is>
      </c>
      <c r="K417" t="inlineStr">
        <is>
          <t>BARRIO ZAPATOCA ZAPATOCA</t>
        </is>
      </c>
      <c r="L417" t="inlineStr">
        <is>
          <t>BANCOLOMBIA</t>
        </is>
      </c>
      <c r="M417" t="inlineStr">
        <is>
          <t>FO-25-1391039</t>
        </is>
      </c>
      <c r="N417" s="46" t="n">
        <v>45888.62847222222</v>
      </c>
      <c r="O417" s="46" t="n">
        <v>45889.63611111111</v>
      </c>
      <c r="P417" t="inlineStr">
        <is>
          <t>UNO A UNO</t>
        </is>
      </c>
      <c r="Q417" t="inlineStr">
        <is>
          <t>UNO A UNO</t>
        </is>
      </c>
      <c r="R417" t="inlineStr">
        <is>
          <t>EJECUTADO</t>
        </is>
      </c>
      <c r="S417" t="inlineStr">
        <is>
          <t>VISITA TECNICA</t>
        </is>
      </c>
      <c r="T417" t="inlineStr">
        <is>
          <t>SHZZZ021</t>
        </is>
      </c>
      <c r="U417" t="inlineStr">
        <is>
          <t>TIPO III</t>
        </is>
      </c>
      <c r="V417" t="inlineStr">
        <is>
          <t>TERRESTRE</t>
        </is>
      </c>
      <c r="W417" t="inlineStr">
        <is>
          <t>MARIÑO PABON JORGE ENRIQUE</t>
        </is>
      </c>
      <c r="X417" t="inlineStr">
        <is>
          <t>Si</t>
        </is>
      </c>
      <c r="Y417" t="inlineStr">
        <is>
          <t>Si</t>
        </is>
      </c>
      <c r="Z417" s="45" t="n">
        <v>0</v>
      </c>
      <c r="AA417" t="inlineStr">
        <is>
          <t>0</t>
        </is>
      </c>
      <c r="AB417" s="45" t="n">
        <v>248376</v>
      </c>
      <c r="AC417" s="45" t="n">
        <v>0</v>
      </c>
    </row>
    <row r="418">
      <c r="A418" t="inlineStr">
        <is>
          <t>MONTERIA</t>
        </is>
      </c>
      <c r="B418" t="inlineStr">
        <is>
          <t>COSTA</t>
        </is>
      </c>
      <c r="C418" t="inlineStr">
        <is>
          <t>0004-0001</t>
        </is>
      </c>
      <c r="D418" t="inlineStr">
        <is>
          <t>23417</t>
        </is>
      </c>
      <c r="E418" t="inlineStr">
        <is>
          <t>TA-25-982581</t>
        </is>
      </c>
      <c r="F418" t="inlineStr">
        <is>
          <t>3007081081</t>
        </is>
      </c>
      <c r="G418" t="inlineStr">
        <is>
          <t>APERTURA</t>
        </is>
      </c>
      <c r="H418" t="inlineStr">
        <is>
          <t>CB CRECIMIENTO - NUEVO</t>
        </is>
      </c>
      <c r="I418" t="inlineStr">
        <is>
          <t>CORDOBA</t>
        </is>
      </c>
      <c r="J418" t="inlineStr">
        <is>
          <t>LORICA</t>
        </is>
      </c>
      <c r="K418" t="inlineStr">
        <is>
          <t>BARRIO NAVIDAD LORICA</t>
        </is>
      </c>
      <c r="L418" t="inlineStr">
        <is>
          <t>BANCOLOMBIA</t>
        </is>
      </c>
      <c r="M418" t="inlineStr">
        <is>
          <t>FO-25-1391044</t>
        </is>
      </c>
      <c r="N418" s="46" t="n">
        <v>45888.66597222222</v>
      </c>
      <c r="O418" s="46" t="n">
        <v>45890.31111111111</v>
      </c>
      <c r="P418" t="inlineStr">
        <is>
          <t>UNO A UNO</t>
        </is>
      </c>
      <c r="Q418" t="inlineStr">
        <is>
          <t>UNO A UNO</t>
        </is>
      </c>
      <c r="R418" t="inlineStr">
        <is>
          <t>EJECUTADO</t>
        </is>
      </c>
      <c r="S418" t="inlineStr">
        <is>
          <t>VISITA TECNICA</t>
        </is>
      </c>
      <c r="T418" t="inlineStr">
        <is>
          <t>SHZZZ022</t>
        </is>
      </c>
      <c r="U418" t="inlineStr">
        <is>
          <t>TIPO II</t>
        </is>
      </c>
      <c r="V418" t="inlineStr">
        <is>
          <t>TERRESTRE</t>
        </is>
      </c>
      <c r="W418" t="inlineStr">
        <is>
          <t>GONZALEZ FERRER JESUS ALEXANDER</t>
        </is>
      </c>
      <c r="X418" t="inlineStr">
        <is>
          <t>Si</t>
        </is>
      </c>
      <c r="Y418" t="inlineStr">
        <is>
          <t>Si</t>
        </is>
      </c>
      <c r="Z418" s="45" t="n">
        <v>0</v>
      </c>
      <c r="AA418" t="inlineStr">
        <is>
          <t>0</t>
        </is>
      </c>
      <c r="AB418" s="45" t="n">
        <v>248376</v>
      </c>
      <c r="AC418" s="45" t="n">
        <v>0</v>
      </c>
    </row>
    <row r="419">
      <c r="A419" t="inlineStr">
        <is>
          <t>CUCUTA</t>
        </is>
      </c>
      <c r="B419" t="inlineStr">
        <is>
          <t>SANTANDERES</t>
        </is>
      </c>
      <c r="C419" t="inlineStr">
        <is>
          <t>0004-0008</t>
        </is>
      </c>
      <c r="D419" t="inlineStr">
        <is>
          <t>54001</t>
        </is>
      </c>
      <c r="E419" t="inlineStr">
        <is>
          <t>TA-25-982582</t>
        </is>
      </c>
      <c r="F419" t="inlineStr">
        <is>
          <t>3007081071</t>
        </is>
      </c>
      <c r="G419" t="inlineStr">
        <is>
          <t>APERTURA</t>
        </is>
      </c>
      <c r="H419" t="inlineStr">
        <is>
          <t>CB CRECIMIENTO - NUEVO</t>
        </is>
      </c>
      <c r="I419" t="inlineStr">
        <is>
          <t>NORTE DE SANTANDER</t>
        </is>
      </c>
      <c r="J419" t="inlineStr">
        <is>
          <t>CUCUTA</t>
        </is>
      </c>
      <c r="K419" t="inlineStr">
        <is>
          <t>BARRIO TRIGAL DEL NORTE CUCUTA 10</t>
        </is>
      </c>
      <c r="L419" t="inlineStr">
        <is>
          <t>BANCOLOMBIA</t>
        </is>
      </c>
      <c r="M419" t="inlineStr">
        <is>
          <t>FO-25-1391048</t>
        </is>
      </c>
      <c r="N419" s="46" t="n">
        <v>45888.62847222222</v>
      </c>
      <c r="O419" s="46" t="n">
        <v>45889.58263888889</v>
      </c>
      <c r="P419" t="inlineStr">
        <is>
          <t>UNO A UNO</t>
        </is>
      </c>
      <c r="Q419" t="inlineStr">
        <is>
          <t>UNO A UNO</t>
        </is>
      </c>
      <c r="R419" t="inlineStr">
        <is>
          <t>EJECUTADO</t>
        </is>
      </c>
      <c r="S419" t="inlineStr">
        <is>
          <t>VISITA TECNICA</t>
        </is>
      </c>
      <c r="T419" t="inlineStr">
        <is>
          <t>SHZZZ023</t>
        </is>
      </c>
      <c r="U419" t="inlineStr">
        <is>
          <t>TIPO I</t>
        </is>
      </c>
      <c r="V419" t="inlineStr">
        <is>
          <t>TERRESTRE</t>
        </is>
      </c>
      <c r="W419" t="inlineStr">
        <is>
          <t>DURAN ACOSTA FRANK YONNY</t>
        </is>
      </c>
      <c r="X419" t="inlineStr">
        <is>
          <t>Si</t>
        </is>
      </c>
      <c r="Y419" t="inlineStr">
        <is>
          <t>Si</t>
        </is>
      </c>
      <c r="Z419" s="45" t="n">
        <v>0</v>
      </c>
      <c r="AA419" t="inlineStr">
        <is>
          <t>0</t>
        </is>
      </c>
      <c r="AB419" s="45" t="n">
        <v>194983</v>
      </c>
      <c r="AC419" s="45" t="n">
        <v>0</v>
      </c>
    </row>
    <row r="420">
      <c r="A420" t="inlineStr">
        <is>
          <t>CALI</t>
        </is>
      </c>
      <c r="B420" t="inlineStr">
        <is>
          <t>SUROCCIDENTE Y EJE CAFETERO</t>
        </is>
      </c>
      <c r="C420" t="inlineStr">
        <is>
          <t>0004-0003</t>
        </is>
      </c>
      <c r="D420" t="inlineStr">
        <is>
          <t>76364</t>
        </is>
      </c>
      <c r="E420" t="inlineStr">
        <is>
          <t>TA-25-982585</t>
        </is>
      </c>
      <c r="F420" t="inlineStr">
        <is>
          <t>3007081079</t>
        </is>
      </c>
      <c r="G420" t="inlineStr">
        <is>
          <t>APERTURA</t>
        </is>
      </c>
      <c r="H420" t="inlineStr">
        <is>
          <t>CB CRECIMIENTO - NUEVO</t>
        </is>
      </c>
      <c r="I420" t="inlineStr">
        <is>
          <t>VALLE DEL CAUCA</t>
        </is>
      </c>
      <c r="J420" t="inlineStr">
        <is>
          <t>JAMUNDI</t>
        </is>
      </c>
      <c r="K420" t="inlineStr">
        <is>
          <t>BARRIO BELLO HORIZONTE JAMUNDI</t>
        </is>
      </c>
      <c r="L420" t="inlineStr">
        <is>
          <t>BANCOLOMBIA</t>
        </is>
      </c>
      <c r="M420" t="inlineStr">
        <is>
          <t>FO-25-1391057</t>
        </is>
      </c>
      <c r="N420" s="46" t="n">
        <v>45888.74097222222</v>
      </c>
      <c r="O420" s="46" t="n">
        <v>45890.32013888889</v>
      </c>
      <c r="P420" t="inlineStr">
        <is>
          <t>UNO A UNO</t>
        </is>
      </c>
      <c r="Q420" t="inlineStr">
        <is>
          <t>UNO A UNO</t>
        </is>
      </c>
      <c r="R420" t="inlineStr">
        <is>
          <t>EJECUTADO</t>
        </is>
      </c>
      <c r="S420" t="inlineStr">
        <is>
          <t>VISITA TECNICA</t>
        </is>
      </c>
      <c r="T420" t="inlineStr">
        <is>
          <t>SHZZZ024</t>
        </is>
      </c>
      <c r="U420" t="inlineStr">
        <is>
          <t>TIPO II</t>
        </is>
      </c>
      <c r="V420" t="inlineStr">
        <is>
          <t>TERRESTRE</t>
        </is>
      </c>
      <c r="W420" t="inlineStr">
        <is>
          <t>MONTERO MUESES GIAN CARLO</t>
        </is>
      </c>
      <c r="X420" t="inlineStr">
        <is>
          <t>Si</t>
        </is>
      </c>
      <c r="Y420" t="inlineStr">
        <is>
          <t>Si</t>
        </is>
      </c>
      <c r="Z420" s="45" t="n">
        <v>0</v>
      </c>
      <c r="AA420" t="inlineStr">
        <is>
          <t>0</t>
        </is>
      </c>
      <c r="AB420" s="45" t="n">
        <v>248376</v>
      </c>
      <c r="AC420" s="45" t="n">
        <v>0</v>
      </c>
    </row>
    <row r="421">
      <c r="A421" t="inlineStr">
        <is>
          <t>CALI</t>
        </is>
      </c>
      <c r="B421" t="inlineStr">
        <is>
          <t>SUROCCIDENTE Y EJE CAFETERO</t>
        </is>
      </c>
      <c r="C421" t="inlineStr">
        <is>
          <t>0004-0003</t>
        </is>
      </c>
      <c r="D421" t="inlineStr">
        <is>
          <t>19001</t>
        </is>
      </c>
      <c r="E421" t="inlineStr">
        <is>
          <t>TA-25-982587</t>
        </is>
      </c>
      <c r="F421" t="inlineStr">
        <is>
          <t>3007081093</t>
        </is>
      </c>
      <c r="G421" t="inlineStr">
        <is>
          <t>APERTURA</t>
        </is>
      </c>
      <c r="H421" t="inlineStr">
        <is>
          <t>CB CRECIMIENTO - NUEVO</t>
        </is>
      </c>
      <c r="I421" t="inlineStr">
        <is>
          <t>CAUCA</t>
        </is>
      </c>
      <c r="J421" t="inlineStr">
        <is>
          <t>POPAYAN</t>
        </is>
      </c>
      <c r="K421" t="inlineStr">
        <is>
          <t>BARRIO PANDIGUANDO POPAYAN 2</t>
        </is>
      </c>
      <c r="L421" t="inlineStr">
        <is>
          <t>BANCOLOMBIA</t>
        </is>
      </c>
      <c r="M421" t="inlineStr">
        <is>
          <t>FO-25-1391061</t>
        </is>
      </c>
      <c r="N421" s="46" t="n">
        <v>45888.62222222222</v>
      </c>
      <c r="O421" s="46" t="n">
        <v>45889.60347222222</v>
      </c>
      <c r="P421" t="inlineStr">
        <is>
          <t>UNO A UNO</t>
        </is>
      </c>
      <c r="Q421" t="inlineStr">
        <is>
          <t>UNO A UNO</t>
        </is>
      </c>
      <c r="R421" t="inlineStr">
        <is>
          <t>EJECUTADO</t>
        </is>
      </c>
      <c r="S421" t="inlineStr">
        <is>
          <t>VISITA TECNICA</t>
        </is>
      </c>
      <c r="T421" t="inlineStr">
        <is>
          <t>SHZZZ025</t>
        </is>
      </c>
      <c r="U421" t="inlineStr">
        <is>
          <t>TIPO III</t>
        </is>
      </c>
      <c r="V421" t="inlineStr">
        <is>
          <t>TERRESTRE</t>
        </is>
      </c>
      <c r="W421" t="inlineStr">
        <is>
          <t>GIMBUEL LASSO LUIS GERMAN</t>
        </is>
      </c>
      <c r="X421" t="inlineStr">
        <is>
          <t>Si</t>
        </is>
      </c>
      <c r="Y421" t="inlineStr">
        <is>
          <t>Si</t>
        </is>
      </c>
      <c r="Z421" s="45" t="n">
        <v>0</v>
      </c>
      <c r="AA421" t="inlineStr">
        <is>
          <t>0</t>
        </is>
      </c>
      <c r="AB421" s="45" t="n">
        <v>248376</v>
      </c>
      <c r="AC421" s="45" t="n">
        <v>0</v>
      </c>
    </row>
    <row r="422">
      <c r="A422" t="inlineStr">
        <is>
          <t>CALI</t>
        </is>
      </c>
      <c r="B422" t="inlineStr">
        <is>
          <t>SUROCCIDENTE Y EJE CAFETERO</t>
        </is>
      </c>
      <c r="C422" t="inlineStr">
        <is>
          <t>0004-0003</t>
        </is>
      </c>
      <c r="D422" t="inlineStr">
        <is>
          <t>76001</t>
        </is>
      </c>
      <c r="E422" t="inlineStr">
        <is>
          <t>TA-25-982588</t>
        </is>
      </c>
      <c r="F422" t="inlineStr">
        <is>
          <t>3007081062</t>
        </is>
      </c>
      <c r="G422" t="inlineStr">
        <is>
          <t>APERTURA</t>
        </is>
      </c>
      <c r="H422" t="inlineStr">
        <is>
          <t>CB CRECIMIENTO - NUEVO</t>
        </is>
      </c>
      <c r="I422" t="inlineStr">
        <is>
          <t>VALLE DEL CAUCA</t>
        </is>
      </c>
      <c r="J422" t="inlineStr">
        <is>
          <t>CALI</t>
        </is>
      </c>
      <c r="K422" t="inlineStr">
        <is>
          <t>BARRIO LOURDES CALI</t>
        </is>
      </c>
      <c r="L422" t="inlineStr">
        <is>
          <t>BANCOLOMBIA</t>
        </is>
      </c>
      <c r="M422" t="inlineStr">
        <is>
          <t>FO-25-1391066</t>
        </is>
      </c>
      <c r="N422" s="46" t="n">
        <v>45888.72291666667</v>
      </c>
      <c r="O422" s="46" t="n">
        <v>45890.31319444445</v>
      </c>
      <c r="P422" t="inlineStr">
        <is>
          <t>UNO A UNO</t>
        </is>
      </c>
      <c r="Q422" t="inlineStr">
        <is>
          <t>UNO A UNO</t>
        </is>
      </c>
      <c r="R422" t="inlineStr">
        <is>
          <t>EJECUTADO</t>
        </is>
      </c>
      <c r="S422" t="inlineStr">
        <is>
          <t>VISITA TECNICA</t>
        </is>
      </c>
      <c r="T422" t="inlineStr">
        <is>
          <t>SHZZZ026</t>
        </is>
      </c>
      <c r="U422" t="inlineStr">
        <is>
          <t>TIPO I</t>
        </is>
      </c>
      <c r="V422" t="inlineStr">
        <is>
          <t>TERRESTRE</t>
        </is>
      </c>
      <c r="W422" t="inlineStr">
        <is>
          <t>HERRERA MONAR GEOVANNY</t>
        </is>
      </c>
      <c r="X422" t="inlineStr">
        <is>
          <t>Si</t>
        </is>
      </c>
      <c r="Y422" t="inlineStr">
        <is>
          <t>Si</t>
        </is>
      </c>
      <c r="Z422" s="45" t="n">
        <v>0</v>
      </c>
      <c r="AA422" t="inlineStr">
        <is>
          <t>0</t>
        </is>
      </c>
      <c r="AB422" s="45" t="n">
        <v>194983</v>
      </c>
      <c r="AC422" s="45" t="n">
        <v>0</v>
      </c>
    </row>
    <row r="423">
      <c r="A423" t="inlineStr">
        <is>
          <t>PEREIRA</t>
        </is>
      </c>
      <c r="B423" t="inlineStr">
        <is>
          <t>SUROCCIDENTE Y EJE CAFETERO</t>
        </is>
      </c>
      <c r="C423" t="inlineStr">
        <is>
          <t>0004-0002</t>
        </is>
      </c>
      <c r="D423" t="inlineStr">
        <is>
          <t>63130</t>
        </is>
      </c>
      <c r="E423" t="inlineStr">
        <is>
          <t>TA-25-982589</t>
        </is>
      </c>
      <c r="F423" t="inlineStr">
        <is>
          <t>3007081059</t>
        </is>
      </c>
      <c r="G423" t="inlineStr">
        <is>
          <t>APERTURA</t>
        </is>
      </c>
      <c r="H423" t="inlineStr">
        <is>
          <t>CB CRECIMIENTO - NUEVO</t>
        </is>
      </c>
      <c r="I423" t="inlineStr">
        <is>
          <t>QUINDIO</t>
        </is>
      </c>
      <c r="J423" t="inlineStr">
        <is>
          <t>CALARCA</t>
        </is>
      </c>
      <c r="K423" t="inlineStr">
        <is>
          <t>BARRIO LAS PALOMAS CALARCA 1</t>
        </is>
      </c>
      <c r="L423" t="inlineStr">
        <is>
          <t>BANCOLOMBIA</t>
        </is>
      </c>
      <c r="M423" t="inlineStr">
        <is>
          <t>FO-25-1391068</t>
        </is>
      </c>
      <c r="N423" s="46" t="n">
        <v>45888.64861111111</v>
      </c>
      <c r="O423" s="46" t="n">
        <v>45890.56597222222</v>
      </c>
      <c r="P423" t="inlineStr">
        <is>
          <t>UNO A UNO</t>
        </is>
      </c>
      <c r="Q423" t="inlineStr">
        <is>
          <t>UNO A UNO</t>
        </is>
      </c>
      <c r="R423" t="inlineStr">
        <is>
          <t>EJECUTADO</t>
        </is>
      </c>
      <c r="S423" t="inlineStr">
        <is>
          <t>VISITA TECNICA</t>
        </is>
      </c>
      <c r="T423" t="inlineStr">
        <is>
          <t>SHZZZ027</t>
        </is>
      </c>
      <c r="U423" t="inlineStr">
        <is>
          <t>TIPO II</t>
        </is>
      </c>
      <c r="V423" t="inlineStr">
        <is>
          <t>TERRESTRE</t>
        </is>
      </c>
      <c r="W423" t="inlineStr">
        <is>
          <t>SANCHEZ SOLORZANO JUAN SEBASTIAN</t>
        </is>
      </c>
      <c r="X423" t="inlineStr">
        <is>
          <t>Si</t>
        </is>
      </c>
      <c r="Y423" t="inlineStr">
        <is>
          <t>Si</t>
        </is>
      </c>
      <c r="Z423" s="45" t="n">
        <v>0</v>
      </c>
      <c r="AA423" t="inlineStr">
        <is>
          <t>0</t>
        </is>
      </c>
      <c r="AB423" s="45" t="n">
        <v>248376</v>
      </c>
      <c r="AC423" s="45" t="n">
        <v>0</v>
      </c>
    </row>
    <row r="424">
      <c r="A424" t="inlineStr">
        <is>
          <t>BOGOTA</t>
        </is>
      </c>
      <c r="B424" t="inlineStr">
        <is>
          <t>CUNDINAMARCA</t>
        </is>
      </c>
      <c r="C424" t="inlineStr">
        <is>
          <t>0004-0004</t>
        </is>
      </c>
      <c r="D424" t="inlineStr">
        <is>
          <t>25740</t>
        </is>
      </c>
      <c r="E424" t="inlineStr">
        <is>
          <t>TA-25-982590</t>
        </is>
      </c>
      <c r="F424" t="inlineStr">
        <is>
          <t>3007081099</t>
        </is>
      </c>
      <c r="G424" t="inlineStr">
        <is>
          <t>APERTURA</t>
        </is>
      </c>
      <c r="H424" t="inlineStr">
        <is>
          <t>CB CRECIMIENTO - NUEVO</t>
        </is>
      </c>
      <c r="I424" t="inlineStr">
        <is>
          <t>CUNDINAMARCA</t>
        </is>
      </c>
      <c r="J424" t="inlineStr">
        <is>
          <t>SIBATE</t>
        </is>
      </c>
      <c r="K424" t="inlineStr">
        <is>
          <t>BARRIO PROGRESO SIBATE 1</t>
        </is>
      </c>
      <c r="L424" t="inlineStr">
        <is>
          <t>BANCOLOMBIA</t>
        </is>
      </c>
      <c r="M424" t="inlineStr">
        <is>
          <t>FO-25-1391073</t>
        </is>
      </c>
      <c r="N424" s="46" t="n">
        <v>45888.71805555555</v>
      </c>
      <c r="O424" s="46" t="n">
        <v>45890.56805555556</v>
      </c>
      <c r="P424" t="inlineStr">
        <is>
          <t>UNO A UNO</t>
        </is>
      </c>
      <c r="Q424" t="inlineStr">
        <is>
          <t>UNO A UNO</t>
        </is>
      </c>
      <c r="R424" t="inlineStr">
        <is>
          <t>EJECUTADO</t>
        </is>
      </c>
      <c r="S424" t="inlineStr">
        <is>
          <t>VISITA TECNICA</t>
        </is>
      </c>
      <c r="T424" t="inlineStr">
        <is>
          <t>SHZZZ028</t>
        </is>
      </c>
      <c r="U424" t="inlineStr">
        <is>
          <t>TIPO II</t>
        </is>
      </c>
      <c r="V424" t="inlineStr">
        <is>
          <t>TERRESTRE</t>
        </is>
      </c>
      <c r="W424" t="inlineStr">
        <is>
          <t>GALEANO SORIANO JUAN DAVID</t>
        </is>
      </c>
      <c r="X424" t="inlineStr">
        <is>
          <t>Si</t>
        </is>
      </c>
      <c r="Y424" t="inlineStr">
        <is>
          <t>Si</t>
        </is>
      </c>
      <c r="Z424" s="45" t="n">
        <v>0</v>
      </c>
      <c r="AA424" t="inlineStr">
        <is>
          <t>0</t>
        </is>
      </c>
      <c r="AB424" s="45" t="n">
        <v>248376</v>
      </c>
      <c r="AC424" s="45" t="n">
        <v>0</v>
      </c>
    </row>
    <row r="425">
      <c r="A425" t="inlineStr">
        <is>
          <t>MEDELLIN</t>
        </is>
      </c>
      <c r="B425" t="inlineStr">
        <is>
          <t>NOROCCIDENTE</t>
        </is>
      </c>
      <c r="C425" t="inlineStr">
        <is>
          <t>0004-0005</t>
        </is>
      </c>
      <c r="D425" t="inlineStr">
        <is>
          <t>5579</t>
        </is>
      </c>
      <c r="E425" t="inlineStr">
        <is>
          <t>TA-25-982591</t>
        </is>
      </c>
      <c r="F425" t="inlineStr">
        <is>
          <t>3007081068</t>
        </is>
      </c>
      <c r="G425" t="inlineStr">
        <is>
          <t>APERTURA</t>
        </is>
      </c>
      <c r="H425" t="inlineStr">
        <is>
          <t>CB CRECIMIENTO - NUEVO</t>
        </is>
      </c>
      <c r="I425" t="inlineStr">
        <is>
          <t>ANTIOQUIA</t>
        </is>
      </c>
      <c r="J425" t="inlineStr">
        <is>
          <t>PUERTO BERRIO</t>
        </is>
      </c>
      <c r="K425" t="inlineStr">
        <is>
          <t>BARRIO CENTRO PUERTO BERRIO 9</t>
        </is>
      </c>
      <c r="L425" t="inlineStr">
        <is>
          <t>BANCOLOMBIA</t>
        </is>
      </c>
      <c r="M425" t="inlineStr">
        <is>
          <t>FO-25-1391078</t>
        </is>
      </c>
      <c r="N425" s="46" t="n">
        <v>45888.67291666667</v>
      </c>
      <c r="O425" s="46" t="n">
        <v>45891.30347222222</v>
      </c>
      <c r="P425" t="inlineStr">
        <is>
          <t>UNO A UNO</t>
        </is>
      </c>
      <c r="Q425" t="inlineStr">
        <is>
          <t>UNO A UNO</t>
        </is>
      </c>
      <c r="R425" t="inlineStr">
        <is>
          <t>EJECUTADO</t>
        </is>
      </c>
      <c r="S425" t="inlineStr">
        <is>
          <t>VISITA TECNICA</t>
        </is>
      </c>
      <c r="T425" t="inlineStr">
        <is>
          <t>SHZZZ029</t>
        </is>
      </c>
      <c r="U425" t="inlineStr">
        <is>
          <t>TIPO III</t>
        </is>
      </c>
      <c r="V425" t="inlineStr">
        <is>
          <t>TERRESTRE</t>
        </is>
      </c>
      <c r="W425" t="inlineStr">
        <is>
          <t>BARRIENTOS HERNANDEZ CRISTIAN HORACIO</t>
        </is>
      </c>
      <c r="X425" t="inlineStr">
        <is>
          <t>Si</t>
        </is>
      </c>
      <c r="Y425" t="inlineStr">
        <is>
          <t>Si</t>
        </is>
      </c>
      <c r="Z425" s="45" t="n">
        <v>0</v>
      </c>
      <c r="AA425" t="inlineStr">
        <is>
          <t>0</t>
        </is>
      </c>
      <c r="AB425" s="45" t="n">
        <v>248376</v>
      </c>
      <c r="AC425" s="45" t="n">
        <v>0</v>
      </c>
    </row>
    <row r="426">
      <c r="A426" t="inlineStr">
        <is>
          <t>BOGOTA</t>
        </is>
      </c>
      <c r="B426" t="inlineStr">
        <is>
          <t>CUNDINAMARCA</t>
        </is>
      </c>
      <c r="C426" t="inlineStr">
        <is>
          <t>0004-0004</t>
        </is>
      </c>
      <c r="D426" t="inlineStr">
        <is>
          <t>25473</t>
        </is>
      </c>
      <c r="E426" t="inlineStr">
        <is>
          <t>TA-25-982592</t>
        </is>
      </c>
      <c r="F426" t="inlineStr">
        <is>
          <t>3007080951</t>
        </is>
      </c>
      <c r="G426" t="inlineStr">
        <is>
          <t>APERTURA</t>
        </is>
      </c>
      <c r="H426" t="inlineStr">
        <is>
          <t>CB CRECIMIENTO - OTRAS LISTAS</t>
        </is>
      </c>
      <c r="I426" t="inlineStr">
        <is>
          <t>CUNDINAMARCA</t>
        </is>
      </c>
      <c r="J426" t="inlineStr">
        <is>
          <t>MOSQUERA</t>
        </is>
      </c>
      <c r="K426" t="inlineStr">
        <is>
          <t>BARRIO CENTRO MOSQUERA MOSQUERA</t>
        </is>
      </c>
      <c r="L426" t="inlineStr">
        <is>
          <t>BANCOLOMBIA</t>
        </is>
      </c>
      <c r="M426" t="inlineStr">
        <is>
          <t>FO-25-1391081</t>
        </is>
      </c>
      <c r="N426" s="46" t="n">
        <v>45888.725</v>
      </c>
      <c r="O426" s="46" t="n">
        <v>45890.31527777778</v>
      </c>
      <c r="P426" t="inlineStr">
        <is>
          <t>UNO A UNO</t>
        </is>
      </c>
      <c r="Q426" t="inlineStr">
        <is>
          <t>UNO A UNO</t>
        </is>
      </c>
      <c r="R426" t="inlineStr">
        <is>
          <t>EJECUTADO</t>
        </is>
      </c>
      <c r="S426" t="inlineStr">
        <is>
          <t>VISITA TECNICA</t>
        </is>
      </c>
      <c r="T426" t="inlineStr">
        <is>
          <t>SHZZZ030</t>
        </is>
      </c>
      <c r="U426" t="inlineStr">
        <is>
          <t>TIPO I</t>
        </is>
      </c>
      <c r="V426" t="inlineStr">
        <is>
          <t>TERRESTRE</t>
        </is>
      </c>
      <c r="W426" t="inlineStr">
        <is>
          <t>VEGA MANRIQUE JONATAN MAURICIO</t>
        </is>
      </c>
      <c r="X426" t="inlineStr">
        <is>
          <t>Si</t>
        </is>
      </c>
      <c r="Y426" t="inlineStr">
        <is>
          <t>Si</t>
        </is>
      </c>
      <c r="Z426" s="45" t="n">
        <v>0</v>
      </c>
      <c r="AA426" t="inlineStr">
        <is>
          <t>0</t>
        </is>
      </c>
      <c r="AB426" s="45" t="n">
        <v>194983</v>
      </c>
      <c r="AC426" s="45" t="n">
        <v>0</v>
      </c>
    </row>
    <row r="427">
      <c r="A427" t="inlineStr">
        <is>
          <t>CARTAGENA</t>
        </is>
      </c>
      <c r="B427" t="inlineStr">
        <is>
          <t>COSTA</t>
        </is>
      </c>
      <c r="C427" t="inlineStr">
        <is>
          <t>0004-0001</t>
        </is>
      </c>
      <c r="D427" t="inlineStr">
        <is>
          <t>13654</t>
        </is>
      </c>
      <c r="E427" t="inlineStr">
        <is>
          <t>TA-25-982593</t>
        </is>
      </c>
      <c r="F427" t="inlineStr">
        <is>
          <t>3007080965</t>
        </is>
      </c>
      <c r="G427" t="inlineStr">
        <is>
          <t>APERTURA</t>
        </is>
      </c>
      <c r="H427" t="inlineStr">
        <is>
          <t>CB CRECIMIENTO - OTRAS LISTAS</t>
        </is>
      </c>
      <c r="I427" t="inlineStr">
        <is>
          <t>BOLIVAR</t>
        </is>
      </c>
      <c r="J427" t="inlineStr">
        <is>
          <t>SAN JACINTO</t>
        </is>
      </c>
      <c r="K427" t="inlineStr">
        <is>
          <t>BARRIO CENTRO SAN JACINTO 3</t>
        </is>
      </c>
      <c r="L427" t="inlineStr">
        <is>
          <t>BANCOLOMBIA</t>
        </is>
      </c>
      <c r="M427" t="inlineStr">
        <is>
          <t>FO-25-1391088</t>
        </is>
      </c>
      <c r="N427" s="46" t="n">
        <v>45888.66180555556</v>
      </c>
      <c r="O427" s="46" t="n">
        <v>45889.63125</v>
      </c>
      <c r="P427" t="inlineStr">
        <is>
          <t>UNO A UNO</t>
        </is>
      </c>
      <c r="Q427" t="inlineStr">
        <is>
          <t>UNO A UNO</t>
        </is>
      </c>
      <c r="R427" t="inlineStr">
        <is>
          <t>EJECUTADO</t>
        </is>
      </c>
      <c r="S427" t="inlineStr">
        <is>
          <t>VISITA TECNICA</t>
        </is>
      </c>
      <c r="T427" t="inlineStr">
        <is>
          <t>SHZZZ031</t>
        </is>
      </c>
      <c r="U427" t="inlineStr">
        <is>
          <t>TIPO III</t>
        </is>
      </c>
      <c r="V427" t="inlineStr">
        <is>
          <t>TERRESTRE</t>
        </is>
      </c>
      <c r="W427" t="inlineStr">
        <is>
          <t>MARTINEZ SALGUEDO ANDRES AUGUSTO</t>
        </is>
      </c>
      <c r="X427" t="inlineStr">
        <is>
          <t>Si</t>
        </is>
      </c>
      <c r="Y427" t="inlineStr">
        <is>
          <t>Si</t>
        </is>
      </c>
      <c r="Z427" s="45" t="n">
        <v>0</v>
      </c>
      <c r="AA427" t="inlineStr">
        <is>
          <t>0</t>
        </is>
      </c>
      <c r="AB427" s="45" t="n">
        <v>248376</v>
      </c>
      <c r="AC427" s="45" t="n">
        <v>0</v>
      </c>
    </row>
    <row r="428">
      <c r="A428" t="inlineStr">
        <is>
          <t>APARTADO</t>
        </is>
      </c>
      <c r="B428" t="inlineStr">
        <is>
          <t>NOROCCIDENTE</t>
        </is>
      </c>
      <c r="C428" t="inlineStr">
        <is>
          <t>0004-0005</t>
        </is>
      </c>
      <c r="D428" t="inlineStr">
        <is>
          <t>27413</t>
        </is>
      </c>
      <c r="E428" t="inlineStr">
        <is>
          <t>TA-25-982594</t>
        </is>
      </c>
      <c r="F428" t="inlineStr">
        <is>
          <t>3007080973</t>
        </is>
      </c>
      <c r="G428" t="inlineStr">
        <is>
          <t>APERTURA</t>
        </is>
      </c>
      <c r="H428" t="inlineStr">
        <is>
          <t>CB CRECIMIENTO - OTRAS LISTAS</t>
        </is>
      </c>
      <c r="I428" t="inlineStr">
        <is>
          <t>CHOCO</t>
        </is>
      </c>
      <c r="J428" t="inlineStr">
        <is>
          <t>LLORO</t>
        </is>
      </c>
      <c r="K428" t="inlineStr">
        <is>
          <t>BARRIO NUEVO LLORO LLORO</t>
        </is>
      </c>
      <c r="L428" t="inlineStr">
        <is>
          <t>BANCOLOMBIA</t>
        </is>
      </c>
      <c r="M428" t="inlineStr">
        <is>
          <t>FO-25-1391091</t>
        </is>
      </c>
      <c r="N428" s="46" t="n">
        <v>45888.69861111111</v>
      </c>
      <c r="O428" s="46" t="n">
        <v>45897.6125</v>
      </c>
      <c r="P428" t="inlineStr">
        <is>
          <t>UNO A UNO</t>
        </is>
      </c>
      <c r="Q428" t="inlineStr">
        <is>
          <t>UNO A UNO</t>
        </is>
      </c>
      <c r="R428" t="inlineStr">
        <is>
          <t>EJECUTADO</t>
        </is>
      </c>
      <c r="S428" t="inlineStr">
        <is>
          <t>VISITA TECNICA</t>
        </is>
      </c>
      <c r="T428" t="inlineStr">
        <is>
          <t>SHZZZ032</t>
        </is>
      </c>
      <c r="U428" t="inlineStr">
        <is>
          <t>TIPO IV</t>
        </is>
      </c>
      <c r="V428" t="inlineStr">
        <is>
          <t>TERRESTRE</t>
        </is>
      </c>
      <c r="W428" t="inlineStr">
        <is>
          <t>ROBLEDO DIAZ ANDRES FELIPE</t>
        </is>
      </c>
      <c r="X428" t="inlineStr">
        <is>
          <t>Si</t>
        </is>
      </c>
      <c r="Y428" t="inlineStr">
        <is>
          <t>Si</t>
        </is>
      </c>
      <c r="Z428" s="45" t="n">
        <v>0</v>
      </c>
      <c r="AA428" t="inlineStr">
        <is>
          <t>0</t>
        </is>
      </c>
      <c r="AB428" s="45" t="n">
        <v>248376</v>
      </c>
      <c r="AC428" s="45" t="n">
        <v>0</v>
      </c>
    </row>
    <row r="429">
      <c r="A429" t="inlineStr">
        <is>
          <t>BUCARAMANGA</t>
        </is>
      </c>
      <c r="B429" t="inlineStr">
        <is>
          <t>SANTANDERES</t>
        </is>
      </c>
      <c r="C429" t="inlineStr">
        <is>
          <t>0004-0008</t>
        </is>
      </c>
      <c r="D429" t="inlineStr">
        <is>
          <t>68276</t>
        </is>
      </c>
      <c r="E429" t="inlineStr">
        <is>
          <t>TA-25-982600</t>
        </is>
      </c>
      <c r="F429" t="inlineStr">
        <is>
          <t>3007081075</t>
        </is>
      </c>
      <c r="G429" t="inlineStr">
        <is>
          <t>APERTURA</t>
        </is>
      </c>
      <c r="H429" t="inlineStr">
        <is>
          <t>CB CRECIMIENTO - NUEVO</t>
        </is>
      </c>
      <c r="I429" t="inlineStr">
        <is>
          <t>SANTANDER</t>
        </is>
      </c>
      <c r="J429" t="inlineStr">
        <is>
          <t>FLORIDABLANCA</t>
        </is>
      </c>
      <c r="K429" t="inlineStr">
        <is>
          <t>BARRIO LA CUMBRE FLORIDABLANCA  12</t>
        </is>
      </c>
      <c r="L429" t="inlineStr">
        <is>
          <t>BANCOLOMBIA</t>
        </is>
      </c>
      <c r="M429" t="inlineStr">
        <is>
          <t>FO-25-1391123</t>
        </is>
      </c>
      <c r="N429" s="46" t="n">
        <v>45888.62777777778</v>
      </c>
      <c r="O429" s="46" t="n">
        <v>45889.57291666666</v>
      </c>
      <c r="P429" t="inlineStr">
        <is>
          <t>UNO A UNO</t>
        </is>
      </c>
      <c r="Q429" t="inlineStr">
        <is>
          <t>UNO A UNO</t>
        </is>
      </c>
      <c r="R429" t="inlineStr">
        <is>
          <t>EJECUTADO</t>
        </is>
      </c>
      <c r="S429" t="inlineStr">
        <is>
          <t>VISITA TECNICA</t>
        </is>
      </c>
      <c r="T429" t="inlineStr">
        <is>
          <t>SHZZZ001</t>
        </is>
      </c>
      <c r="U429" t="inlineStr">
        <is>
          <t>TIPO I</t>
        </is>
      </c>
      <c r="V429" t="inlineStr">
        <is>
          <t>TERRESTRE</t>
        </is>
      </c>
      <c r="W429" t="inlineStr">
        <is>
          <t>GELVEZ MOGOLLON JOSE ELISEO</t>
        </is>
      </c>
      <c r="X429" t="inlineStr">
        <is>
          <t>Si</t>
        </is>
      </c>
      <c r="Y429" t="inlineStr">
        <is>
          <t>Si</t>
        </is>
      </c>
      <c r="Z429" s="45" t="n">
        <v>0</v>
      </c>
      <c r="AA429" t="inlineStr">
        <is>
          <t>0</t>
        </is>
      </c>
      <c r="AB429" s="45" t="n">
        <v>194983</v>
      </c>
      <c r="AC429" s="45" t="n">
        <v>0</v>
      </c>
    </row>
    <row r="430">
      <c r="A430" t="inlineStr">
        <is>
          <t>MEDELLIN</t>
        </is>
      </c>
      <c r="B430" t="inlineStr">
        <is>
          <t>NOROCCIDENTE</t>
        </is>
      </c>
      <c r="C430" t="inlineStr">
        <is>
          <t>0004-0005</t>
        </is>
      </c>
      <c r="D430" t="inlineStr">
        <is>
          <t>5001</t>
        </is>
      </c>
      <c r="E430" t="inlineStr">
        <is>
          <t>TA-25-983250</t>
        </is>
      </c>
      <c r="F430" t="inlineStr">
        <is>
          <t>3007081048</t>
        </is>
      </c>
      <c r="G430" t="inlineStr">
        <is>
          <t>APERTURA</t>
        </is>
      </c>
      <c r="H430" t="inlineStr">
        <is>
          <t>CB CRECIMIENTO ALIANZA - NUEVO</t>
        </is>
      </c>
      <c r="I430" t="inlineStr">
        <is>
          <t>ANTIOQUIA</t>
        </is>
      </c>
      <c r="J430" t="inlineStr">
        <is>
          <t>MEDELLIN</t>
        </is>
      </c>
      <c r="K430" t="inlineStr">
        <is>
          <t>PTM MEDELLIN TODOENUNO</t>
        </is>
      </c>
      <c r="L430" t="inlineStr">
        <is>
          <t>BANCOLOMBIA</t>
        </is>
      </c>
      <c r="M430" t="inlineStr">
        <is>
          <t>FO-25-1392146</t>
        </is>
      </c>
      <c r="N430" s="46" t="n">
        <v>45888.67222222222</v>
      </c>
      <c r="O430" s="46" t="n">
        <v>45889.66458333333</v>
      </c>
      <c r="P430" t="inlineStr">
        <is>
          <t>AGREGADOR</t>
        </is>
      </c>
      <c r="Q430" t="inlineStr">
        <is>
          <t>COMCARD - PTM</t>
        </is>
      </c>
      <c r="R430" t="inlineStr">
        <is>
          <t>EJECUTADO</t>
        </is>
      </c>
      <c r="S430" t="inlineStr">
        <is>
          <t>VISITA TECNICA</t>
        </is>
      </c>
      <c r="T430" t="inlineStr">
        <is>
          <t>SGZZZ959-SGZZZ604</t>
        </is>
      </c>
      <c r="U430" t="inlineStr">
        <is>
          <t>TIPO I</t>
        </is>
      </c>
      <c r="V430" t="inlineStr">
        <is>
          <t>TERRESTRE</t>
        </is>
      </c>
      <c r="W430" t="inlineStr">
        <is>
          <t>ALVAREZ ARENAS VICTOR HUGO</t>
        </is>
      </c>
      <c r="X430" t="inlineStr">
        <is>
          <t>Si</t>
        </is>
      </c>
      <c r="Y430" t="inlineStr">
        <is>
          <t>Si</t>
        </is>
      </c>
      <c r="Z430" s="45" t="n">
        <v>0</v>
      </c>
      <c r="AA430" t="inlineStr">
        <is>
          <t>0</t>
        </is>
      </c>
      <c r="AB430" s="45" t="n">
        <v>194983</v>
      </c>
      <c r="AC430" s="45" t="n">
        <v>0</v>
      </c>
    </row>
    <row r="431">
      <c r="A431" t="inlineStr">
        <is>
          <t>BOGOTA</t>
        </is>
      </c>
      <c r="B431" t="inlineStr">
        <is>
          <t>CUNDINAMARCA</t>
        </is>
      </c>
      <c r="C431" t="inlineStr">
        <is>
          <t>0004-0004</t>
        </is>
      </c>
      <c r="D431" t="inlineStr">
        <is>
          <t>25754</t>
        </is>
      </c>
      <c r="E431" t="inlineStr">
        <is>
          <t>TA-25-983251</t>
        </is>
      </c>
      <c r="F431" t="inlineStr">
        <is>
          <t>3007081047</t>
        </is>
      </c>
      <c r="G431" t="inlineStr">
        <is>
          <t>APERTURA</t>
        </is>
      </c>
      <c r="H431" t="inlineStr">
        <is>
          <t>CB CRECIMIENTO ALIANZA - NUEVO</t>
        </is>
      </c>
      <c r="I431" t="inlineStr">
        <is>
          <t>CUNDINAMARCA</t>
        </is>
      </c>
      <c r="J431" t="inlineStr">
        <is>
          <t>SOACHA</t>
        </is>
      </c>
      <c r="K431" t="inlineStr">
        <is>
          <t>PTM SOACHA TIENDA DISEAS</t>
        </is>
      </c>
      <c r="L431" t="inlineStr">
        <is>
          <t>BANCOLOMBIA</t>
        </is>
      </c>
      <c r="M431" t="inlineStr">
        <is>
          <t>FO-25-1392149</t>
        </is>
      </c>
      <c r="N431" s="46" t="n">
        <v>45888.725</v>
      </c>
      <c r="O431" s="46" t="n">
        <v>45889.58958333333</v>
      </c>
      <c r="P431" t="inlineStr">
        <is>
          <t>AGREGADOR</t>
        </is>
      </c>
      <c r="Q431" t="inlineStr">
        <is>
          <t>COMCARD - PTM</t>
        </is>
      </c>
      <c r="R431" t="inlineStr">
        <is>
          <t>EJECUTADO</t>
        </is>
      </c>
      <c r="S431" t="inlineStr">
        <is>
          <t>VISITA TECNICA</t>
        </is>
      </c>
      <c r="T431" t="inlineStr">
        <is>
          <t>SGZZZ960 - SGZZZ605</t>
        </is>
      </c>
      <c r="U431" t="inlineStr">
        <is>
          <t>TIPO I</t>
        </is>
      </c>
      <c r="V431" t="inlineStr">
        <is>
          <t>TERRESTRE</t>
        </is>
      </c>
      <c r="W431" t="inlineStr">
        <is>
          <t>GOMEZ VEGA DAVID SNEYDER</t>
        </is>
      </c>
      <c r="X431" t="inlineStr">
        <is>
          <t>Si</t>
        </is>
      </c>
      <c r="Y431" t="inlineStr">
        <is>
          <t>Si</t>
        </is>
      </c>
      <c r="Z431" s="45" t="n">
        <v>0</v>
      </c>
      <c r="AA431" t="inlineStr">
        <is>
          <t>0</t>
        </is>
      </c>
      <c r="AB431" s="45" t="n">
        <v>194983</v>
      </c>
      <c r="AC431" s="45" t="n">
        <v>0</v>
      </c>
    </row>
    <row r="432">
      <c r="A432" t="inlineStr">
        <is>
          <t>BUCARAMANGA</t>
        </is>
      </c>
      <c r="B432" t="inlineStr">
        <is>
          <t>SANTANDERES</t>
        </is>
      </c>
      <c r="C432" t="inlineStr">
        <is>
          <t>0004-0008</t>
        </is>
      </c>
      <c r="D432" t="inlineStr">
        <is>
          <t>68001</t>
        </is>
      </c>
      <c r="E432" t="inlineStr">
        <is>
          <t>TA-25-983254</t>
        </is>
      </c>
      <c r="F432" t="inlineStr">
        <is>
          <t>3007081046</t>
        </is>
      </c>
      <c r="G432" t="inlineStr">
        <is>
          <t>APERTURA</t>
        </is>
      </c>
      <c r="H432" t="inlineStr">
        <is>
          <t>CB CRECIMIENTO ALIANZA - NUEVO</t>
        </is>
      </c>
      <c r="I432" t="inlineStr">
        <is>
          <t>SANTANDER</t>
        </is>
      </c>
      <c r="J432" t="inlineStr">
        <is>
          <t>BUCARAMANGA</t>
        </is>
      </c>
      <c r="K432" t="inlineStr">
        <is>
          <t>PTM BUCARAMANGA FERREMUEBLES S</t>
        </is>
      </c>
      <c r="L432" t="inlineStr">
        <is>
          <t>BANCOLOMBIA</t>
        </is>
      </c>
      <c r="M432" t="inlineStr">
        <is>
          <t>FO-25-1392155</t>
        </is>
      </c>
      <c r="N432" s="46" t="n">
        <v>45888.62777777778</v>
      </c>
      <c r="O432" s="46" t="n">
        <v>45890.28819444445</v>
      </c>
      <c r="P432" t="inlineStr">
        <is>
          <t>AGREGADOR</t>
        </is>
      </c>
      <c r="Q432" t="inlineStr">
        <is>
          <t>COMCARD - PTM</t>
        </is>
      </c>
      <c r="R432" t="inlineStr">
        <is>
          <t>EJECUTADO</t>
        </is>
      </c>
      <c r="S432" t="inlineStr">
        <is>
          <t>VISITA TECNICA</t>
        </is>
      </c>
      <c r="T432" t="inlineStr">
        <is>
          <t>SGZZZ961-SGZZZ607</t>
        </is>
      </c>
      <c r="U432" t="inlineStr">
        <is>
          <t>TIPO I</t>
        </is>
      </c>
      <c r="V432" t="inlineStr">
        <is>
          <t>TERRESTRE</t>
        </is>
      </c>
      <c r="W432" t="inlineStr">
        <is>
          <t>HERRERA LUQUE SAUL JAVIER</t>
        </is>
      </c>
      <c r="X432" t="inlineStr">
        <is>
          <t>Si</t>
        </is>
      </c>
      <c r="Y432" t="inlineStr">
        <is>
          <t>Si</t>
        </is>
      </c>
      <c r="Z432" s="45" t="n">
        <v>0</v>
      </c>
      <c r="AA432" t="inlineStr">
        <is>
          <t>0</t>
        </is>
      </c>
      <c r="AB432" s="45" t="n">
        <v>194983</v>
      </c>
      <c r="AC432" s="45" t="n">
        <v>0</v>
      </c>
    </row>
    <row r="433">
      <c r="A433" t="inlineStr">
        <is>
          <t>CARTAGENA</t>
        </is>
      </c>
      <c r="B433" t="inlineStr">
        <is>
          <t>COSTA</t>
        </is>
      </c>
      <c r="C433" t="inlineStr">
        <is>
          <t>0004-0001</t>
        </is>
      </c>
      <c r="D433" t="inlineStr">
        <is>
          <t>13442</t>
        </is>
      </c>
      <c r="E433" t="inlineStr">
        <is>
          <t>TA-25-992097</t>
        </is>
      </c>
      <c r="F433" t="inlineStr">
        <is>
          <t>3007081146</t>
        </is>
      </c>
      <c r="G433" t="inlineStr">
        <is>
          <t>APERTURA</t>
        </is>
      </c>
      <c r="H433" t="inlineStr">
        <is>
          <t>CB CRECIMIENTO - NUEVO</t>
        </is>
      </c>
      <c r="I433" t="inlineStr">
        <is>
          <t>BOLIVAR</t>
        </is>
      </c>
      <c r="J433" t="inlineStr">
        <is>
          <t>MARIA LA BAJA</t>
        </is>
      </c>
      <c r="K433" t="inlineStr">
        <is>
          <t>BARRIO ARROYO ABAJO MARÍA LA BAJA</t>
        </is>
      </c>
      <c r="L433" t="inlineStr">
        <is>
          <t>BANCOLOMBIA</t>
        </is>
      </c>
      <c r="M433" t="inlineStr">
        <is>
          <t>FO-25-1402155</t>
        </is>
      </c>
      <c r="N433" s="46" t="n">
        <v>45890.60625</v>
      </c>
      <c r="O433" s="46" t="n">
        <v>45891.62361111111</v>
      </c>
      <c r="P433" t="inlineStr">
        <is>
          <t>UNO A UNO</t>
        </is>
      </c>
      <c r="Q433" t="inlineStr">
        <is>
          <t>UNO A UNO</t>
        </is>
      </c>
      <c r="R433" t="inlineStr">
        <is>
          <t>EJECUTADO</t>
        </is>
      </c>
      <c r="S433" t="inlineStr">
        <is>
          <t>VISITA TECNICA</t>
        </is>
      </c>
      <c r="T433" t="inlineStr">
        <is>
          <t>SIZZZ880</t>
        </is>
      </c>
      <c r="U433" t="inlineStr">
        <is>
          <t>TIPO II</t>
        </is>
      </c>
      <c r="V433" t="inlineStr">
        <is>
          <t>TERRESTRE</t>
        </is>
      </c>
      <c r="W433" t="inlineStr">
        <is>
          <t>MARTINEZ SALGUEDO ANDRES AUGUSTO</t>
        </is>
      </c>
      <c r="X433" t="inlineStr">
        <is>
          <t>Si</t>
        </is>
      </c>
      <c r="Y433" t="inlineStr">
        <is>
          <t>Si</t>
        </is>
      </c>
      <c r="Z433" s="45" t="n">
        <v>0</v>
      </c>
      <c r="AA433" t="inlineStr">
        <is>
          <t>0</t>
        </is>
      </c>
      <c r="AB433" s="45" t="n">
        <v>248376</v>
      </c>
      <c r="AC433" s="45" t="n">
        <v>0</v>
      </c>
    </row>
    <row r="434">
      <c r="A434" t="inlineStr">
        <is>
          <t>PASTO</t>
        </is>
      </c>
      <c r="B434" t="inlineStr">
        <is>
          <t>SUROCCIDENTE Y EJE CAFETERO</t>
        </is>
      </c>
      <c r="C434" t="inlineStr">
        <is>
          <t>0004-0003</t>
        </is>
      </c>
      <c r="D434" t="inlineStr">
        <is>
          <t>52520</t>
        </is>
      </c>
      <c r="E434" t="inlineStr">
        <is>
          <t>TA-25-992098</t>
        </is>
      </c>
      <c r="F434" t="inlineStr">
        <is>
          <t>3007081135</t>
        </is>
      </c>
      <c r="G434" t="inlineStr">
        <is>
          <t>APERTURA</t>
        </is>
      </c>
      <c r="H434" t="inlineStr">
        <is>
          <t>CB CRECIMIENTO - NUEVO</t>
        </is>
      </c>
      <c r="I434" t="inlineStr">
        <is>
          <t>NARIÑO</t>
        </is>
      </c>
      <c r="J434" t="inlineStr">
        <is>
          <t>FRANCISCO PIZARRO</t>
        </is>
      </c>
      <c r="K434" t="inlineStr">
        <is>
          <t>BARRIO AV LOS ESTUDIANTES FRANCISCO PIZARRO</t>
        </is>
      </c>
      <c r="L434" t="inlineStr">
        <is>
          <t>BANCOLOMBIA</t>
        </is>
      </c>
      <c r="M434" t="inlineStr">
        <is>
          <t>FO-25-1402160</t>
        </is>
      </c>
      <c r="N434" s="46" t="n">
        <v>45890.65277777778</v>
      </c>
      <c r="O434" s="46" t="n">
        <v>45896.53888888889</v>
      </c>
      <c r="P434" t="inlineStr">
        <is>
          <t>UNO A UNO</t>
        </is>
      </c>
      <c r="Q434" t="inlineStr">
        <is>
          <t>UNO A UNO</t>
        </is>
      </c>
      <c r="R434" t="inlineStr">
        <is>
          <t>EJECUTADO</t>
        </is>
      </c>
      <c r="S434" t="inlineStr">
        <is>
          <t>VISITA TECNICA</t>
        </is>
      </c>
      <c r="T434" t="inlineStr">
        <is>
          <t>SIZZZ881</t>
        </is>
      </c>
      <c r="U434" t="inlineStr">
        <is>
          <t>TIPO IV ESPECIAL</t>
        </is>
      </c>
      <c r="V434" t="inlineStr">
        <is>
          <t>FLUVIAL</t>
        </is>
      </c>
      <c r="W434" t="inlineStr">
        <is>
          <t>PAZ MARTINEZ RICHARD HUMBERTO</t>
        </is>
      </c>
      <c r="X434" t="inlineStr">
        <is>
          <t>Si</t>
        </is>
      </c>
      <c r="Y434" t="inlineStr">
        <is>
          <t>Si</t>
        </is>
      </c>
      <c r="Z434" s="45" t="n">
        <v>0</v>
      </c>
      <c r="AA434" t="inlineStr">
        <is>
          <t>0</t>
        </is>
      </c>
      <c r="AB434" s="45" t="n">
        <v>248376</v>
      </c>
      <c r="AC434" s="45" t="n">
        <v>0</v>
      </c>
    </row>
    <row r="435">
      <c r="A435" t="inlineStr">
        <is>
          <t>MEDELLIN</t>
        </is>
      </c>
      <c r="B435" t="inlineStr">
        <is>
          <t>NOROCCIDENTE</t>
        </is>
      </c>
      <c r="C435" t="inlineStr">
        <is>
          <t>0004-0005</t>
        </is>
      </c>
      <c r="D435" t="inlineStr">
        <is>
          <t>5086</t>
        </is>
      </c>
      <c r="E435" t="inlineStr">
        <is>
          <t>TA-25-992099</t>
        </is>
      </c>
      <c r="F435" t="inlineStr">
        <is>
          <t>3007081138</t>
        </is>
      </c>
      <c r="G435" t="inlineStr">
        <is>
          <t>APERTURA</t>
        </is>
      </c>
      <c r="H435" t="inlineStr">
        <is>
          <t>CB CRECIMIENTO - NUEVO</t>
        </is>
      </c>
      <c r="I435" t="inlineStr">
        <is>
          <t>ANTIOQUIA</t>
        </is>
      </c>
      <c r="J435" t="inlineStr">
        <is>
          <t>BELMIRA</t>
        </is>
      </c>
      <c r="K435" t="inlineStr">
        <is>
          <t>BARRIO BELMIRA BELMIRA</t>
        </is>
      </c>
      <c r="L435" t="inlineStr">
        <is>
          <t>BANCOLOMBIA</t>
        </is>
      </c>
      <c r="M435" t="inlineStr">
        <is>
          <t>FO-25-1402165</t>
        </is>
      </c>
      <c r="N435" s="46" t="n">
        <v>45890.65277777778</v>
      </c>
      <c r="O435" s="46" t="n">
        <v>45895.27777777778</v>
      </c>
      <c r="P435" t="inlineStr">
        <is>
          <t>UNO A UNO</t>
        </is>
      </c>
      <c r="Q435" t="inlineStr">
        <is>
          <t>UNO A UNO</t>
        </is>
      </c>
      <c r="R435" t="inlineStr">
        <is>
          <t>EJECUTADO</t>
        </is>
      </c>
      <c r="S435" t="inlineStr">
        <is>
          <t>VISITA TECNICA</t>
        </is>
      </c>
      <c r="T435" t="inlineStr">
        <is>
          <t>SIZZZ882</t>
        </is>
      </c>
      <c r="U435" t="inlineStr">
        <is>
          <t>TIPO II</t>
        </is>
      </c>
      <c r="V435" t="inlineStr">
        <is>
          <t>TERRESTRE</t>
        </is>
      </c>
      <c r="W435" t="inlineStr">
        <is>
          <t>QUINTERO SANCHEZ JUAN SEBASTIAN</t>
        </is>
      </c>
      <c r="X435" t="inlineStr">
        <is>
          <t>Si</t>
        </is>
      </c>
      <c r="Y435" t="inlineStr">
        <is>
          <t>Si</t>
        </is>
      </c>
      <c r="Z435" s="45" t="n">
        <v>0</v>
      </c>
      <c r="AA435" t="inlineStr">
        <is>
          <t>0</t>
        </is>
      </c>
      <c r="AB435" s="45" t="n">
        <v>248376</v>
      </c>
      <c r="AC435" s="45" t="n">
        <v>0</v>
      </c>
    </row>
    <row r="436">
      <c r="A436" t="inlineStr">
        <is>
          <t>CARTAGENA</t>
        </is>
      </c>
      <c r="B436" t="inlineStr">
        <is>
          <t>COSTA</t>
        </is>
      </c>
      <c r="C436" t="inlineStr">
        <is>
          <t>0004-0001</t>
        </is>
      </c>
      <c r="D436" t="inlineStr">
        <is>
          <t>13001</t>
        </is>
      </c>
      <c r="E436" t="inlineStr">
        <is>
          <t>TA-25-992101</t>
        </is>
      </c>
      <c r="F436" t="inlineStr">
        <is>
          <t>3007081125</t>
        </is>
      </c>
      <c r="G436" t="inlineStr">
        <is>
          <t>APERTURA</t>
        </is>
      </c>
      <c r="H436" t="inlineStr">
        <is>
          <t>CB CRECIMIENTO - NUEVO</t>
        </is>
      </c>
      <c r="I436" t="inlineStr">
        <is>
          <t>BOLIVAR</t>
        </is>
      </c>
      <c r="J436" t="inlineStr">
        <is>
          <t>CARTAGENA</t>
        </is>
      </c>
      <c r="K436" t="inlineStr">
        <is>
          <t>BARRIO BICENTENARIO CARTAGENA DE INDIAS 5</t>
        </is>
      </c>
      <c r="L436" t="inlineStr">
        <is>
          <t>BANCOLOMBIA</t>
        </is>
      </c>
      <c r="M436" t="inlineStr">
        <is>
          <t>FO-25-1402167</t>
        </is>
      </c>
      <c r="N436" s="46" t="n">
        <v>45890.60694444444</v>
      </c>
      <c r="O436" s="46" t="n">
        <v>45895.28055555555</v>
      </c>
      <c r="P436" t="inlineStr">
        <is>
          <t>UNO A UNO</t>
        </is>
      </c>
      <c r="Q436" t="inlineStr">
        <is>
          <t>UNO A UNO</t>
        </is>
      </c>
      <c r="R436" t="inlineStr">
        <is>
          <t>EJECUTADO</t>
        </is>
      </c>
      <c r="S436" t="inlineStr">
        <is>
          <t>VISITA TECNICA</t>
        </is>
      </c>
      <c r="T436" t="inlineStr">
        <is>
          <t>SIZZZ883</t>
        </is>
      </c>
      <c r="U436" t="inlineStr">
        <is>
          <t>TIPO I</t>
        </is>
      </c>
      <c r="V436" t="inlineStr">
        <is>
          <t>TERRESTRE</t>
        </is>
      </c>
      <c r="W436" t="inlineStr">
        <is>
          <t>CANEDO HERRERA ALEXANDER</t>
        </is>
      </c>
      <c r="X436" t="inlineStr">
        <is>
          <t>Si</t>
        </is>
      </c>
      <c r="Y436" t="inlineStr">
        <is>
          <t>Si</t>
        </is>
      </c>
      <c r="Z436" s="45" t="n">
        <v>0</v>
      </c>
      <c r="AA436" t="inlineStr">
        <is>
          <t>0</t>
        </is>
      </c>
      <c r="AB436" s="45" t="n">
        <v>194983</v>
      </c>
      <c r="AC436" s="45" t="n">
        <v>0</v>
      </c>
    </row>
    <row r="437">
      <c r="A437" t="inlineStr">
        <is>
          <t>MEDELLIN</t>
        </is>
      </c>
      <c r="B437" t="inlineStr">
        <is>
          <t>NOROCCIDENTE</t>
        </is>
      </c>
      <c r="C437" t="inlineStr">
        <is>
          <t>0004-0005</t>
        </is>
      </c>
      <c r="D437" t="inlineStr">
        <is>
          <t>5697</t>
        </is>
      </c>
      <c r="E437" t="inlineStr">
        <is>
          <t>TA-25-992105</t>
        </is>
      </c>
      <c r="F437" t="inlineStr">
        <is>
          <t>3007081160</t>
        </is>
      </c>
      <c r="G437" t="inlineStr">
        <is>
          <t>APERTURA</t>
        </is>
      </c>
      <c r="H437" t="inlineStr">
        <is>
          <t>CB CRECIMIENTO - NUEVO</t>
        </is>
      </c>
      <c r="I437" t="inlineStr">
        <is>
          <t>ANTIOQUIA</t>
        </is>
      </c>
      <c r="J437" t="inlineStr">
        <is>
          <t>EL SANTUARIO</t>
        </is>
      </c>
      <c r="K437" t="inlineStr">
        <is>
          <t>BARRIO BUENOS AIRES EL SANTUARIO</t>
        </is>
      </c>
      <c r="L437" t="inlineStr">
        <is>
          <t>BANCOLOMBIA</t>
        </is>
      </c>
      <c r="M437" t="inlineStr">
        <is>
          <t>FO-25-1402175</t>
        </is>
      </c>
      <c r="N437" s="46" t="n">
        <v>45890.65277777778</v>
      </c>
      <c r="O437" s="46" t="n">
        <v>45894.60069444445</v>
      </c>
      <c r="P437" t="inlineStr">
        <is>
          <t>UNO A UNO</t>
        </is>
      </c>
      <c r="Q437" t="inlineStr">
        <is>
          <t>UNO A UNO</t>
        </is>
      </c>
      <c r="R437" t="inlineStr">
        <is>
          <t>EJECUTADO</t>
        </is>
      </c>
      <c r="S437" t="inlineStr">
        <is>
          <t>VISITA TECNICA</t>
        </is>
      </c>
      <c r="T437" t="inlineStr">
        <is>
          <t>SIZZZ884</t>
        </is>
      </c>
      <c r="U437" t="inlineStr">
        <is>
          <t>TIPO II</t>
        </is>
      </c>
      <c r="V437" t="inlineStr">
        <is>
          <t>TERRESTRE</t>
        </is>
      </c>
      <c r="W437" t="inlineStr">
        <is>
          <t>ZAPATA LOPEZ EDWARD ASDRUBAL</t>
        </is>
      </c>
      <c r="X437" t="inlineStr">
        <is>
          <t>Si</t>
        </is>
      </c>
      <c r="Y437" t="inlineStr">
        <is>
          <t>Si</t>
        </is>
      </c>
      <c r="Z437" s="45" t="n">
        <v>0</v>
      </c>
      <c r="AA437" t="inlineStr">
        <is>
          <t>0</t>
        </is>
      </c>
      <c r="AB437" s="45" t="n">
        <v>248376</v>
      </c>
      <c r="AC437" s="45" t="n">
        <v>0</v>
      </c>
    </row>
    <row r="438">
      <c r="A438" t="inlineStr">
        <is>
          <t>MANIZALES</t>
        </is>
      </c>
      <c r="B438" t="inlineStr">
        <is>
          <t>SUROCCIDENTE Y EJE CAFETERO</t>
        </is>
      </c>
      <c r="C438" t="inlineStr">
        <is>
          <t>0004-0002</t>
        </is>
      </c>
      <c r="D438" t="inlineStr">
        <is>
          <t>17001</t>
        </is>
      </c>
      <c r="E438" t="inlineStr">
        <is>
          <t>TA-25-992108</t>
        </is>
      </c>
      <c r="F438" t="inlineStr">
        <is>
          <t>3007081142</t>
        </is>
      </c>
      <c r="G438" t="inlineStr">
        <is>
          <t>APERTURA</t>
        </is>
      </c>
      <c r="H438" t="inlineStr">
        <is>
          <t>CB CRECIMIENTO - NUEVO</t>
        </is>
      </c>
      <c r="I438" t="inlineStr">
        <is>
          <t>CALDAS</t>
        </is>
      </c>
      <c r="J438" t="inlineStr">
        <is>
          <t>MANIZALES</t>
        </is>
      </c>
      <c r="K438" t="inlineStr">
        <is>
          <t>BARRIO CARIBE MANIZALES 1</t>
        </is>
      </c>
      <c r="L438" t="inlineStr">
        <is>
          <t>BANCOLOMBIA</t>
        </is>
      </c>
      <c r="M438" t="inlineStr">
        <is>
          <t>FO-25-1402185</t>
        </is>
      </c>
      <c r="N438" s="46" t="n">
        <v>45890.64652777778</v>
      </c>
      <c r="O438" s="46" t="n">
        <v>45891.55138888889</v>
      </c>
      <c r="P438" t="inlineStr">
        <is>
          <t>UNO A UNO</t>
        </is>
      </c>
      <c r="Q438" t="inlineStr">
        <is>
          <t>UNO A UNO</t>
        </is>
      </c>
      <c r="R438" t="inlineStr">
        <is>
          <t>EJECUTADO</t>
        </is>
      </c>
      <c r="S438" t="inlineStr">
        <is>
          <t>VISITA TECNICA</t>
        </is>
      </c>
      <c r="T438" t="inlineStr">
        <is>
          <t>SIZZZ885</t>
        </is>
      </c>
      <c r="U438" t="inlineStr">
        <is>
          <t>TIPO I</t>
        </is>
      </c>
      <c r="V438" t="inlineStr">
        <is>
          <t>TERRESTRE</t>
        </is>
      </c>
      <c r="W438" t="inlineStr">
        <is>
          <t>AGUIRRE HENAO RAUL EDUARDO</t>
        </is>
      </c>
      <c r="X438" t="inlineStr">
        <is>
          <t>Si</t>
        </is>
      </c>
      <c r="Y438" t="inlineStr">
        <is>
          <t>Si</t>
        </is>
      </c>
      <c r="Z438" s="45" t="n">
        <v>0</v>
      </c>
      <c r="AA438" t="inlineStr">
        <is>
          <t>0</t>
        </is>
      </c>
      <c r="AB438" s="45" t="n">
        <v>194983</v>
      </c>
      <c r="AC438" s="45" t="n">
        <v>0</v>
      </c>
    </row>
    <row r="439">
      <c r="A439" t="inlineStr">
        <is>
          <t>BOGOTA</t>
        </is>
      </c>
      <c r="B439" t="inlineStr">
        <is>
          <t>CUNDINAMARCA</t>
        </is>
      </c>
      <c r="C439" t="inlineStr">
        <is>
          <t>0004-0004</t>
        </is>
      </c>
      <c r="D439" t="inlineStr">
        <is>
          <t>25053</t>
        </is>
      </c>
      <c r="E439" t="inlineStr">
        <is>
          <t>TA-25-992109</t>
        </is>
      </c>
      <c r="F439" t="inlineStr">
        <is>
          <t>3007081137</t>
        </is>
      </c>
      <c r="G439" t="inlineStr">
        <is>
          <t>APERTURA</t>
        </is>
      </c>
      <c r="H439" t="inlineStr">
        <is>
          <t>CB CRECIMIENTO - NUEVO</t>
        </is>
      </c>
      <c r="I439" t="inlineStr">
        <is>
          <t>CUNDINAMARCA</t>
        </is>
      </c>
      <c r="J439" t="inlineStr">
        <is>
          <t>ARBELAEZ</t>
        </is>
      </c>
      <c r="K439" t="inlineStr">
        <is>
          <t>BARRIO CENTRO ARBELAEZ 1</t>
        </is>
      </c>
      <c r="L439" t="inlineStr">
        <is>
          <t>BANCOLOMBIA</t>
        </is>
      </c>
      <c r="M439" t="inlineStr">
        <is>
          <t>FO-25-1402191</t>
        </is>
      </c>
      <c r="N439" s="46" t="n">
        <v>45890.7625</v>
      </c>
      <c r="O439" s="46" t="n">
        <v>45894.60277777778</v>
      </c>
      <c r="P439" t="inlineStr">
        <is>
          <t>UNO A UNO</t>
        </is>
      </c>
      <c r="Q439" t="inlineStr">
        <is>
          <t>UNO A UNO</t>
        </is>
      </c>
      <c r="R439" t="inlineStr">
        <is>
          <t>EJECUTADO</t>
        </is>
      </c>
      <c r="S439" t="inlineStr">
        <is>
          <t>VISITA TECNICA</t>
        </is>
      </c>
      <c r="T439" t="inlineStr">
        <is>
          <t>SIZZZ886</t>
        </is>
      </c>
      <c r="U439" t="inlineStr">
        <is>
          <t>TIPO II</t>
        </is>
      </c>
      <c r="V439" t="inlineStr">
        <is>
          <t>TERRESTRE</t>
        </is>
      </c>
      <c r="W439" t="inlineStr">
        <is>
          <t>ORTIZ MARTINEZ STIVEN</t>
        </is>
      </c>
      <c r="X439" t="inlineStr">
        <is>
          <t>Si</t>
        </is>
      </c>
      <c r="Y439" t="inlineStr">
        <is>
          <t>Si</t>
        </is>
      </c>
      <c r="Z439" s="45" t="n">
        <v>0</v>
      </c>
      <c r="AA439" t="inlineStr">
        <is>
          <t>0</t>
        </is>
      </c>
      <c r="AB439" s="45" t="n">
        <v>248376</v>
      </c>
      <c r="AC439" s="45" t="n">
        <v>0</v>
      </c>
    </row>
    <row r="440">
      <c r="A440" t="inlineStr">
        <is>
          <t>VILLAVICENCIO</t>
        </is>
      </c>
      <c r="B440" t="inlineStr">
        <is>
          <t>REMOTAS</t>
        </is>
      </c>
      <c r="C440" t="inlineStr">
        <is>
          <t>0004-0007</t>
        </is>
      </c>
      <c r="D440" t="inlineStr">
        <is>
          <t>50223</t>
        </is>
      </c>
      <c r="E440" t="inlineStr">
        <is>
          <t>TA-25-992113</t>
        </is>
      </c>
      <c r="F440" t="inlineStr">
        <is>
          <t>3007081132</t>
        </is>
      </c>
      <c r="G440" t="inlineStr">
        <is>
          <t>APERTURA</t>
        </is>
      </c>
      <c r="H440" t="inlineStr">
        <is>
          <t>CB CRECIMIENTO - NUEVO</t>
        </is>
      </c>
      <c r="I440" t="inlineStr">
        <is>
          <t>META</t>
        </is>
      </c>
      <c r="J440" t="inlineStr">
        <is>
          <t>CUBARRAL</t>
        </is>
      </c>
      <c r="K440" t="inlineStr">
        <is>
          <t>BARRIO CENTRO CUBARRAL  8</t>
        </is>
      </c>
      <c r="L440" t="inlineStr">
        <is>
          <t>BANCOLOMBIA</t>
        </is>
      </c>
      <c r="M440" t="inlineStr">
        <is>
          <t>FO-25-1402202</t>
        </is>
      </c>
      <c r="N440" s="46" t="n">
        <v>45890.92430555556</v>
      </c>
      <c r="O440" s="46" t="n">
        <v>45894.56458333333</v>
      </c>
      <c r="P440" t="inlineStr">
        <is>
          <t>UNO A UNO</t>
        </is>
      </c>
      <c r="Q440" t="inlineStr">
        <is>
          <t>UNO A UNO</t>
        </is>
      </c>
      <c r="R440" t="inlineStr">
        <is>
          <t>EJECUTADO</t>
        </is>
      </c>
      <c r="S440" t="inlineStr">
        <is>
          <t>VISITA TECNICA</t>
        </is>
      </c>
      <c r="T440" t="inlineStr">
        <is>
          <t>SIZZZ888</t>
        </is>
      </c>
      <c r="U440" t="inlineStr">
        <is>
          <t>TIPO II</t>
        </is>
      </c>
      <c r="V440" t="inlineStr">
        <is>
          <t>TERRESTRE</t>
        </is>
      </c>
      <c r="W440" t="inlineStr">
        <is>
          <t>ROZO JIMENEZ EDGAR ARMANDO</t>
        </is>
      </c>
      <c r="X440" t="inlineStr">
        <is>
          <t>Si</t>
        </is>
      </c>
      <c r="Y440" t="inlineStr">
        <is>
          <t>Si</t>
        </is>
      </c>
      <c r="Z440" s="45" t="n">
        <v>0</v>
      </c>
      <c r="AA440" t="inlineStr">
        <is>
          <t>0</t>
        </is>
      </c>
      <c r="AB440" s="45" t="n">
        <v>248376</v>
      </c>
      <c r="AC440" s="45" t="n">
        <v>0</v>
      </c>
    </row>
    <row r="441">
      <c r="A441" t="inlineStr">
        <is>
          <t>MANIZALES</t>
        </is>
      </c>
      <c r="B441" t="inlineStr">
        <is>
          <t>SUROCCIDENTE Y EJE CAFETERO</t>
        </is>
      </c>
      <c r="C441" t="inlineStr">
        <is>
          <t>0004-0002</t>
        </is>
      </c>
      <c r="D441" t="inlineStr">
        <is>
          <t>17001</t>
        </is>
      </c>
      <c r="E441" t="inlineStr">
        <is>
          <t>TA-25-992114</t>
        </is>
      </c>
      <c r="F441" t="inlineStr">
        <is>
          <t>3007081144</t>
        </is>
      </c>
      <c r="G441" t="inlineStr">
        <is>
          <t>APERTURA</t>
        </is>
      </c>
      <c r="H441" t="inlineStr">
        <is>
          <t>CB CRECIMIENTO - NUEVO</t>
        </is>
      </c>
      <c r="I441" t="inlineStr">
        <is>
          <t>CALDAS</t>
        </is>
      </c>
      <c r="J441" t="inlineStr">
        <is>
          <t>MANIZALES</t>
        </is>
      </c>
      <c r="K441" t="inlineStr">
        <is>
          <t>BARRIO CENTRO MANIZALES 27</t>
        </is>
      </c>
      <c r="L441" t="inlineStr">
        <is>
          <t>BANCOLOMBIA</t>
        </is>
      </c>
      <c r="M441" t="inlineStr">
        <is>
          <t>FO-25-1402209</t>
        </is>
      </c>
      <c r="N441" s="46" t="n">
        <v>45890.66458333333</v>
      </c>
      <c r="O441" s="46" t="n">
        <v>45895.28611111111</v>
      </c>
      <c r="P441" t="inlineStr">
        <is>
          <t>UNO A UNO</t>
        </is>
      </c>
      <c r="Q441" t="inlineStr">
        <is>
          <t>UNO A UNO</t>
        </is>
      </c>
      <c r="R441" t="inlineStr">
        <is>
          <t>EJECUTADO</t>
        </is>
      </c>
      <c r="S441" t="inlineStr">
        <is>
          <t>VISITA TECNICA</t>
        </is>
      </c>
      <c r="T441" t="inlineStr">
        <is>
          <t>SIZZZ889</t>
        </is>
      </c>
      <c r="U441" t="inlineStr">
        <is>
          <t>TIPO I</t>
        </is>
      </c>
      <c r="V441" t="inlineStr">
        <is>
          <t>TERRESTRE</t>
        </is>
      </c>
      <c r="W441" t="inlineStr">
        <is>
          <t>FRANCO CAÑAVERAL YAMID RAUL</t>
        </is>
      </c>
      <c r="X441" t="inlineStr">
        <is>
          <t>Si</t>
        </is>
      </c>
      <c r="Y441" t="inlineStr">
        <is>
          <t>Si</t>
        </is>
      </c>
      <c r="Z441" s="45" t="n">
        <v>0</v>
      </c>
      <c r="AA441" t="inlineStr">
        <is>
          <t>0</t>
        </is>
      </c>
      <c r="AB441" s="45" t="n">
        <v>194983</v>
      </c>
      <c r="AC441" s="45" t="n">
        <v>0</v>
      </c>
    </row>
    <row r="442">
      <c r="A442" t="inlineStr">
        <is>
          <t>CALI</t>
        </is>
      </c>
      <c r="B442" t="inlineStr">
        <is>
          <t>SUROCCIDENTE Y EJE CAFETERO</t>
        </is>
      </c>
      <c r="C442" t="inlineStr">
        <is>
          <t>0004-0003</t>
        </is>
      </c>
      <c r="D442" t="inlineStr">
        <is>
          <t>19573</t>
        </is>
      </c>
      <c r="E442" t="inlineStr">
        <is>
          <t>TA-25-992115</t>
        </is>
      </c>
      <c r="F442" t="inlineStr">
        <is>
          <t>3007081153</t>
        </is>
      </c>
      <c r="G442" t="inlineStr">
        <is>
          <t>APERTURA</t>
        </is>
      </c>
      <c r="H442" t="inlineStr">
        <is>
          <t>CB CRECIMIENTO - NUEVO</t>
        </is>
      </c>
      <c r="I442" t="inlineStr">
        <is>
          <t>CAUCA</t>
        </is>
      </c>
      <c r="J442" t="inlineStr">
        <is>
          <t>PUERTO TEJADA</t>
        </is>
      </c>
      <c r="K442" t="inlineStr">
        <is>
          <t>BARRIO CENTRO PUERTO TEJADA 12</t>
        </is>
      </c>
      <c r="L442" t="inlineStr">
        <is>
          <t>BANCOLOMBIA</t>
        </is>
      </c>
      <c r="M442" t="inlineStr">
        <is>
          <t>FO-25-1402214</t>
        </is>
      </c>
      <c r="N442" s="46" t="n">
        <v>45890.35972222222</v>
      </c>
      <c r="O442" s="46" t="n">
        <v>45891.62569444445</v>
      </c>
      <c r="P442" t="inlineStr">
        <is>
          <t>UNO A UNO</t>
        </is>
      </c>
      <c r="Q442" t="inlineStr">
        <is>
          <t>UNO A UNO</t>
        </is>
      </c>
      <c r="R442" t="inlineStr">
        <is>
          <t>EJECUTADO</t>
        </is>
      </c>
      <c r="S442" t="inlineStr">
        <is>
          <t>VISITA TECNICA</t>
        </is>
      </c>
      <c r="T442" t="inlineStr">
        <is>
          <t>SIZZZ890</t>
        </is>
      </c>
      <c r="U442" t="inlineStr">
        <is>
          <t>TIPO II</t>
        </is>
      </c>
      <c r="V442" t="inlineStr">
        <is>
          <t>TERRESTRE</t>
        </is>
      </c>
      <c r="W442" t="inlineStr">
        <is>
          <t>PAREDES CASTILLO DIEGO</t>
        </is>
      </c>
      <c r="X442" t="inlineStr">
        <is>
          <t>Si</t>
        </is>
      </c>
      <c r="Y442" t="inlineStr">
        <is>
          <t>Si</t>
        </is>
      </c>
      <c r="Z442" s="45" t="n">
        <v>0</v>
      </c>
      <c r="AA442" t="inlineStr">
        <is>
          <t>0</t>
        </is>
      </c>
      <c r="AB442" s="45" t="n">
        <v>248376</v>
      </c>
      <c r="AC442" s="45" t="n">
        <v>0</v>
      </c>
    </row>
    <row r="443">
      <c r="A443" t="inlineStr">
        <is>
          <t>BOGOTA</t>
        </is>
      </c>
      <c r="B443" t="inlineStr">
        <is>
          <t>CUNDINAMARCA</t>
        </is>
      </c>
      <c r="C443" t="inlineStr">
        <is>
          <t>0004-0004</t>
        </is>
      </c>
      <c r="D443" t="inlineStr">
        <is>
          <t>25899</t>
        </is>
      </c>
      <c r="E443" t="inlineStr">
        <is>
          <t>TA-25-992116</t>
        </is>
      </c>
      <c r="F443" t="inlineStr">
        <is>
          <t>3007081163</t>
        </is>
      </c>
      <c r="G443" t="inlineStr">
        <is>
          <t>APERTURA</t>
        </is>
      </c>
      <c r="H443" t="inlineStr">
        <is>
          <t>CB CRECIMIENTO - NUEVO</t>
        </is>
      </c>
      <c r="I443" t="inlineStr">
        <is>
          <t>CUNDINAMARCA</t>
        </is>
      </c>
      <c r="J443" t="inlineStr">
        <is>
          <t>ZIPAQUIRA</t>
        </is>
      </c>
      <c r="K443" t="inlineStr">
        <is>
          <t>BARRIO CENTRO ZIPQUIRA</t>
        </is>
      </c>
      <c r="L443" t="inlineStr">
        <is>
          <t>BANCOLOMBIA</t>
        </is>
      </c>
      <c r="M443" t="inlineStr">
        <is>
          <t>FO-25-1402219</t>
        </is>
      </c>
      <c r="N443" s="46" t="n">
        <v>45890.65763888889</v>
      </c>
      <c r="O443" s="46" t="n">
        <v>45894.28819444445</v>
      </c>
      <c r="P443" t="inlineStr">
        <is>
          <t>UNO A UNO</t>
        </is>
      </c>
      <c r="Q443" t="inlineStr">
        <is>
          <t>UNO A UNO</t>
        </is>
      </c>
      <c r="R443" t="inlineStr">
        <is>
          <t>EJECUTADO</t>
        </is>
      </c>
      <c r="S443" t="inlineStr">
        <is>
          <t>VISITA TECNICA</t>
        </is>
      </c>
      <c r="T443" t="inlineStr">
        <is>
          <t>SIZZZ892</t>
        </is>
      </c>
      <c r="U443" t="inlineStr">
        <is>
          <t>TIPO II</t>
        </is>
      </c>
      <c r="V443" t="inlineStr">
        <is>
          <t>TERRESTRE</t>
        </is>
      </c>
      <c r="W443" t="inlineStr">
        <is>
          <t>LOZADA ROJAS CHRISTIAN ANDRES</t>
        </is>
      </c>
      <c r="X443" t="inlineStr">
        <is>
          <t>Si</t>
        </is>
      </c>
      <c r="Y443" t="inlineStr">
        <is>
          <t>Si</t>
        </is>
      </c>
      <c r="Z443" s="45" t="n">
        <v>0</v>
      </c>
      <c r="AA443" t="inlineStr">
        <is>
          <t>0</t>
        </is>
      </c>
      <c r="AB443" s="45" t="n">
        <v>248376</v>
      </c>
      <c r="AC443" s="45" t="n">
        <v>0</v>
      </c>
    </row>
    <row r="444">
      <c r="A444" t="inlineStr">
        <is>
          <t>MONTERIA</t>
        </is>
      </c>
      <c r="B444" t="inlineStr">
        <is>
          <t>COSTA</t>
        </is>
      </c>
      <c r="C444" t="inlineStr">
        <is>
          <t>0004-0001</t>
        </is>
      </c>
      <c r="D444" t="inlineStr">
        <is>
          <t>23580</t>
        </is>
      </c>
      <c r="E444" t="inlineStr">
        <is>
          <t>TA-25-992117</t>
        </is>
      </c>
      <c r="F444" t="inlineStr">
        <is>
          <t>3007081152</t>
        </is>
      </c>
      <c r="G444" t="inlineStr">
        <is>
          <t>APERTURA</t>
        </is>
      </c>
      <c r="H444" t="inlineStr">
        <is>
          <t>CB CRECIMIENTO - NUEVO</t>
        </is>
      </c>
      <c r="I444" t="inlineStr">
        <is>
          <t>CORDOBA</t>
        </is>
      </c>
      <c r="J444" t="inlineStr">
        <is>
          <t>PUERTO LIBERTADOR</t>
        </is>
      </c>
      <c r="K444" t="inlineStr">
        <is>
          <t>BARRIO CGT SAN JUAN DE ASIS PUERTO LIBERTADOR</t>
        </is>
      </c>
      <c r="L444" t="inlineStr">
        <is>
          <t>BANCOLOMBIA</t>
        </is>
      </c>
      <c r="M444" t="inlineStr">
        <is>
          <t>FO-25-1402224</t>
        </is>
      </c>
      <c r="N444" s="46" t="n">
        <v>45890.63611111111</v>
      </c>
      <c r="O444" s="46" t="n">
        <v>45898.37708333333</v>
      </c>
      <c r="P444" t="inlineStr">
        <is>
          <t>UNO A UNO</t>
        </is>
      </c>
      <c r="Q444" t="inlineStr">
        <is>
          <t>UNO A UNO</t>
        </is>
      </c>
      <c r="R444" t="inlineStr">
        <is>
          <t>EJECUTADO</t>
        </is>
      </c>
      <c r="S444" t="inlineStr">
        <is>
          <t>VISITA TECNICA</t>
        </is>
      </c>
      <c r="T444" t="inlineStr">
        <is>
          <t>SIZZZ893</t>
        </is>
      </c>
      <c r="U444" t="inlineStr">
        <is>
          <t>TIPO IV</t>
        </is>
      </c>
      <c r="V444" t="inlineStr">
        <is>
          <t>TERRESTRE</t>
        </is>
      </c>
      <c r="W444" t="inlineStr">
        <is>
          <t>ARRAZOLA HERNANDEZ NICOLAS AUGUSTO</t>
        </is>
      </c>
      <c r="X444" t="inlineStr">
        <is>
          <t>Si</t>
        </is>
      </c>
      <c r="Y444" t="inlineStr">
        <is>
          <t>Si</t>
        </is>
      </c>
      <c r="Z444" s="45" t="n">
        <v>0</v>
      </c>
      <c r="AA444" t="inlineStr">
        <is>
          <t>0</t>
        </is>
      </c>
      <c r="AB444" s="45" t="n">
        <v>248376</v>
      </c>
      <c r="AC444" s="45" t="n">
        <v>0</v>
      </c>
    </row>
    <row r="445">
      <c r="A445" t="inlineStr">
        <is>
          <t>BOGOTA</t>
        </is>
      </c>
      <c r="B445" t="inlineStr">
        <is>
          <t>CUNDINAMARCA</t>
        </is>
      </c>
      <c r="C445" t="inlineStr">
        <is>
          <t>0004-0004</t>
        </is>
      </c>
      <c r="D445" t="inlineStr">
        <is>
          <t>25175</t>
        </is>
      </c>
      <c r="E445" t="inlineStr">
        <is>
          <t>TA-25-992118</t>
        </is>
      </c>
      <c r="F445" t="inlineStr">
        <is>
          <t>3007081127</t>
        </is>
      </c>
      <c r="G445" t="inlineStr">
        <is>
          <t>APERTURA</t>
        </is>
      </c>
      <c r="H445" t="inlineStr">
        <is>
          <t>CB CRECIMIENTO - NUEVO</t>
        </is>
      </c>
      <c r="I445" t="inlineStr">
        <is>
          <t>CUNDINAMARCA</t>
        </is>
      </c>
      <c r="J445" t="inlineStr">
        <is>
          <t>CHIA</t>
        </is>
      </c>
      <c r="K445" t="inlineStr">
        <is>
          <t>BARRIO CHILAGOS  CHIA 1</t>
        </is>
      </c>
      <c r="L445" t="inlineStr">
        <is>
          <t>BANCOLOMBIA</t>
        </is>
      </c>
      <c r="M445" t="inlineStr">
        <is>
          <t>FO-25-1402228</t>
        </is>
      </c>
      <c r="N445" s="46" t="n">
        <v>45890.86319444444</v>
      </c>
      <c r="O445" s="46" t="n">
        <v>45891.62847222222</v>
      </c>
      <c r="P445" t="inlineStr">
        <is>
          <t>UNO A UNO</t>
        </is>
      </c>
      <c r="Q445" t="inlineStr">
        <is>
          <t>UNO A UNO</t>
        </is>
      </c>
      <c r="R445" t="inlineStr">
        <is>
          <t>EJECUTADO</t>
        </is>
      </c>
      <c r="S445" t="inlineStr">
        <is>
          <t>VISITA TECNICA</t>
        </is>
      </c>
      <c r="T445" t="inlineStr">
        <is>
          <t>SIZZZ894</t>
        </is>
      </c>
      <c r="U445" t="inlineStr">
        <is>
          <t>TIPO II</t>
        </is>
      </c>
      <c r="V445" t="inlineStr">
        <is>
          <t>TERRESTRE</t>
        </is>
      </c>
      <c r="W445" t="inlineStr">
        <is>
          <t>LOZADA ROJAS CHRISTIAN ANDRES</t>
        </is>
      </c>
      <c r="X445" t="inlineStr">
        <is>
          <t>Si</t>
        </is>
      </c>
      <c r="Y445" t="inlineStr">
        <is>
          <t>Si</t>
        </is>
      </c>
      <c r="Z445" s="45" t="n">
        <v>0</v>
      </c>
      <c r="AA445" t="inlineStr">
        <is>
          <t>0</t>
        </is>
      </c>
      <c r="AB445" s="45" t="n">
        <v>248376</v>
      </c>
      <c r="AC445" s="45" t="n">
        <v>0</v>
      </c>
    </row>
    <row r="446">
      <c r="A446" t="inlineStr">
        <is>
          <t>CARTAGENA</t>
        </is>
      </c>
      <c r="B446" t="inlineStr">
        <is>
          <t>COSTA</t>
        </is>
      </c>
      <c r="C446" t="inlineStr">
        <is>
          <t>0004-0001</t>
        </is>
      </c>
      <c r="D446" t="inlineStr">
        <is>
          <t>13052</t>
        </is>
      </c>
      <c r="E446" t="inlineStr">
        <is>
          <t>TA-25-992119</t>
        </is>
      </c>
      <c r="F446" t="inlineStr">
        <is>
          <t>3007081120</t>
        </is>
      </c>
      <c r="G446" t="inlineStr">
        <is>
          <t>APERTURA</t>
        </is>
      </c>
      <c r="H446" t="inlineStr">
        <is>
          <t>CB CRECIMIENTO - NUEVO</t>
        </is>
      </c>
      <c r="I446" t="inlineStr">
        <is>
          <t>BOLIVAR</t>
        </is>
      </c>
      <c r="J446" t="inlineStr">
        <is>
          <t>ARJONA</t>
        </is>
      </c>
      <c r="K446" t="inlineStr">
        <is>
          <t>BARRIO CL JUNCAL SEC EL PONDO ARJONA</t>
        </is>
      </c>
      <c r="L446" t="inlineStr">
        <is>
          <t>BANCOLOMBIA</t>
        </is>
      </c>
      <c r="M446" t="inlineStr">
        <is>
          <t>FO-25-1402232</t>
        </is>
      </c>
      <c r="N446" s="46" t="n">
        <v>45890.60625</v>
      </c>
      <c r="O446" s="46" t="n">
        <v>45894.55694444444</v>
      </c>
      <c r="P446" t="inlineStr">
        <is>
          <t>UNO A UNO</t>
        </is>
      </c>
      <c r="Q446" t="inlineStr">
        <is>
          <t>UNO A UNO</t>
        </is>
      </c>
      <c r="R446" t="inlineStr">
        <is>
          <t>EJECUTADO</t>
        </is>
      </c>
      <c r="S446" t="inlineStr">
        <is>
          <t>VISITA TECNICA</t>
        </is>
      </c>
      <c r="T446" t="inlineStr">
        <is>
          <t>SIZZZ895</t>
        </is>
      </c>
      <c r="U446" t="inlineStr">
        <is>
          <t>TIPO II</t>
        </is>
      </c>
      <c r="V446" t="inlineStr">
        <is>
          <t>TERRESTRE</t>
        </is>
      </c>
      <c r="W446" t="inlineStr">
        <is>
          <t>MARTINEZ SALGUEDO ANDRES AUGUSTO</t>
        </is>
      </c>
      <c r="X446" t="inlineStr">
        <is>
          <t>Si</t>
        </is>
      </c>
      <c r="Y446" t="inlineStr">
        <is>
          <t>Si</t>
        </is>
      </c>
      <c r="Z446" s="45" t="n">
        <v>0</v>
      </c>
      <c r="AA446" t="inlineStr">
        <is>
          <t>0</t>
        </is>
      </c>
      <c r="AB446" s="45" t="n">
        <v>248376</v>
      </c>
      <c r="AC446" s="45" t="n">
        <v>0</v>
      </c>
    </row>
    <row r="447">
      <c r="A447" t="inlineStr">
        <is>
          <t>CARTAGENA</t>
        </is>
      </c>
      <c r="B447" t="inlineStr">
        <is>
          <t>COSTA</t>
        </is>
      </c>
      <c r="C447" t="inlineStr">
        <is>
          <t>0004-0001</t>
        </is>
      </c>
      <c r="D447" t="inlineStr">
        <is>
          <t>13001</t>
        </is>
      </c>
      <c r="E447" t="inlineStr">
        <is>
          <t>TA-25-992120</t>
        </is>
      </c>
      <c r="F447" t="inlineStr">
        <is>
          <t>3007081126</t>
        </is>
      </c>
      <c r="G447" t="inlineStr">
        <is>
          <t>APERTURA</t>
        </is>
      </c>
      <c r="H447" t="inlineStr">
        <is>
          <t>CB CRECIMIENTO - NUEVO</t>
        </is>
      </c>
      <c r="I447" t="inlineStr">
        <is>
          <t>BOLIVAR</t>
        </is>
      </c>
      <c r="J447" t="inlineStr">
        <is>
          <t>CARTAGENA</t>
        </is>
      </c>
      <c r="K447" t="inlineStr">
        <is>
          <t>BARRIO COLOMBIATON CARTAGENA DE INDIAS</t>
        </is>
      </c>
      <c r="L447" t="inlineStr">
        <is>
          <t>BANCOLOMBIA</t>
        </is>
      </c>
      <c r="M447" t="inlineStr">
        <is>
          <t>FO-25-1402240</t>
        </is>
      </c>
      <c r="N447" s="46" t="n">
        <v>45890.60694444444</v>
      </c>
      <c r="O447" s="46" t="n">
        <v>45891.54861111111</v>
      </c>
      <c r="P447" t="inlineStr">
        <is>
          <t>UNO A UNO</t>
        </is>
      </c>
      <c r="Q447" t="inlineStr">
        <is>
          <t>UNO A UNO</t>
        </is>
      </c>
      <c r="R447" t="inlineStr">
        <is>
          <t>EJECUTADO</t>
        </is>
      </c>
      <c r="S447" t="inlineStr">
        <is>
          <t>VISITA TECNICA</t>
        </is>
      </c>
      <c r="T447" t="inlineStr">
        <is>
          <t>SIZZZ896</t>
        </is>
      </c>
      <c r="U447" t="inlineStr">
        <is>
          <t>TIPO I</t>
        </is>
      </c>
      <c r="V447" t="inlineStr">
        <is>
          <t>TERRESTRE</t>
        </is>
      </c>
      <c r="W447" t="inlineStr">
        <is>
          <t>CANEDO HERRERA ALEXANDER</t>
        </is>
      </c>
      <c r="X447" t="inlineStr">
        <is>
          <t>Si</t>
        </is>
      </c>
      <c r="Y447" t="inlineStr">
        <is>
          <t>Si</t>
        </is>
      </c>
      <c r="Z447" s="45" t="n">
        <v>0</v>
      </c>
      <c r="AA447" t="inlineStr">
        <is>
          <t>0</t>
        </is>
      </c>
      <c r="AB447" s="45" t="n">
        <v>194983</v>
      </c>
      <c r="AC447" s="45" t="n">
        <v>0</v>
      </c>
    </row>
    <row r="448">
      <c r="A448" t="inlineStr">
        <is>
          <t>BUCARAMANGA</t>
        </is>
      </c>
      <c r="B448" t="inlineStr">
        <is>
          <t>SANTANDERES</t>
        </is>
      </c>
      <c r="C448" t="inlineStr">
        <is>
          <t>0004-0008</t>
        </is>
      </c>
      <c r="D448" t="inlineStr">
        <is>
          <t>68276</t>
        </is>
      </c>
      <c r="E448" t="inlineStr">
        <is>
          <t>TA-25-992133</t>
        </is>
      </c>
      <c r="F448" t="inlineStr">
        <is>
          <t>3007081134</t>
        </is>
      </c>
      <c r="G448" t="inlineStr">
        <is>
          <t>APERTURA</t>
        </is>
      </c>
      <c r="H448" t="inlineStr">
        <is>
          <t>CB CRECIMIENTO - NUEVO</t>
        </is>
      </c>
      <c r="I448" t="inlineStr">
        <is>
          <t>SANTANDER</t>
        </is>
      </c>
      <c r="J448" t="inlineStr">
        <is>
          <t>FLORIDABLANCA</t>
        </is>
      </c>
      <c r="K448" t="inlineStr">
        <is>
          <t>BARRIO EL CARMEN FLORIDABLANCA 5</t>
        </is>
      </c>
      <c r="L448" t="inlineStr">
        <is>
          <t>BANCOLOMBIA</t>
        </is>
      </c>
      <c r="M448" t="inlineStr">
        <is>
          <t>FO-25-1402245</t>
        </is>
      </c>
      <c r="N448" s="46" t="n">
        <v>45890.43888888889</v>
      </c>
      <c r="O448" s="46" t="n">
        <v>45894.28402777778</v>
      </c>
      <c r="P448" t="inlineStr">
        <is>
          <t>UNO A UNO</t>
        </is>
      </c>
      <c r="Q448" t="inlineStr">
        <is>
          <t>UNO A UNO</t>
        </is>
      </c>
      <c r="R448" t="inlineStr">
        <is>
          <t>EJECUTADO</t>
        </is>
      </c>
      <c r="S448" t="inlineStr">
        <is>
          <t>VISITA TECNICA</t>
        </is>
      </c>
      <c r="T448" t="inlineStr">
        <is>
          <t>SIZZZ897</t>
        </is>
      </c>
      <c r="U448" t="inlineStr">
        <is>
          <t>TIPO I</t>
        </is>
      </c>
      <c r="V448" t="inlineStr">
        <is>
          <t>TERRESTRE</t>
        </is>
      </c>
      <c r="W448" t="inlineStr">
        <is>
          <t>MARTINEZ FLOREZ DONIS ALBERTO</t>
        </is>
      </c>
      <c r="X448" t="inlineStr">
        <is>
          <t>Si</t>
        </is>
      </c>
      <c r="Y448" t="inlineStr">
        <is>
          <t>Si</t>
        </is>
      </c>
      <c r="Z448" s="45" t="n">
        <v>0</v>
      </c>
      <c r="AA448" t="inlineStr">
        <is>
          <t>0</t>
        </is>
      </c>
      <c r="AB448" s="45" t="n">
        <v>194983</v>
      </c>
      <c r="AC448" s="45" t="n">
        <v>0</v>
      </c>
    </row>
    <row r="449">
      <c r="A449" t="inlineStr">
        <is>
          <t>BUCARAMANGA</t>
        </is>
      </c>
      <c r="B449" t="inlineStr">
        <is>
          <t>SANTANDERES</t>
        </is>
      </c>
      <c r="C449" t="inlineStr">
        <is>
          <t>0004-0008</t>
        </is>
      </c>
      <c r="D449" t="inlineStr">
        <is>
          <t>20710</t>
        </is>
      </c>
      <c r="E449" t="inlineStr">
        <is>
          <t>TA-25-992134</t>
        </is>
      </c>
      <c r="F449" t="inlineStr">
        <is>
          <t>3007081155</t>
        </is>
      </c>
      <c r="G449" t="inlineStr">
        <is>
          <t>APERTURA</t>
        </is>
      </c>
      <c r="H449" t="inlineStr">
        <is>
          <t>CB CRECIMIENTO - NUEVO</t>
        </is>
      </c>
      <c r="I449" t="inlineStr">
        <is>
          <t>CESAR</t>
        </is>
      </c>
      <c r="J449" t="inlineStr">
        <is>
          <t>SAN ALBERTO</t>
        </is>
      </c>
      <c r="K449" t="inlineStr">
        <is>
          <t>BARRIO EL CENTRO SAN ALBERTO</t>
        </is>
      </c>
      <c r="L449" t="inlineStr">
        <is>
          <t>BANCOLOMBIA</t>
        </is>
      </c>
      <c r="M449" t="inlineStr">
        <is>
          <t>FO-25-1402250</t>
        </is>
      </c>
      <c r="N449" s="46" t="n">
        <v>45890.43888888889</v>
      </c>
      <c r="O449" s="46" t="n">
        <v>45894.29722222222</v>
      </c>
      <c r="P449" t="inlineStr">
        <is>
          <t>UNO A UNO</t>
        </is>
      </c>
      <c r="Q449" t="inlineStr">
        <is>
          <t>UNO A UNO</t>
        </is>
      </c>
      <c r="R449" t="inlineStr">
        <is>
          <t>EJECUTADO</t>
        </is>
      </c>
      <c r="S449" t="inlineStr">
        <is>
          <t>VISITA TECNICA</t>
        </is>
      </c>
      <c r="T449" t="inlineStr">
        <is>
          <t>SIZZZ898</t>
        </is>
      </c>
      <c r="U449" t="inlineStr">
        <is>
          <t>TIPO III</t>
        </is>
      </c>
      <c r="V449" t="inlineStr">
        <is>
          <t>TERRESTRE</t>
        </is>
      </c>
      <c r="W449" t="inlineStr">
        <is>
          <t>HERRERA LUQUE SAUL JAVIER</t>
        </is>
      </c>
      <c r="X449" t="inlineStr">
        <is>
          <t>Si</t>
        </is>
      </c>
      <c r="Y449" t="inlineStr">
        <is>
          <t>Si</t>
        </is>
      </c>
      <c r="Z449" s="45" t="n">
        <v>0</v>
      </c>
      <c r="AA449" t="inlineStr">
        <is>
          <t>0</t>
        </is>
      </c>
      <c r="AB449" s="45" t="n">
        <v>248376</v>
      </c>
      <c r="AC449" s="45" t="n">
        <v>0</v>
      </c>
    </row>
    <row r="450">
      <c r="A450" t="inlineStr">
        <is>
          <t>PEREIRA</t>
        </is>
      </c>
      <c r="B450" t="inlineStr">
        <is>
          <t>SUROCCIDENTE Y EJE CAFETERO</t>
        </is>
      </c>
      <c r="C450" t="inlineStr">
        <is>
          <t>0004-0002</t>
        </is>
      </c>
      <c r="D450" t="inlineStr">
        <is>
          <t>66318</t>
        </is>
      </c>
      <c r="E450" t="inlineStr">
        <is>
          <t>TA-25-992135</t>
        </is>
      </c>
      <c r="F450" t="inlineStr">
        <is>
          <t>3007081139</t>
        </is>
      </c>
      <c r="G450" t="inlineStr">
        <is>
          <t>APERTURA</t>
        </is>
      </c>
      <c r="H450" t="inlineStr">
        <is>
          <t>CB CRECIMIENTO - NUEVO</t>
        </is>
      </c>
      <c r="I450" t="inlineStr">
        <is>
          <t>RISARALDA</t>
        </is>
      </c>
      <c r="J450" t="inlineStr">
        <is>
          <t>GUATICA</t>
        </is>
      </c>
      <c r="K450" t="inlineStr">
        <is>
          <t>BARRIO EL JARDIN GUATICA</t>
        </is>
      </c>
      <c r="L450" t="inlineStr">
        <is>
          <t>BANCOLOMBIA</t>
        </is>
      </c>
      <c r="M450" t="inlineStr">
        <is>
          <t>FO-25-1420655</t>
        </is>
      </c>
      <c r="N450" s="46" t="n">
        <v>45890.66666666666</v>
      </c>
      <c r="O450" s="46" t="n">
        <v>45898.53958333333</v>
      </c>
      <c r="P450" t="inlineStr">
        <is>
          <t>UNO A UNO</t>
        </is>
      </c>
      <c r="Q450" t="inlineStr">
        <is>
          <t>UNO A UNO</t>
        </is>
      </c>
      <c r="R450" t="inlineStr">
        <is>
          <t>EJECUTADO</t>
        </is>
      </c>
      <c r="S450" t="inlineStr">
        <is>
          <t>VISITA TECNICA</t>
        </is>
      </c>
      <c r="T450" t="inlineStr">
        <is>
          <t>SIZZZ899</t>
        </is>
      </c>
      <c r="U450" t="inlineStr">
        <is>
          <t>TIPO II</t>
        </is>
      </c>
      <c r="V450" t="inlineStr">
        <is>
          <t>TERRESTRE</t>
        </is>
      </c>
      <c r="W450" t="inlineStr">
        <is>
          <t>ECHEVERRI ECHEVERRI EVELIN DANIELA</t>
        </is>
      </c>
      <c r="X450" t="inlineStr">
        <is>
          <t>Si</t>
        </is>
      </c>
      <c r="Y450" t="inlineStr">
        <is>
          <t>Si</t>
        </is>
      </c>
      <c r="Z450" s="45" t="n">
        <v>134410</v>
      </c>
      <c r="AA450" t="inlineStr">
        <is>
          <t>0</t>
        </is>
      </c>
      <c r="AB450" s="45" t="n">
        <v>469992</v>
      </c>
      <c r="AC450" s="45" t="n">
        <v>0</v>
      </c>
    </row>
    <row r="451">
      <c r="A451" t="inlineStr">
        <is>
          <t>BOGOTA</t>
        </is>
      </c>
      <c r="B451" t="inlineStr">
        <is>
          <t>CUNDINAMARCA</t>
        </is>
      </c>
      <c r="C451" t="inlineStr">
        <is>
          <t>0004-0004</t>
        </is>
      </c>
      <c r="D451" t="inlineStr">
        <is>
          <t>25326</t>
        </is>
      </c>
      <c r="E451" t="inlineStr">
        <is>
          <t>TA-25-992137</t>
        </is>
      </c>
      <c r="F451" t="inlineStr">
        <is>
          <t>3007081158</t>
        </is>
      </c>
      <c r="G451" t="inlineStr">
        <is>
          <t>APERTURA</t>
        </is>
      </c>
      <c r="H451" t="inlineStr">
        <is>
          <t>CB CRECIMIENTO - NUEVO</t>
        </is>
      </c>
      <c r="I451" t="inlineStr">
        <is>
          <t>CUNDINAMARCA</t>
        </is>
      </c>
      <c r="J451" t="inlineStr">
        <is>
          <t>GUATAVITA</t>
        </is>
      </c>
      <c r="K451" t="inlineStr">
        <is>
          <t>BARRIO GUATAVITA GUATAVITA</t>
        </is>
      </c>
      <c r="L451" t="inlineStr">
        <is>
          <t>BANCOLOMBIA</t>
        </is>
      </c>
      <c r="M451" t="inlineStr">
        <is>
          <t>FO-25-1402272</t>
        </is>
      </c>
      <c r="N451" s="46" t="n">
        <v>45890.75486111111</v>
      </c>
      <c r="O451" s="46" t="n">
        <v>45894.59722222222</v>
      </c>
      <c r="P451" t="inlineStr">
        <is>
          <t>UNO A UNO</t>
        </is>
      </c>
      <c r="Q451" t="inlineStr">
        <is>
          <t>UNO A UNO</t>
        </is>
      </c>
      <c r="R451" t="inlineStr">
        <is>
          <t>EJECUTADO</t>
        </is>
      </c>
      <c r="S451" t="inlineStr">
        <is>
          <t>VISITA TECNICA</t>
        </is>
      </c>
      <c r="T451" t="inlineStr">
        <is>
          <t>SIZZZ901</t>
        </is>
      </c>
      <c r="U451" t="inlineStr">
        <is>
          <t>TIPO II</t>
        </is>
      </c>
      <c r="V451" t="inlineStr">
        <is>
          <t>TERRESTRE</t>
        </is>
      </c>
      <c r="W451" t="inlineStr">
        <is>
          <t>HERNANDEZ NARANJO OSCAR EDUARDO</t>
        </is>
      </c>
      <c r="X451" t="inlineStr">
        <is>
          <t>Si</t>
        </is>
      </c>
      <c r="Y451" t="inlineStr">
        <is>
          <t>Si</t>
        </is>
      </c>
      <c r="Z451" s="45" t="n">
        <v>0</v>
      </c>
      <c r="AA451" t="inlineStr">
        <is>
          <t>0</t>
        </is>
      </c>
      <c r="AB451" s="45" t="n">
        <v>248376</v>
      </c>
      <c r="AC451" s="45" t="n">
        <v>0</v>
      </c>
    </row>
    <row r="452">
      <c r="A452" t="inlineStr">
        <is>
          <t>BOGOTA</t>
        </is>
      </c>
      <c r="B452" t="inlineStr">
        <is>
          <t>CUNDINAMARCA</t>
        </is>
      </c>
      <c r="C452" t="inlineStr">
        <is>
          <t>0004-0004</t>
        </is>
      </c>
      <c r="D452" t="inlineStr">
        <is>
          <t>25286</t>
        </is>
      </c>
      <c r="E452" t="inlineStr">
        <is>
          <t>TA-25-992141</t>
        </is>
      </c>
      <c r="F452" t="inlineStr">
        <is>
          <t>3007081136</t>
        </is>
      </c>
      <c r="G452" t="inlineStr">
        <is>
          <t>APERTURA</t>
        </is>
      </c>
      <c r="H452" t="inlineStr">
        <is>
          <t>CB CRECIMIENTO - NUEVO</t>
        </is>
      </c>
      <c r="I452" t="inlineStr">
        <is>
          <t>CUNDINAMARCA</t>
        </is>
      </c>
      <c r="J452" t="inlineStr">
        <is>
          <t>FUNZA</t>
        </is>
      </c>
      <c r="K452" t="inlineStr">
        <is>
          <t>BARRIO HATO 1 FUNZA</t>
        </is>
      </c>
      <c r="L452" t="inlineStr">
        <is>
          <t>BANCOLOMBIA</t>
        </is>
      </c>
      <c r="M452" t="inlineStr">
        <is>
          <t>FO-25-1402280</t>
        </is>
      </c>
      <c r="N452" s="46" t="n">
        <v>45890.86319444444</v>
      </c>
      <c r="O452" s="46" t="n">
        <v>45891.48541666667</v>
      </c>
      <c r="P452" t="inlineStr">
        <is>
          <t>UNO A UNO</t>
        </is>
      </c>
      <c r="Q452" t="inlineStr">
        <is>
          <t>UNO A UNO</t>
        </is>
      </c>
      <c r="R452" t="inlineStr">
        <is>
          <t>EJECUTADO</t>
        </is>
      </c>
      <c r="S452" t="inlineStr">
        <is>
          <t>VISITA TECNICA</t>
        </is>
      </c>
      <c r="T452" t="inlineStr">
        <is>
          <t>SIZZZ902</t>
        </is>
      </c>
      <c r="U452" t="inlineStr">
        <is>
          <t>TIPO II</t>
        </is>
      </c>
      <c r="V452" t="inlineStr">
        <is>
          <t>TERRESTRE</t>
        </is>
      </c>
      <c r="W452" t="inlineStr">
        <is>
          <t>GOMEZ VEGA DAVID SNEYDER</t>
        </is>
      </c>
      <c r="X452" t="inlineStr">
        <is>
          <t>Si</t>
        </is>
      </c>
      <c r="Y452" t="inlineStr">
        <is>
          <t>Si</t>
        </is>
      </c>
      <c r="Z452" s="45" t="n">
        <v>0</v>
      </c>
      <c r="AA452" t="inlineStr">
        <is>
          <t>0</t>
        </is>
      </c>
      <c r="AB452" s="45" t="n">
        <v>248376</v>
      </c>
      <c r="AC452" s="45" t="n">
        <v>0</v>
      </c>
    </row>
    <row r="453">
      <c r="A453" t="inlineStr">
        <is>
          <t>MANIZALES</t>
        </is>
      </c>
      <c r="B453" t="inlineStr">
        <is>
          <t>SUROCCIDENTE Y EJE CAFETERO</t>
        </is>
      </c>
      <c r="C453" t="inlineStr">
        <is>
          <t>0004-0002</t>
        </is>
      </c>
      <c r="D453" t="inlineStr">
        <is>
          <t>17001</t>
        </is>
      </c>
      <c r="E453" t="inlineStr">
        <is>
          <t>TA-25-992142</t>
        </is>
      </c>
      <c r="F453" t="inlineStr">
        <is>
          <t>3007081143</t>
        </is>
      </c>
      <c r="G453" t="inlineStr">
        <is>
          <t>APERTURA</t>
        </is>
      </c>
      <c r="H453" t="inlineStr">
        <is>
          <t>CB CRECIMIENTO - NUEVO</t>
        </is>
      </c>
      <c r="I453" t="inlineStr">
        <is>
          <t>CALDAS</t>
        </is>
      </c>
      <c r="J453" t="inlineStr">
        <is>
          <t>MANIZALES</t>
        </is>
      </c>
      <c r="K453" t="inlineStr">
        <is>
          <t>BARRIO LA CUMBRE MANIZALES 1</t>
        </is>
      </c>
      <c r="L453" t="inlineStr">
        <is>
          <t>BANCOLOMBIA</t>
        </is>
      </c>
      <c r="M453" t="inlineStr">
        <is>
          <t>FO-25-1402285</t>
        </is>
      </c>
      <c r="N453" s="46" t="n">
        <v>45890.3</v>
      </c>
      <c r="O453" s="46" t="n">
        <v>45894.56944444445</v>
      </c>
      <c r="P453" t="inlineStr">
        <is>
          <t>UNO A UNO</t>
        </is>
      </c>
      <c r="Q453" t="inlineStr">
        <is>
          <t>UNO A UNO</t>
        </is>
      </c>
      <c r="R453" t="inlineStr">
        <is>
          <t>EJECUTADO</t>
        </is>
      </c>
      <c r="S453" t="inlineStr">
        <is>
          <t>VISITA TECNICA</t>
        </is>
      </c>
      <c r="T453" t="inlineStr">
        <is>
          <t>SIZZZ903</t>
        </is>
      </c>
      <c r="U453" t="inlineStr">
        <is>
          <t>TIPO I</t>
        </is>
      </c>
      <c r="V453" t="inlineStr">
        <is>
          <t>TERRESTRE</t>
        </is>
      </c>
      <c r="W453" t="inlineStr">
        <is>
          <t>AGUIRRE HENAO RAUL EDUARDO</t>
        </is>
      </c>
      <c r="X453" t="inlineStr">
        <is>
          <t>Si</t>
        </is>
      </c>
      <c r="Y453" t="inlineStr">
        <is>
          <t>Si</t>
        </is>
      </c>
      <c r="Z453" s="45" t="n">
        <v>0</v>
      </c>
      <c r="AA453" t="inlineStr">
        <is>
          <t>0</t>
        </is>
      </c>
      <c r="AB453" s="45" t="n">
        <v>194983</v>
      </c>
      <c r="AC453" s="45" t="n">
        <v>0</v>
      </c>
    </row>
    <row r="454">
      <c r="A454" t="inlineStr">
        <is>
          <t>CALI</t>
        </is>
      </c>
      <c r="B454" t="inlineStr">
        <is>
          <t>SUROCCIDENTE Y EJE CAFETERO</t>
        </is>
      </c>
      <c r="C454" t="inlineStr">
        <is>
          <t>0004-0003</t>
        </is>
      </c>
      <c r="D454" t="inlineStr">
        <is>
          <t>19001</t>
        </is>
      </c>
      <c r="E454" t="inlineStr">
        <is>
          <t>TA-25-992143</t>
        </is>
      </c>
      <c r="F454" t="inlineStr">
        <is>
          <t>3007081150</t>
        </is>
      </c>
      <c r="G454" t="inlineStr">
        <is>
          <t>APERTURA</t>
        </is>
      </c>
      <c r="H454" t="inlineStr">
        <is>
          <t>CB CRECIMIENTO - NUEVO</t>
        </is>
      </c>
      <c r="I454" t="inlineStr">
        <is>
          <t>CAUCA</t>
        </is>
      </c>
      <c r="J454" t="inlineStr">
        <is>
          <t>POPAYAN</t>
        </is>
      </c>
      <c r="K454" t="inlineStr">
        <is>
          <t>BARRIO LA MARIA OCCIDENTE POPAYAN 3</t>
        </is>
      </c>
      <c r="L454" t="inlineStr">
        <is>
          <t>BANCOLOMBIA</t>
        </is>
      </c>
      <c r="M454" t="inlineStr">
        <is>
          <t>FO-25-1402293</t>
        </is>
      </c>
      <c r="N454" s="46" t="n">
        <v>45890.6625</v>
      </c>
      <c r="O454" s="46" t="n">
        <v>45894.57986111111</v>
      </c>
      <c r="P454" t="inlineStr">
        <is>
          <t>UNO A UNO</t>
        </is>
      </c>
      <c r="Q454" t="inlineStr">
        <is>
          <t>UNO A UNO</t>
        </is>
      </c>
      <c r="R454" t="inlineStr">
        <is>
          <t>EJECUTADO</t>
        </is>
      </c>
      <c r="S454" t="inlineStr">
        <is>
          <t>VISITA TECNICA</t>
        </is>
      </c>
      <c r="T454" t="inlineStr">
        <is>
          <t>SIZZZ904</t>
        </is>
      </c>
      <c r="U454" t="inlineStr">
        <is>
          <t>TIPO III</t>
        </is>
      </c>
      <c r="V454" t="inlineStr">
        <is>
          <t>TERRESTRE</t>
        </is>
      </c>
      <c r="W454" t="inlineStr">
        <is>
          <t>GIMBUEL LASSO LUIS GERMAN</t>
        </is>
      </c>
      <c r="X454" t="inlineStr">
        <is>
          <t>Si</t>
        </is>
      </c>
      <c r="Y454" t="inlineStr">
        <is>
          <t>Si</t>
        </is>
      </c>
      <c r="Z454" s="45" t="n">
        <v>0</v>
      </c>
      <c r="AA454" t="inlineStr">
        <is>
          <t>0</t>
        </is>
      </c>
      <c r="AB454" s="45" t="n">
        <v>248376</v>
      </c>
      <c r="AC454" s="45" t="n">
        <v>0</v>
      </c>
    </row>
    <row r="455">
      <c r="A455" t="inlineStr">
        <is>
          <t>BOGOTA</t>
        </is>
      </c>
      <c r="B455" t="inlineStr">
        <is>
          <t>CUNDINAMARCA</t>
        </is>
      </c>
      <c r="C455" t="inlineStr">
        <is>
          <t>0004-0004</t>
        </is>
      </c>
      <c r="D455" t="inlineStr">
        <is>
          <t>25386</t>
        </is>
      </c>
      <c r="E455" t="inlineStr">
        <is>
          <t>TA-25-992144</t>
        </is>
      </c>
      <c r="F455" t="inlineStr">
        <is>
          <t>3007081141</t>
        </is>
      </c>
      <c r="G455" t="inlineStr">
        <is>
          <t>APERTURA</t>
        </is>
      </c>
      <c r="H455" t="inlineStr">
        <is>
          <t>CB CRECIMIENTO - NUEVO</t>
        </is>
      </c>
      <c r="I455" t="inlineStr">
        <is>
          <t>CUNDINAMARCA</t>
        </is>
      </c>
      <c r="J455" t="inlineStr">
        <is>
          <t>LA MESA</t>
        </is>
      </c>
      <c r="K455" t="inlineStr">
        <is>
          <t>BARRIO LA MESA LA MESA 7</t>
        </is>
      </c>
      <c r="L455" t="inlineStr">
        <is>
          <t>BANCOLOMBIA</t>
        </is>
      </c>
      <c r="M455" t="inlineStr">
        <is>
          <t>FO-25-1402302</t>
        </is>
      </c>
      <c r="N455" s="46" t="n">
        <v>45890.86319444444</v>
      </c>
      <c r="O455" s="46" t="n">
        <v>45891.66180555556</v>
      </c>
      <c r="P455" t="inlineStr">
        <is>
          <t>UNO A UNO</t>
        </is>
      </c>
      <c r="Q455" t="inlineStr">
        <is>
          <t>UNO A UNO</t>
        </is>
      </c>
      <c r="R455" t="inlineStr">
        <is>
          <t>EJECUTADO</t>
        </is>
      </c>
      <c r="S455" t="inlineStr">
        <is>
          <t>VISITA TECNICA</t>
        </is>
      </c>
      <c r="T455" t="inlineStr">
        <is>
          <t>SIZZZ905</t>
        </is>
      </c>
      <c r="U455" t="inlineStr">
        <is>
          <t>TIPO II</t>
        </is>
      </c>
      <c r="V455" t="inlineStr">
        <is>
          <t>TERRESTRE</t>
        </is>
      </c>
      <c r="W455" t="inlineStr">
        <is>
          <t>GALEANO SORIANO JUAN DAVID</t>
        </is>
      </c>
      <c r="X455" t="inlineStr">
        <is>
          <t>Si</t>
        </is>
      </c>
      <c r="Y455" t="inlineStr">
        <is>
          <t>Si</t>
        </is>
      </c>
      <c r="Z455" s="45" t="n">
        <v>0</v>
      </c>
      <c r="AA455" t="inlineStr">
        <is>
          <t>0</t>
        </is>
      </c>
      <c r="AB455" s="45" t="n">
        <v>248376</v>
      </c>
      <c r="AC455" s="45" t="n">
        <v>0</v>
      </c>
    </row>
    <row r="456">
      <c r="A456" t="inlineStr">
        <is>
          <t>APARTADO</t>
        </is>
      </c>
      <c r="B456" t="inlineStr">
        <is>
          <t>NOROCCIDENTE</t>
        </is>
      </c>
      <c r="C456" t="inlineStr">
        <is>
          <t>0004-0005</t>
        </is>
      </c>
      <c r="D456" t="inlineStr">
        <is>
          <t>5147</t>
        </is>
      </c>
      <c r="E456" t="inlineStr">
        <is>
          <t>TA-25-992145</t>
        </is>
      </c>
      <c r="F456" t="inlineStr">
        <is>
          <t>3007081130</t>
        </is>
      </c>
      <c r="G456" t="inlineStr">
        <is>
          <t>APERTURA</t>
        </is>
      </c>
      <c r="H456" t="inlineStr">
        <is>
          <t>CB CRECIMIENTO - NUEVO</t>
        </is>
      </c>
      <c r="I456" t="inlineStr">
        <is>
          <t>ANTIOQUIA</t>
        </is>
      </c>
      <c r="J456" t="inlineStr">
        <is>
          <t>CAREPA</t>
        </is>
      </c>
      <c r="K456" t="inlineStr">
        <is>
          <t>BARRIO LA PRADERA CAREPA ANTIOQUIA  CAREPA</t>
        </is>
      </c>
      <c r="L456" t="inlineStr">
        <is>
          <t>BANCOLOMBIA</t>
        </is>
      </c>
      <c r="M456" t="inlineStr">
        <is>
          <t>FO-25-1402309</t>
        </is>
      </c>
      <c r="N456" s="46" t="n">
        <v>45890.63055555556</v>
      </c>
      <c r="O456" s="46" t="n">
        <v>45894.30486111111</v>
      </c>
      <c r="P456" t="inlineStr">
        <is>
          <t>UNO A UNO</t>
        </is>
      </c>
      <c r="Q456" t="inlineStr">
        <is>
          <t>UNO A UNO</t>
        </is>
      </c>
      <c r="R456" t="inlineStr">
        <is>
          <t>EJECUTADO</t>
        </is>
      </c>
      <c r="S456" t="inlineStr">
        <is>
          <t>VISITA TECNICA</t>
        </is>
      </c>
      <c r="T456" t="inlineStr">
        <is>
          <t>SIZZZ906</t>
        </is>
      </c>
      <c r="U456" t="inlineStr">
        <is>
          <t>TIPO I</t>
        </is>
      </c>
      <c r="V456" t="inlineStr">
        <is>
          <t>TERRESTRE</t>
        </is>
      </c>
      <c r="W456" t="inlineStr">
        <is>
          <t>MARTINEZ TOVAR OSCAR DAVID</t>
        </is>
      </c>
      <c r="X456" t="inlineStr">
        <is>
          <t>Si</t>
        </is>
      </c>
      <c r="Y456" t="inlineStr">
        <is>
          <t>Si</t>
        </is>
      </c>
      <c r="Z456" s="45" t="n">
        <v>0</v>
      </c>
      <c r="AA456" t="inlineStr">
        <is>
          <t>0</t>
        </is>
      </c>
      <c r="AB456" s="45" t="n">
        <v>194983</v>
      </c>
      <c r="AC456" s="45" t="n">
        <v>0</v>
      </c>
    </row>
    <row r="457">
      <c r="A457" t="inlineStr">
        <is>
          <t>APARTADO</t>
        </is>
      </c>
      <c r="B457" t="inlineStr">
        <is>
          <t>NOROCCIDENTE</t>
        </is>
      </c>
      <c r="C457" t="inlineStr">
        <is>
          <t>0004-0005</t>
        </is>
      </c>
      <c r="D457" t="inlineStr">
        <is>
          <t>5045</t>
        </is>
      </c>
      <c r="E457" t="inlineStr">
        <is>
          <t>TA-25-992147</t>
        </is>
      </c>
      <c r="F457" t="inlineStr">
        <is>
          <t>3007081129</t>
        </is>
      </c>
      <c r="G457" t="inlineStr">
        <is>
          <t>APERTURA</t>
        </is>
      </c>
      <c r="H457" t="inlineStr">
        <is>
          <t>CB CRECIMIENTO - NUEVO</t>
        </is>
      </c>
      <c r="I457" t="inlineStr">
        <is>
          <t>ANTIOQUIA</t>
        </is>
      </c>
      <c r="J457" t="inlineStr">
        <is>
          <t>APARTADO</t>
        </is>
      </c>
      <c r="K457" t="inlineStr">
        <is>
          <t>BARRIO LAURELES APARTADO ANTIOQUIA APARTADO</t>
        </is>
      </c>
      <c r="L457" t="inlineStr">
        <is>
          <t>BANCOLOMBIA</t>
        </is>
      </c>
      <c r="M457" t="inlineStr">
        <is>
          <t>FO-25-1402319</t>
        </is>
      </c>
      <c r="N457" s="46" t="n">
        <v>45890.63125</v>
      </c>
      <c r="O457" s="46" t="n">
        <v>45894.29930555556</v>
      </c>
      <c r="P457" t="inlineStr">
        <is>
          <t>UNO A UNO</t>
        </is>
      </c>
      <c r="Q457" t="inlineStr">
        <is>
          <t>UNO A UNO</t>
        </is>
      </c>
      <c r="R457" t="inlineStr">
        <is>
          <t>EJECUTADO</t>
        </is>
      </c>
      <c r="S457" t="inlineStr">
        <is>
          <t>VISITA TECNICA</t>
        </is>
      </c>
      <c r="T457" t="inlineStr">
        <is>
          <t>SIZZZ908</t>
        </is>
      </c>
      <c r="U457" t="inlineStr">
        <is>
          <t>TIPO I</t>
        </is>
      </c>
      <c r="V457" t="inlineStr">
        <is>
          <t>TERRESTRE</t>
        </is>
      </c>
      <c r="W457" t="inlineStr">
        <is>
          <t>SALDARRIAGA MIRANDA SANTIAGO</t>
        </is>
      </c>
      <c r="X457" t="inlineStr">
        <is>
          <t>Si</t>
        </is>
      </c>
      <c r="Y457" t="inlineStr">
        <is>
          <t>Si</t>
        </is>
      </c>
      <c r="Z457" s="45" t="n">
        <v>0</v>
      </c>
      <c r="AA457" t="inlineStr">
        <is>
          <t>0</t>
        </is>
      </c>
      <c r="AB457" s="45" t="n">
        <v>194983</v>
      </c>
      <c r="AC457" s="45" t="n">
        <v>0</v>
      </c>
    </row>
    <row r="458">
      <c r="A458" t="inlineStr">
        <is>
          <t>MANIZALES</t>
        </is>
      </c>
      <c r="B458" t="inlineStr">
        <is>
          <t>SUROCCIDENTE Y EJE CAFETERO</t>
        </is>
      </c>
      <c r="C458" t="inlineStr">
        <is>
          <t>0004-0002</t>
        </is>
      </c>
      <c r="D458" t="inlineStr">
        <is>
          <t>17001</t>
        </is>
      </c>
      <c r="E458" t="inlineStr">
        <is>
          <t>TA-25-992149</t>
        </is>
      </c>
      <c r="F458" t="inlineStr">
        <is>
          <t>3007081145</t>
        </is>
      </c>
      <c r="G458" t="inlineStr">
        <is>
          <t>APERTURA</t>
        </is>
      </c>
      <c r="H458" t="inlineStr">
        <is>
          <t>CB CRECIMIENTO - NUEVO</t>
        </is>
      </c>
      <c r="I458" t="inlineStr">
        <is>
          <t>CALDAS</t>
        </is>
      </c>
      <c r="J458" t="inlineStr">
        <is>
          <t>MANIZALES</t>
        </is>
      </c>
      <c r="K458" t="inlineStr">
        <is>
          <t>BARRIO LOS CAMBULOS MANEIZALES</t>
        </is>
      </c>
      <c r="L458" t="inlineStr">
        <is>
          <t>BANCOLOMBIA</t>
        </is>
      </c>
      <c r="M458" t="inlineStr">
        <is>
          <t>FO-25-1402324</t>
        </is>
      </c>
      <c r="N458" s="46" t="n">
        <v>45890.66527777778</v>
      </c>
      <c r="O458" s="46" t="n">
        <v>45895.39930555555</v>
      </c>
      <c r="P458" t="inlineStr">
        <is>
          <t>UNO A UNO</t>
        </is>
      </c>
      <c r="Q458" t="inlineStr">
        <is>
          <t>UNO A UNO</t>
        </is>
      </c>
      <c r="R458" t="inlineStr">
        <is>
          <t>EJECUTADO</t>
        </is>
      </c>
      <c r="S458" t="inlineStr">
        <is>
          <t>VISITA TECNICA</t>
        </is>
      </c>
      <c r="T458" t="inlineStr">
        <is>
          <t>SIZZZ910</t>
        </is>
      </c>
      <c r="U458" t="inlineStr">
        <is>
          <t>TIPO I</t>
        </is>
      </c>
      <c r="V458" t="inlineStr">
        <is>
          <t>TERRESTRE</t>
        </is>
      </c>
      <c r="W458" t="inlineStr">
        <is>
          <t>FRANCO CAÑAVERAL YAMID RAUL</t>
        </is>
      </c>
      <c r="X458" t="inlineStr">
        <is>
          <t>Si</t>
        </is>
      </c>
      <c r="Y458" t="inlineStr">
        <is>
          <t>Si</t>
        </is>
      </c>
      <c r="Z458" s="45" t="n">
        <v>0</v>
      </c>
      <c r="AA458" t="inlineStr">
        <is>
          <t>0</t>
        </is>
      </c>
      <c r="AB458" s="45" t="n">
        <v>194983</v>
      </c>
      <c r="AC458" s="45" t="n">
        <v>0</v>
      </c>
    </row>
    <row r="459">
      <c r="A459" t="inlineStr">
        <is>
          <t>PASTO</t>
        </is>
      </c>
      <c r="B459" t="inlineStr">
        <is>
          <t>SUROCCIDENTE Y EJE CAFETERO</t>
        </is>
      </c>
      <c r="C459" t="inlineStr">
        <is>
          <t>0004-0003</t>
        </is>
      </c>
      <c r="D459" t="inlineStr">
        <is>
          <t>52356</t>
        </is>
      </c>
      <c r="E459" t="inlineStr">
        <is>
          <t>TA-25-992151</t>
        </is>
      </c>
      <c r="F459" t="inlineStr">
        <is>
          <t>3007081140</t>
        </is>
      </c>
      <c r="G459" t="inlineStr">
        <is>
          <t>APERTURA</t>
        </is>
      </c>
      <c r="H459" t="inlineStr">
        <is>
          <t>CB CRECIMIENTO - NUEVO</t>
        </is>
      </c>
      <c r="I459" t="inlineStr">
        <is>
          <t>NARIÑO</t>
        </is>
      </c>
      <c r="J459" t="inlineStr">
        <is>
          <t>IPIALES</t>
        </is>
      </c>
      <c r="K459" t="inlineStr">
        <is>
          <t>BARRIO OBRERO IPIALES 6</t>
        </is>
      </c>
      <c r="L459" t="inlineStr">
        <is>
          <t>BANCOLOMBIA</t>
        </is>
      </c>
      <c r="M459" t="inlineStr">
        <is>
          <t>FO-25-1402328</t>
        </is>
      </c>
      <c r="N459" s="46" t="n">
        <v>45890.66944444444</v>
      </c>
      <c r="O459" s="46" t="n">
        <v>45891.63611111111</v>
      </c>
      <c r="P459" t="inlineStr">
        <is>
          <t>UNO A UNO</t>
        </is>
      </c>
      <c r="Q459" t="inlineStr">
        <is>
          <t>UNO A UNO</t>
        </is>
      </c>
      <c r="R459" t="inlineStr">
        <is>
          <t>EJECUTADO</t>
        </is>
      </c>
      <c r="S459" t="inlineStr">
        <is>
          <t>VISITA TECNICA</t>
        </is>
      </c>
      <c r="T459" t="inlineStr">
        <is>
          <t>SIZZZ911</t>
        </is>
      </c>
      <c r="U459" t="inlineStr">
        <is>
          <t>TIPO II</t>
        </is>
      </c>
      <c r="V459" t="inlineStr">
        <is>
          <t>TERRESTRE</t>
        </is>
      </c>
      <c r="W459" t="inlineStr">
        <is>
          <t>PAZ MARTINEZ RICHARD HUMBERTO</t>
        </is>
      </c>
      <c r="X459" t="inlineStr">
        <is>
          <t>Si</t>
        </is>
      </c>
      <c r="Y459" t="inlineStr">
        <is>
          <t>Si</t>
        </is>
      </c>
      <c r="Z459" s="45" t="n">
        <v>0</v>
      </c>
      <c r="AA459" t="inlineStr">
        <is>
          <t>0</t>
        </is>
      </c>
      <c r="AB459" s="45" t="n">
        <v>248376</v>
      </c>
      <c r="AC459" s="45" t="n">
        <v>0</v>
      </c>
    </row>
    <row r="460">
      <c r="A460" t="inlineStr">
        <is>
          <t>CALI</t>
        </is>
      </c>
      <c r="B460" t="inlineStr">
        <is>
          <t>SUROCCIDENTE Y EJE CAFETERO</t>
        </is>
      </c>
      <c r="C460" t="inlineStr">
        <is>
          <t>0004-0003</t>
        </is>
      </c>
      <c r="D460" t="inlineStr">
        <is>
          <t>19698</t>
        </is>
      </c>
      <c r="E460" t="inlineStr">
        <is>
          <t>TA-25-992155</t>
        </is>
      </c>
      <c r="F460" t="inlineStr">
        <is>
          <t>3007081157</t>
        </is>
      </c>
      <c r="G460" t="inlineStr">
        <is>
          <t>APERTURA</t>
        </is>
      </c>
      <c r="H460" t="inlineStr">
        <is>
          <t>CB CRECIMIENTO - NUEVO</t>
        </is>
      </c>
      <c r="I460" t="inlineStr">
        <is>
          <t>CAUCA</t>
        </is>
      </c>
      <c r="J460" t="inlineStr">
        <is>
          <t>SANTANDER DE QUILICHAO</t>
        </is>
      </c>
      <c r="K460" t="inlineStr">
        <is>
          <t>BARRIO PANAMERICANO SANTANDER DE QUILICHAO  3</t>
        </is>
      </c>
      <c r="L460" t="inlineStr">
        <is>
          <t>BANCOLOMBIA</t>
        </is>
      </c>
      <c r="M460" t="inlineStr">
        <is>
          <t>FO-25-1402332</t>
        </is>
      </c>
      <c r="N460" s="46" t="n">
        <v>45890.68125</v>
      </c>
      <c r="O460" s="46" t="n">
        <v>45894.30138888889</v>
      </c>
      <c r="P460" t="inlineStr">
        <is>
          <t>UNO A UNO</t>
        </is>
      </c>
      <c r="Q460" t="inlineStr">
        <is>
          <t>UNO A UNO</t>
        </is>
      </c>
      <c r="R460" t="inlineStr">
        <is>
          <t>EJECUTADO</t>
        </is>
      </c>
      <c r="S460" t="inlineStr">
        <is>
          <t>VISITA TECNICA</t>
        </is>
      </c>
      <c r="T460" t="inlineStr">
        <is>
          <t>SIZZZ912</t>
        </is>
      </c>
      <c r="U460" t="inlineStr">
        <is>
          <t>TIPO II</t>
        </is>
      </c>
      <c r="V460" t="inlineStr">
        <is>
          <t>TERRESTRE</t>
        </is>
      </c>
      <c r="W460" t="inlineStr">
        <is>
          <t>BOLAÑOS TABORDA JORGE ENRIQUE</t>
        </is>
      </c>
      <c r="X460" t="inlineStr">
        <is>
          <t>Si</t>
        </is>
      </c>
      <c r="Y460" t="inlineStr">
        <is>
          <t>Si</t>
        </is>
      </c>
      <c r="Z460" s="45" t="n">
        <v>0</v>
      </c>
      <c r="AA460" t="inlineStr">
        <is>
          <t>0</t>
        </is>
      </c>
      <c r="AB460" s="45" t="n">
        <v>248376</v>
      </c>
      <c r="AC460" s="45" t="n">
        <v>0</v>
      </c>
    </row>
    <row r="461">
      <c r="A461" t="inlineStr">
        <is>
          <t>MEDELLIN</t>
        </is>
      </c>
      <c r="B461" t="inlineStr">
        <is>
          <t>NOROCCIDENTE</t>
        </is>
      </c>
      <c r="C461" t="inlineStr">
        <is>
          <t>0004-0005</t>
        </is>
      </c>
      <c r="D461" t="inlineStr">
        <is>
          <t>5789</t>
        </is>
      </c>
      <c r="E461" t="inlineStr">
        <is>
          <t>TA-25-992160</t>
        </is>
      </c>
      <c r="F461" t="inlineStr">
        <is>
          <t>3007081156</t>
        </is>
      </c>
      <c r="G461" t="inlineStr">
        <is>
          <t>APERTURA</t>
        </is>
      </c>
      <c r="H461" t="inlineStr">
        <is>
          <t>CB CRECIMIENTO - NUEVO</t>
        </is>
      </c>
      <c r="I461" t="inlineStr">
        <is>
          <t>ANTIOQUIA</t>
        </is>
      </c>
      <c r="J461" t="inlineStr">
        <is>
          <t>TAMESIS</t>
        </is>
      </c>
      <c r="K461" t="inlineStr">
        <is>
          <t>BARRIO PARQUE TAMESIS   2</t>
        </is>
      </c>
      <c r="L461" t="inlineStr">
        <is>
          <t>BANCOLOMBIA</t>
        </is>
      </c>
      <c r="M461" t="inlineStr">
        <is>
          <t>FO-25-1402338</t>
        </is>
      </c>
      <c r="N461" s="46" t="n">
        <v>45890.63125</v>
      </c>
      <c r="O461" s="46" t="n">
        <v>45891.47291666667</v>
      </c>
      <c r="P461" t="inlineStr">
        <is>
          <t>UNO A UNO</t>
        </is>
      </c>
      <c r="Q461" t="inlineStr">
        <is>
          <t>UNO A UNO</t>
        </is>
      </c>
      <c r="R461" t="inlineStr">
        <is>
          <t>EJECUTADO</t>
        </is>
      </c>
      <c r="S461" t="inlineStr">
        <is>
          <t>VISITA TECNICA</t>
        </is>
      </c>
      <c r="T461" t="inlineStr">
        <is>
          <t>SIZZZ913</t>
        </is>
      </c>
      <c r="U461" t="inlineStr">
        <is>
          <t>TIPO III</t>
        </is>
      </c>
      <c r="V461" t="inlineStr">
        <is>
          <t>TERRESTRE</t>
        </is>
      </c>
      <c r="W461" t="inlineStr">
        <is>
          <t>QUINTERO SANCHEZ JUAN SEBASTIAN</t>
        </is>
      </c>
      <c r="X461" t="inlineStr">
        <is>
          <t>Si</t>
        </is>
      </c>
      <c r="Y461" t="inlineStr">
        <is>
          <t>Si</t>
        </is>
      </c>
      <c r="Z461" s="45" t="n">
        <v>0</v>
      </c>
      <c r="AA461" t="inlineStr">
        <is>
          <t>0</t>
        </is>
      </c>
      <c r="AB461" s="45" t="n">
        <v>248376</v>
      </c>
      <c r="AC461" s="45" t="n">
        <v>0</v>
      </c>
    </row>
    <row r="462">
      <c r="A462" t="inlineStr">
        <is>
          <t>BOGOTA</t>
        </is>
      </c>
      <c r="B462" t="inlineStr">
        <is>
          <t>CUNDINAMARCA</t>
        </is>
      </c>
      <c r="C462" t="inlineStr">
        <is>
          <t>0004-0004</t>
        </is>
      </c>
      <c r="D462" t="inlineStr">
        <is>
          <t>11001</t>
        </is>
      </c>
      <c r="E462" t="inlineStr">
        <is>
          <t>TA-25-992166</t>
        </is>
      </c>
      <c r="F462" t="inlineStr">
        <is>
          <t>3007081121</t>
        </is>
      </c>
      <c r="G462" t="inlineStr">
        <is>
          <t>APERTURA</t>
        </is>
      </c>
      <c r="H462" t="inlineStr">
        <is>
          <t>CB CRECIMIENTO - NUEVO</t>
        </is>
      </c>
      <c r="I462" t="inlineStr">
        <is>
          <t>CUNDINAMARCA</t>
        </is>
      </c>
      <c r="J462" t="inlineStr">
        <is>
          <t>BOGOTA</t>
        </is>
      </c>
      <c r="K462" t="inlineStr">
        <is>
          <t>BARRIO PATIO BONITO II SECTOR BOGOTA</t>
        </is>
      </c>
      <c r="L462" t="inlineStr">
        <is>
          <t>BANCOLOMBIA</t>
        </is>
      </c>
      <c r="M462" t="inlineStr">
        <is>
          <t>FO-25-1402343</t>
        </is>
      </c>
      <c r="N462" s="46" t="n">
        <v>45890.86319444444</v>
      </c>
      <c r="O462" s="46" t="n">
        <v>45891.65208333333</v>
      </c>
      <c r="P462" t="inlineStr">
        <is>
          <t>UNO A UNO</t>
        </is>
      </c>
      <c r="Q462" t="inlineStr">
        <is>
          <t>UNO A UNO</t>
        </is>
      </c>
      <c r="R462" t="inlineStr">
        <is>
          <t>EJECUTADO</t>
        </is>
      </c>
      <c r="S462" t="inlineStr">
        <is>
          <t>VISITA TECNICA</t>
        </is>
      </c>
      <c r="T462" t="inlineStr">
        <is>
          <t>SIZZZ914</t>
        </is>
      </c>
      <c r="U462" t="inlineStr">
        <is>
          <t>TIPO I</t>
        </is>
      </c>
      <c r="V462" t="inlineStr">
        <is>
          <t>TERRESTRE</t>
        </is>
      </c>
      <c r="W462" t="inlineStr">
        <is>
          <t>HERNANDEZ NARANJO OSCAR EDUARDO</t>
        </is>
      </c>
      <c r="X462" t="inlineStr">
        <is>
          <t>Si</t>
        </is>
      </c>
      <c r="Y462" t="inlineStr">
        <is>
          <t>Si</t>
        </is>
      </c>
      <c r="Z462" s="45" t="n">
        <v>0</v>
      </c>
      <c r="AA462" t="inlineStr">
        <is>
          <t>0</t>
        </is>
      </c>
      <c r="AB462" s="45" t="n">
        <v>194983</v>
      </c>
      <c r="AC462" s="45" t="n">
        <v>0</v>
      </c>
    </row>
    <row r="463">
      <c r="A463" t="inlineStr">
        <is>
          <t>BOGOTA</t>
        </is>
      </c>
      <c r="B463" t="inlineStr">
        <is>
          <t>CUNDINAMARCA</t>
        </is>
      </c>
      <c r="C463" t="inlineStr">
        <is>
          <t>0004-0004</t>
        </is>
      </c>
      <c r="D463" t="inlineStr">
        <is>
          <t>11001</t>
        </is>
      </c>
      <c r="E463" t="inlineStr">
        <is>
          <t>TA-25-992176</t>
        </is>
      </c>
      <c r="F463" t="inlineStr">
        <is>
          <t>3007081122</t>
        </is>
      </c>
      <c r="G463" t="inlineStr">
        <is>
          <t>APERTURA</t>
        </is>
      </c>
      <c r="H463" t="inlineStr">
        <is>
          <t>CB CRECIMIENTO - NUEVO</t>
        </is>
      </c>
      <c r="I463" t="inlineStr">
        <is>
          <t>CUNDINAMARCA</t>
        </is>
      </c>
      <c r="J463" t="inlineStr">
        <is>
          <t>BOGOTA</t>
        </is>
      </c>
      <c r="K463" t="inlineStr">
        <is>
          <t>BARRIO POLO BOGOTA 2</t>
        </is>
      </c>
      <c r="L463" t="inlineStr">
        <is>
          <t>BANCOLOMBIA</t>
        </is>
      </c>
      <c r="M463" t="inlineStr">
        <is>
          <t>FO-25-1402386</t>
        </is>
      </c>
      <c r="N463" s="46" t="n">
        <v>45890.36319444444</v>
      </c>
      <c r="O463" s="46" t="n">
        <v>45895.36319444444</v>
      </c>
      <c r="P463" t="inlineStr">
        <is>
          <t>UNO A UNO</t>
        </is>
      </c>
      <c r="Q463" t="inlineStr">
        <is>
          <t>UNO A UNO</t>
        </is>
      </c>
      <c r="R463" t="inlineStr">
        <is>
          <t>EJECUTADO</t>
        </is>
      </c>
      <c r="S463" t="inlineStr">
        <is>
          <t>VISITA TECNICA</t>
        </is>
      </c>
      <c r="T463" t="inlineStr">
        <is>
          <t>SIZZZ916</t>
        </is>
      </c>
      <c r="U463" t="inlineStr">
        <is>
          <t>TIPO I</t>
        </is>
      </c>
      <c r="V463" t="inlineStr">
        <is>
          <t>TERRESTRE</t>
        </is>
      </c>
      <c r="W463" t="inlineStr">
        <is>
          <t>GOMEZ VEGA DAVID SNEYDER</t>
        </is>
      </c>
      <c r="X463" t="inlineStr">
        <is>
          <t>Si</t>
        </is>
      </c>
      <c r="Y463" t="inlineStr">
        <is>
          <t>Si</t>
        </is>
      </c>
      <c r="Z463" s="45" t="n">
        <v>0</v>
      </c>
      <c r="AA463" t="inlineStr">
        <is>
          <t>0</t>
        </is>
      </c>
      <c r="AB463" s="45" t="n">
        <v>194983</v>
      </c>
      <c r="AC463" s="45" t="n">
        <v>0</v>
      </c>
    </row>
    <row r="464">
      <c r="A464" t="inlineStr">
        <is>
          <t>MEDELLIN</t>
        </is>
      </c>
      <c r="B464" t="inlineStr">
        <is>
          <t>NOROCCIDENTE</t>
        </is>
      </c>
      <c r="C464" t="inlineStr">
        <is>
          <t>0004-0005</t>
        </is>
      </c>
      <c r="D464" t="inlineStr">
        <is>
          <t>5001</t>
        </is>
      </c>
      <c r="E464" t="inlineStr">
        <is>
          <t>TA-25-992179</t>
        </is>
      </c>
      <c r="F464" t="inlineStr">
        <is>
          <t>3007081162</t>
        </is>
      </c>
      <c r="G464" t="inlineStr">
        <is>
          <t>APERTURA</t>
        </is>
      </c>
      <c r="H464" t="inlineStr">
        <is>
          <t>CB CRECIMIENTO - NUEVO</t>
        </is>
      </c>
      <c r="I464" t="inlineStr">
        <is>
          <t>ANTIOQUIA</t>
        </is>
      </c>
      <c r="J464" t="inlineStr">
        <is>
          <t>MEDELLIN</t>
        </is>
      </c>
      <c r="K464" t="inlineStr">
        <is>
          <t>BARRIO ROBLEDO MEDELLIN 29</t>
        </is>
      </c>
      <c r="L464" t="inlineStr">
        <is>
          <t>BANCOLOMBIA</t>
        </is>
      </c>
      <c r="M464" t="inlineStr">
        <is>
          <t>FO-25-1402405</t>
        </is>
      </c>
      <c r="N464" s="46" t="n">
        <v>45890.65277777778</v>
      </c>
      <c r="O464" s="46" t="n">
        <v>45894.58541666667</v>
      </c>
      <c r="P464" t="inlineStr">
        <is>
          <t>UNO A UNO</t>
        </is>
      </c>
      <c r="Q464" t="inlineStr">
        <is>
          <t>UNO A UNO</t>
        </is>
      </c>
      <c r="R464" t="inlineStr">
        <is>
          <t>EJECUTADO</t>
        </is>
      </c>
      <c r="S464" t="inlineStr">
        <is>
          <t>VISITA TECNICA</t>
        </is>
      </c>
      <c r="T464" t="inlineStr">
        <is>
          <t>SIZZZ917</t>
        </is>
      </c>
      <c r="U464" t="inlineStr">
        <is>
          <t>TIPO I</t>
        </is>
      </c>
      <c r="V464" t="inlineStr">
        <is>
          <t>TERRESTRE</t>
        </is>
      </c>
      <c r="W464" t="inlineStr">
        <is>
          <t>BADEL ACUÑA LUIS ALBERTO</t>
        </is>
      </c>
      <c r="X464" t="inlineStr">
        <is>
          <t>Si</t>
        </is>
      </c>
      <c r="Y464" t="inlineStr">
        <is>
          <t>Si</t>
        </is>
      </c>
      <c r="Z464" s="45" t="n">
        <v>0</v>
      </c>
      <c r="AA464" t="inlineStr">
        <is>
          <t>0</t>
        </is>
      </c>
      <c r="AB464" s="45" t="n">
        <v>194983</v>
      </c>
      <c r="AC464" s="45" t="n">
        <v>0</v>
      </c>
    </row>
    <row r="465">
      <c r="A465" t="inlineStr">
        <is>
          <t>BOGOTA</t>
        </is>
      </c>
      <c r="B465" t="inlineStr">
        <is>
          <t>CUNDINAMARCA</t>
        </is>
      </c>
      <c r="C465" t="inlineStr">
        <is>
          <t>0004-0004</t>
        </is>
      </c>
      <c r="D465" t="inlineStr">
        <is>
          <t>11001</t>
        </is>
      </c>
      <c r="E465" t="inlineStr">
        <is>
          <t>TA-25-992183</t>
        </is>
      </c>
      <c r="F465" t="inlineStr">
        <is>
          <t>3007081123</t>
        </is>
      </c>
      <c r="G465" t="inlineStr">
        <is>
          <t>APERTURA</t>
        </is>
      </c>
      <c r="H465" t="inlineStr">
        <is>
          <t>CB CRECIMIENTO - NUEVO</t>
        </is>
      </c>
      <c r="I465" t="inlineStr">
        <is>
          <t>CUNDINAMARCA</t>
        </is>
      </c>
      <c r="J465" t="inlineStr">
        <is>
          <t>BOGOTA</t>
        </is>
      </c>
      <c r="K465" t="inlineStr">
        <is>
          <t>BARRIO SERRANIAS BOGOTA</t>
        </is>
      </c>
      <c r="L465" t="inlineStr">
        <is>
          <t>BANCOLOMBIA</t>
        </is>
      </c>
      <c r="M465" t="inlineStr">
        <is>
          <t>FO-25-1402466</t>
        </is>
      </c>
      <c r="N465" s="46" t="n">
        <v>45890.74791666667</v>
      </c>
      <c r="O465" s="46" t="n">
        <v>45894.58819444444</v>
      </c>
      <c r="P465" t="inlineStr">
        <is>
          <t>UNO A UNO</t>
        </is>
      </c>
      <c r="Q465" t="inlineStr">
        <is>
          <t>UNO A UNO</t>
        </is>
      </c>
      <c r="R465" t="inlineStr">
        <is>
          <t>EJECUTADO</t>
        </is>
      </c>
      <c r="S465" t="inlineStr">
        <is>
          <t>VISITA TECNICA</t>
        </is>
      </c>
      <c r="T465" t="inlineStr">
        <is>
          <t>SIZZZ920</t>
        </is>
      </c>
      <c r="U465" t="inlineStr">
        <is>
          <t>TIPO I</t>
        </is>
      </c>
      <c r="V465" t="inlineStr">
        <is>
          <t>TERRESTRE</t>
        </is>
      </c>
      <c r="W465" t="inlineStr">
        <is>
          <t>BUSTOS MORA DIEGO MANUEL</t>
        </is>
      </c>
      <c r="X465" t="inlineStr">
        <is>
          <t>Si</t>
        </is>
      </c>
      <c r="Y465" t="inlineStr">
        <is>
          <t>Si</t>
        </is>
      </c>
      <c r="Z465" s="45" t="n">
        <v>0</v>
      </c>
      <c r="AA465" t="inlineStr">
        <is>
          <t>0</t>
        </is>
      </c>
      <c r="AB465" s="45" t="n">
        <v>194983</v>
      </c>
      <c r="AC465" s="45" t="n">
        <v>0</v>
      </c>
    </row>
    <row r="466">
      <c r="A466" t="inlineStr">
        <is>
          <t>VILLAVICENCIO</t>
        </is>
      </c>
      <c r="B466" t="inlineStr">
        <is>
          <t>REMOTAS</t>
        </is>
      </c>
      <c r="C466" t="inlineStr">
        <is>
          <t>0004-0007</t>
        </is>
      </c>
      <c r="D466" t="inlineStr">
        <is>
          <t>50001</t>
        </is>
      </c>
      <c r="E466" t="inlineStr">
        <is>
          <t>TA-25-992185</t>
        </is>
      </c>
      <c r="F466" t="inlineStr">
        <is>
          <t>3007081161</t>
        </is>
      </c>
      <c r="G466" t="inlineStr">
        <is>
          <t>APERTURA</t>
        </is>
      </c>
      <c r="H466" t="inlineStr">
        <is>
          <t>CB CRECIMIENTO - NUEVO</t>
        </is>
      </c>
      <c r="I466" t="inlineStr">
        <is>
          <t>META</t>
        </is>
      </c>
      <c r="J466" t="inlineStr">
        <is>
          <t>VILLAVICENCIO</t>
        </is>
      </c>
      <c r="K466" t="inlineStr">
        <is>
          <t>BARRIO SEXTA ETAPA ESPERANZA VILLAVICENCIO</t>
        </is>
      </c>
      <c r="L466" t="inlineStr">
        <is>
          <t>BANCOLOMBIA</t>
        </is>
      </c>
      <c r="M466" t="inlineStr">
        <is>
          <t>FO-25-1402484</t>
        </is>
      </c>
      <c r="N466" s="46" t="n">
        <v>45890.54513888889</v>
      </c>
      <c r="O466" s="46" t="n">
        <v>45891.63472222222</v>
      </c>
      <c r="P466" t="inlineStr">
        <is>
          <t>UNO A UNO</t>
        </is>
      </c>
      <c r="Q466" t="inlineStr">
        <is>
          <t>UNO A UNO</t>
        </is>
      </c>
      <c r="R466" t="inlineStr">
        <is>
          <t>EJECUTADO</t>
        </is>
      </c>
      <c r="S466" t="inlineStr">
        <is>
          <t>VISITA TECNICA</t>
        </is>
      </c>
      <c r="T466" t="inlineStr">
        <is>
          <t>SIZZZ921</t>
        </is>
      </c>
      <c r="U466" t="inlineStr">
        <is>
          <t>TIPO I</t>
        </is>
      </c>
      <c r="V466" t="inlineStr">
        <is>
          <t>TERRESTRE</t>
        </is>
      </c>
      <c r="W466" t="inlineStr">
        <is>
          <t>ROZO JIMENEZ EDGAR ARMANDO</t>
        </is>
      </c>
      <c r="X466" t="inlineStr">
        <is>
          <t>Si</t>
        </is>
      </c>
      <c r="Y466" t="inlineStr">
        <is>
          <t>Si</t>
        </is>
      </c>
      <c r="Z466" s="45" t="n">
        <v>0</v>
      </c>
      <c r="AA466" t="inlineStr">
        <is>
          <t>0</t>
        </is>
      </c>
      <c r="AB466" s="45" t="n">
        <v>194983</v>
      </c>
      <c r="AC466" s="45" t="n">
        <v>0</v>
      </c>
    </row>
    <row r="467">
      <c r="A467" t="inlineStr">
        <is>
          <t>PEREIRA</t>
        </is>
      </c>
      <c r="B467" t="inlineStr">
        <is>
          <t>SUROCCIDENTE Y EJE CAFETERO</t>
        </is>
      </c>
      <c r="C467" t="inlineStr">
        <is>
          <t>0004-0002</t>
        </is>
      </c>
      <c r="D467" t="inlineStr">
        <is>
          <t>66001</t>
        </is>
      </c>
      <c r="E467" t="inlineStr">
        <is>
          <t>TA-25-992195</t>
        </is>
      </c>
      <c r="F467" t="inlineStr">
        <is>
          <t>3007081149</t>
        </is>
      </c>
      <c r="G467" t="inlineStr">
        <is>
          <t>APERTURA</t>
        </is>
      </c>
      <c r="H467" t="inlineStr">
        <is>
          <t>CB CRECIMIENTO - NUEVO</t>
        </is>
      </c>
      <c r="I467" t="inlineStr">
        <is>
          <t>RISARALDA</t>
        </is>
      </c>
      <c r="J467" t="inlineStr">
        <is>
          <t>PEREIRA</t>
        </is>
      </c>
      <c r="K467" t="inlineStr">
        <is>
          <t>BARRIO VILLAVICENCIO PAREIRA</t>
        </is>
      </c>
      <c r="L467" t="inlineStr">
        <is>
          <t>BANCOLOMBIA</t>
        </is>
      </c>
      <c r="M467" t="inlineStr">
        <is>
          <t>FO-25-1402525</t>
        </is>
      </c>
      <c r="N467" s="46" t="n">
        <v>45890.65416666667</v>
      </c>
      <c r="O467" s="46" t="n">
        <v>45891.55694444444</v>
      </c>
      <c r="P467" t="inlineStr">
        <is>
          <t>UNO A UNO</t>
        </is>
      </c>
      <c r="Q467" t="inlineStr">
        <is>
          <t>UNO A UNO</t>
        </is>
      </c>
      <c r="R467" t="inlineStr">
        <is>
          <t>EJECUTADO</t>
        </is>
      </c>
      <c r="S467" t="inlineStr">
        <is>
          <t>VISITA TECNICA</t>
        </is>
      </c>
      <c r="T467" t="inlineStr">
        <is>
          <t>SIZZZ923</t>
        </is>
      </c>
      <c r="U467" t="inlineStr">
        <is>
          <t>TIPO I</t>
        </is>
      </c>
      <c r="V467" t="inlineStr">
        <is>
          <t>TERRESTRE</t>
        </is>
      </c>
      <c r="W467" t="inlineStr">
        <is>
          <t>FRANCO CAÑAVERAL YAMID RAUL</t>
        </is>
      </c>
      <c r="X467" t="inlineStr">
        <is>
          <t>Si</t>
        </is>
      </c>
      <c r="Y467" t="inlineStr">
        <is>
          <t>Si</t>
        </is>
      </c>
      <c r="Z467" s="45" t="n">
        <v>0</v>
      </c>
      <c r="AA467" t="inlineStr">
        <is>
          <t>0</t>
        </is>
      </c>
      <c r="AB467" s="45" t="n">
        <v>194983</v>
      </c>
      <c r="AC467" s="45" t="n">
        <v>0</v>
      </c>
    </row>
    <row r="468">
      <c r="A468" t="inlineStr">
        <is>
          <t>MONTERIA</t>
        </is>
      </c>
      <c r="B468" t="inlineStr">
        <is>
          <t>COSTA</t>
        </is>
      </c>
      <c r="C468" t="inlineStr">
        <is>
          <t>0004-0001</t>
        </is>
      </c>
      <c r="D468" t="inlineStr">
        <is>
          <t>23672</t>
        </is>
      </c>
      <c r="E468" t="inlineStr">
        <is>
          <t>TA-25-992196</t>
        </is>
      </c>
      <c r="F468" t="inlineStr">
        <is>
          <t>3007080913</t>
        </is>
      </c>
      <c r="G468" t="inlineStr">
        <is>
          <t>APERTURA</t>
        </is>
      </c>
      <c r="H468" t="inlineStr">
        <is>
          <t>CB CRECIMIENTO - OTRAS LISTAS</t>
        </is>
      </c>
      <c r="I468" t="inlineStr">
        <is>
          <t>CORDOBA</t>
        </is>
      </c>
      <c r="J468" t="inlineStr">
        <is>
          <t>SAN ANTERO</t>
        </is>
      </c>
      <c r="K468" t="inlineStr">
        <is>
          <t>BARRIO CGT EL PORVENIR SAN ANTERO</t>
        </is>
      </c>
      <c r="L468" t="inlineStr">
        <is>
          <t>BANCOLOMBIA</t>
        </is>
      </c>
      <c r="M468" t="inlineStr">
        <is>
          <t>FO-25-1402543</t>
        </is>
      </c>
      <c r="N468" s="46" t="n">
        <v>45890.60972222222</v>
      </c>
      <c r="O468" s="46" t="n">
        <v>45894.59444444445</v>
      </c>
      <c r="P468" t="inlineStr">
        <is>
          <t>UNO A UNO</t>
        </is>
      </c>
      <c r="Q468" t="inlineStr">
        <is>
          <t>UNO A UNO</t>
        </is>
      </c>
      <c r="R468" t="inlineStr">
        <is>
          <t>EJECUTADO</t>
        </is>
      </c>
      <c r="S468" t="inlineStr">
        <is>
          <t>VISITA TECNICA</t>
        </is>
      </c>
      <c r="T468" t="inlineStr">
        <is>
          <t>SIZZZ924</t>
        </is>
      </c>
      <c r="U468" t="inlineStr">
        <is>
          <t>TIPO II</t>
        </is>
      </c>
      <c r="V468" t="inlineStr">
        <is>
          <t>TERRESTRE</t>
        </is>
      </c>
      <c r="W468" t="inlineStr">
        <is>
          <t>CASSIANI PEREZ RAUL RAMIRO</t>
        </is>
      </c>
      <c r="X468" t="inlineStr">
        <is>
          <t>Si</t>
        </is>
      </c>
      <c r="Y468" t="inlineStr">
        <is>
          <t>Si</t>
        </is>
      </c>
      <c r="Z468" s="45" t="n">
        <v>0</v>
      </c>
      <c r="AA468" t="inlineStr">
        <is>
          <t>0</t>
        </is>
      </c>
      <c r="AB468" s="45" t="n">
        <v>248376</v>
      </c>
      <c r="AC468" s="45" t="n">
        <v>0</v>
      </c>
    </row>
    <row r="469">
      <c r="A469" t="inlineStr">
        <is>
          <t>YOPAL</t>
        </is>
      </c>
      <c r="B469" t="inlineStr">
        <is>
          <t>REMOTAS</t>
        </is>
      </c>
      <c r="C469" t="inlineStr">
        <is>
          <t>0004-0007</t>
        </is>
      </c>
      <c r="D469" t="inlineStr">
        <is>
          <t>85250</t>
        </is>
      </c>
      <c r="E469" t="inlineStr">
        <is>
          <t>TA-25-992197</t>
        </is>
      </c>
      <c r="F469" t="inlineStr">
        <is>
          <t>3007080906</t>
        </is>
      </c>
      <c r="G469" t="inlineStr">
        <is>
          <t>APERTURA</t>
        </is>
      </c>
      <c r="H469" t="inlineStr">
        <is>
          <t>CB CRECIMIENTO - OTRAS LISTAS</t>
        </is>
      </c>
      <c r="I469" t="inlineStr">
        <is>
          <t>CASANARE</t>
        </is>
      </c>
      <c r="J469" t="inlineStr">
        <is>
          <t>PAZ DE ARIPORO</t>
        </is>
      </c>
      <c r="K469" t="inlineStr">
        <is>
          <t>BARRIO EL PALMAR PAZ DE ARIPORO 2</t>
        </is>
      </c>
      <c r="L469" t="inlineStr">
        <is>
          <t>BANCOLOMBIA</t>
        </is>
      </c>
      <c r="M469" t="inlineStr">
        <is>
          <t>FO-25-1402562</t>
        </is>
      </c>
      <c r="N469" s="46" t="n">
        <v>45890.92430555556</v>
      </c>
      <c r="O469" s="46" t="n">
        <v>45894.29027777778</v>
      </c>
      <c r="P469" t="inlineStr">
        <is>
          <t>UNO A UNO</t>
        </is>
      </c>
      <c r="Q469" t="inlineStr">
        <is>
          <t>UNO A UNO</t>
        </is>
      </c>
      <c r="R469" t="inlineStr">
        <is>
          <t>EJECUTADO</t>
        </is>
      </c>
      <c r="S469" t="inlineStr">
        <is>
          <t>VISITA TECNICA</t>
        </is>
      </c>
      <c r="T469" t="inlineStr">
        <is>
          <t>SIZZZ925</t>
        </is>
      </c>
      <c r="U469" t="inlineStr">
        <is>
          <t>TIPO II</t>
        </is>
      </c>
      <c r="V469" t="inlineStr">
        <is>
          <t>TERRESTRE</t>
        </is>
      </c>
      <c r="W469" t="inlineStr">
        <is>
          <t>BERNAL ELAICA EDGAR ALEXIS</t>
        </is>
      </c>
      <c r="X469" t="inlineStr">
        <is>
          <t>Si</t>
        </is>
      </c>
      <c r="Y469" t="inlineStr">
        <is>
          <t>Si</t>
        </is>
      </c>
      <c r="Z469" s="45" t="n">
        <v>0</v>
      </c>
      <c r="AA469" t="inlineStr">
        <is>
          <t>0</t>
        </is>
      </c>
      <c r="AB469" s="45" t="n">
        <v>248376</v>
      </c>
      <c r="AC469" s="45" t="n">
        <v>0</v>
      </c>
    </row>
    <row r="470">
      <c r="A470" t="inlineStr">
        <is>
          <t>APARTADO</t>
        </is>
      </c>
      <c r="B470" t="inlineStr">
        <is>
          <t>NOROCCIDENTE</t>
        </is>
      </c>
      <c r="C470" t="inlineStr">
        <is>
          <t>0004-0005</t>
        </is>
      </c>
      <c r="D470" t="inlineStr">
        <is>
          <t>5490</t>
        </is>
      </c>
      <c r="E470" t="inlineStr">
        <is>
          <t>TA-25-992996</t>
        </is>
      </c>
      <c r="F470" t="inlineStr">
        <is>
          <t>3007081113</t>
        </is>
      </c>
      <c r="G470" t="inlineStr">
        <is>
          <t>APERTURA</t>
        </is>
      </c>
      <c r="H470" t="inlineStr">
        <is>
          <t>CB CRECIMIENTO ALIANZA - NUEVO</t>
        </is>
      </c>
      <c r="I470" t="inlineStr">
        <is>
          <t>ANTIOQUIA</t>
        </is>
      </c>
      <c r="J470" t="inlineStr">
        <is>
          <t>NECOCLI</t>
        </is>
      </c>
      <c r="K470" t="inlineStr">
        <is>
          <t>DISTRICOL VARIEDADES GUACAMAYA</t>
        </is>
      </c>
      <c r="L470" t="inlineStr">
        <is>
          <t>BANCOLOMBIA</t>
        </is>
      </c>
      <c r="M470" t="inlineStr">
        <is>
          <t>FO-25-1404415</t>
        </is>
      </c>
      <c r="N470" s="46" t="n">
        <v>45890.64513888889</v>
      </c>
      <c r="O470" s="46" t="n">
        <v>45896.30208333334</v>
      </c>
      <c r="P470" t="inlineStr">
        <is>
          <t>AGREGADOR</t>
        </is>
      </c>
      <c r="Q470" t="inlineStr">
        <is>
          <t>DISTRICOL</t>
        </is>
      </c>
      <c r="R470" t="inlineStr">
        <is>
          <t>EJECUTADO</t>
        </is>
      </c>
      <c r="S470" t="inlineStr">
        <is>
          <t>VISITA TECNICA</t>
        </is>
      </c>
      <c r="T470" t="inlineStr">
        <is>
          <t>SIZZZ933</t>
        </is>
      </c>
      <c r="U470" t="inlineStr">
        <is>
          <t>TIPO II</t>
        </is>
      </c>
      <c r="V470" t="inlineStr">
        <is>
          <t>TERRESTRE</t>
        </is>
      </c>
      <c r="W470" t="inlineStr">
        <is>
          <t>GONZALEZ FERRER JESUS ALEXANDER</t>
        </is>
      </c>
      <c r="X470" t="inlineStr">
        <is>
          <t>Si</t>
        </is>
      </c>
      <c r="Y470" t="inlineStr">
        <is>
          <t>Si</t>
        </is>
      </c>
      <c r="Z470" s="45" t="n">
        <v>0</v>
      </c>
      <c r="AA470" t="inlineStr">
        <is>
          <t>0</t>
        </is>
      </c>
      <c r="AB470" s="45" t="n">
        <v>248376</v>
      </c>
      <c r="AC470" s="45" t="n">
        <v>0</v>
      </c>
    </row>
    <row r="471">
      <c r="A471" t="inlineStr">
        <is>
          <t>MEDELLIN</t>
        </is>
      </c>
      <c r="B471" t="inlineStr">
        <is>
          <t>NOROCCIDENTE</t>
        </is>
      </c>
      <c r="C471" t="inlineStr">
        <is>
          <t>0004-0005</t>
        </is>
      </c>
      <c r="D471" t="inlineStr">
        <is>
          <t>5887</t>
        </is>
      </c>
      <c r="E471" t="inlineStr">
        <is>
          <t>TA-25-992999</t>
        </is>
      </c>
      <c r="F471" t="inlineStr">
        <is>
          <t>3007081119</t>
        </is>
      </c>
      <c r="G471" t="inlineStr">
        <is>
          <t>APERTURA</t>
        </is>
      </c>
      <c r="H471" t="inlineStr">
        <is>
          <t>CB CRECIMIENTO ALIANZA - NUEVO</t>
        </is>
      </c>
      <c r="I471" t="inlineStr">
        <is>
          <t>ANTIOQUIA</t>
        </is>
      </c>
      <c r="J471" t="inlineStr">
        <is>
          <t>YARUMAL</t>
        </is>
      </c>
      <c r="K471" t="inlineStr">
        <is>
          <t>DISTRICOL PAPELERIA DETALLES A</t>
        </is>
      </c>
      <c r="L471" t="inlineStr">
        <is>
          <t>BANCOLOMBIA</t>
        </is>
      </c>
      <c r="M471" t="inlineStr">
        <is>
          <t>FO-25-1404425</t>
        </is>
      </c>
      <c r="N471" s="46" t="n">
        <v>45890.65277777778</v>
      </c>
      <c r="O471" s="46" t="n">
        <v>45895.36388888889</v>
      </c>
      <c r="P471" t="inlineStr">
        <is>
          <t>AGREGADOR</t>
        </is>
      </c>
      <c r="Q471" t="inlineStr">
        <is>
          <t>DISTRICOL</t>
        </is>
      </c>
      <c r="R471" t="inlineStr">
        <is>
          <t>EJECUTADO</t>
        </is>
      </c>
      <c r="S471" t="inlineStr">
        <is>
          <t>VISITA TECNICA</t>
        </is>
      </c>
      <c r="T471" t="inlineStr">
        <is>
          <t>SIZZZ935</t>
        </is>
      </c>
      <c r="U471" t="inlineStr">
        <is>
          <t>TIPO III</t>
        </is>
      </c>
      <c r="V471" t="inlineStr">
        <is>
          <t>TERRESTRE</t>
        </is>
      </c>
      <c r="W471" t="inlineStr">
        <is>
          <t>PAREJA ECHAVARRIA JHON DAVID</t>
        </is>
      </c>
      <c r="X471" t="inlineStr">
        <is>
          <t>Si</t>
        </is>
      </c>
      <c r="Y471" t="inlineStr">
        <is>
          <t>Si</t>
        </is>
      </c>
      <c r="Z471" s="45" t="n">
        <v>0</v>
      </c>
      <c r="AA471" t="inlineStr">
        <is>
          <t>0</t>
        </is>
      </c>
      <c r="AB471" s="45" t="n">
        <v>248376</v>
      </c>
      <c r="AC471" s="45" t="n">
        <v>0</v>
      </c>
    </row>
    <row r="472">
      <c r="A472" t="inlineStr">
        <is>
          <t>MANIZALES</t>
        </is>
      </c>
      <c r="B472" t="inlineStr">
        <is>
          <t>SUROCCIDENTE Y EJE CAFETERO</t>
        </is>
      </c>
      <c r="C472" t="inlineStr">
        <is>
          <t>0004-0002</t>
        </is>
      </c>
      <c r="D472" t="inlineStr">
        <is>
          <t>17873</t>
        </is>
      </c>
      <c r="E472" t="inlineStr">
        <is>
          <t>TA-25-993008</t>
        </is>
      </c>
      <c r="F472" t="inlineStr">
        <is>
          <t>3007081117</t>
        </is>
      </c>
      <c r="G472" t="inlineStr">
        <is>
          <t>APERTURA</t>
        </is>
      </c>
      <c r="H472" t="inlineStr">
        <is>
          <t>CB CRECIMIENTO ALIANZA - NUEVO</t>
        </is>
      </c>
      <c r="I472" t="inlineStr">
        <is>
          <t>CALDAS</t>
        </is>
      </c>
      <c r="J472" t="inlineStr">
        <is>
          <t>VILLAMARIA</t>
        </is>
      </c>
      <c r="K472" t="inlineStr">
        <is>
          <t>DISTRICOL CITYPHONE CLUB</t>
        </is>
      </c>
      <c r="L472" t="inlineStr">
        <is>
          <t>BANCOLOMBIA</t>
        </is>
      </c>
      <c r="M472" t="inlineStr">
        <is>
          <t>FO-25-1404427</t>
        </is>
      </c>
      <c r="N472" s="46" t="n">
        <v>45890.64583333334</v>
      </c>
      <c r="O472" s="46" t="n">
        <v>45894.28611111111</v>
      </c>
      <c r="P472" t="inlineStr">
        <is>
          <t>AGREGADOR</t>
        </is>
      </c>
      <c r="Q472" t="inlineStr">
        <is>
          <t>DISTRICOL</t>
        </is>
      </c>
      <c r="R472" t="inlineStr">
        <is>
          <t>EJECUTADO</t>
        </is>
      </c>
      <c r="S472" t="inlineStr">
        <is>
          <t>VISITA TECNICA</t>
        </is>
      </c>
      <c r="T472" t="inlineStr">
        <is>
          <t>SIZZZ936</t>
        </is>
      </c>
      <c r="U472" t="inlineStr">
        <is>
          <t>TIPO I</t>
        </is>
      </c>
      <c r="V472" t="inlineStr">
        <is>
          <t>TERRESTRE</t>
        </is>
      </c>
      <c r="W472" t="inlineStr">
        <is>
          <t>AGUIRRE HENAO RAUL EDUARDO</t>
        </is>
      </c>
      <c r="X472" t="inlineStr">
        <is>
          <t>Si</t>
        </is>
      </c>
      <c r="Y472" t="inlineStr">
        <is>
          <t>Si</t>
        </is>
      </c>
      <c r="Z472" s="45" t="n">
        <v>0</v>
      </c>
      <c r="AA472" t="inlineStr">
        <is>
          <t>0</t>
        </is>
      </c>
      <c r="AB472" s="45" t="n">
        <v>194983</v>
      </c>
      <c r="AC472" s="45" t="n">
        <v>0</v>
      </c>
    </row>
    <row r="473">
      <c r="A473" t="inlineStr">
        <is>
          <t>SANTA MARTA</t>
        </is>
      </c>
      <c r="B473" t="inlineStr">
        <is>
          <t>COSTA</t>
        </is>
      </c>
      <c r="C473" t="inlineStr">
        <is>
          <t>0004-0001</t>
        </is>
      </c>
      <c r="D473" t="inlineStr">
        <is>
          <t>44430</t>
        </is>
      </c>
      <c r="E473" t="inlineStr">
        <is>
          <t>TA-25-993009</t>
        </is>
      </c>
      <c r="F473" t="inlineStr">
        <is>
          <t>3007081114</t>
        </is>
      </c>
      <c r="G473" t="inlineStr">
        <is>
          <t>APERTURA</t>
        </is>
      </c>
      <c r="H473" t="inlineStr">
        <is>
          <t>CB CRECIMIENTO ALIANZA - NUEVO</t>
        </is>
      </c>
      <c r="I473" t="inlineStr">
        <is>
          <t>LA GUAJIRA</t>
        </is>
      </c>
      <c r="J473" t="inlineStr">
        <is>
          <t>MAICAO</t>
        </is>
      </c>
      <c r="K473" t="inlineStr">
        <is>
          <t>DISTRICOL SAANTINA S.A.S</t>
        </is>
      </c>
      <c r="L473" t="inlineStr">
        <is>
          <t>BANCOLOMBIA</t>
        </is>
      </c>
      <c r="M473" t="inlineStr">
        <is>
          <t>FO-25-1404429</t>
        </is>
      </c>
      <c r="N473" s="46" t="n">
        <v>45890.63125</v>
      </c>
      <c r="O473" s="46" t="n">
        <v>45895.29027777778</v>
      </c>
      <c r="P473" t="inlineStr">
        <is>
          <t>AGREGADOR</t>
        </is>
      </c>
      <c r="Q473" t="inlineStr">
        <is>
          <t>DISTRICOL</t>
        </is>
      </c>
      <c r="R473" t="inlineStr">
        <is>
          <t>EJECUTADO</t>
        </is>
      </c>
      <c r="S473" t="inlineStr">
        <is>
          <t>VISITA TECNICA</t>
        </is>
      </c>
      <c r="T473" t="inlineStr">
        <is>
          <t>SIZZZ937</t>
        </is>
      </c>
      <c r="U473" t="inlineStr">
        <is>
          <t>TIPO IV</t>
        </is>
      </c>
      <c r="V473" t="inlineStr">
        <is>
          <t>TERRESTRE</t>
        </is>
      </c>
      <c r="W473" t="inlineStr">
        <is>
          <t>THOMAS  CAMPO SIGIFREDO SEGUNDO</t>
        </is>
      </c>
      <c r="X473" t="inlineStr">
        <is>
          <t>Si</t>
        </is>
      </c>
      <c r="Y473" t="inlineStr">
        <is>
          <t>Si</t>
        </is>
      </c>
      <c r="Z473" s="45" t="n">
        <v>0</v>
      </c>
      <c r="AA473" t="inlineStr">
        <is>
          <t>0</t>
        </is>
      </c>
      <c r="AB473" s="45" t="n">
        <v>248376</v>
      </c>
      <c r="AC473" s="45" t="n">
        <v>0</v>
      </c>
    </row>
    <row r="474">
      <c r="A474" t="inlineStr">
        <is>
          <t>PASTO</t>
        </is>
      </c>
      <c r="B474" t="inlineStr">
        <is>
          <t>SUROCCIDENTE Y EJE CAFETERO</t>
        </is>
      </c>
      <c r="C474" t="inlineStr">
        <is>
          <t>0004-0003</t>
        </is>
      </c>
      <c r="D474" t="inlineStr">
        <is>
          <t>52001</t>
        </is>
      </c>
      <c r="E474" t="inlineStr">
        <is>
          <t>TA-25-993010</t>
        </is>
      </c>
      <c r="F474" t="inlineStr">
        <is>
          <t>3007081115</t>
        </is>
      </c>
      <c r="G474" t="inlineStr">
        <is>
          <t>APERTURA</t>
        </is>
      </c>
      <c r="H474" t="inlineStr">
        <is>
          <t>CB CRECIMIENTO ALIANZA - NUEVO</t>
        </is>
      </c>
      <c r="I474" t="inlineStr">
        <is>
          <t>NARIÑO</t>
        </is>
      </c>
      <c r="J474" t="inlineStr">
        <is>
          <t>PASTO</t>
        </is>
      </c>
      <c r="K474" t="inlineStr">
        <is>
          <t>DISTRICOL CONECTADOS 123</t>
        </is>
      </c>
      <c r="L474" t="inlineStr">
        <is>
          <t>BANCOLOMBIA</t>
        </is>
      </c>
      <c r="M474" t="inlineStr">
        <is>
          <t>FO-25-1404432</t>
        </is>
      </c>
      <c r="N474" s="46" t="n">
        <v>45890.66597222222</v>
      </c>
      <c r="O474" s="46" t="n">
        <v>45891.55833333333</v>
      </c>
      <c r="P474" t="inlineStr">
        <is>
          <t>AGREGADOR</t>
        </is>
      </c>
      <c r="Q474" t="inlineStr">
        <is>
          <t>DISTRICOL</t>
        </is>
      </c>
      <c r="R474" t="inlineStr">
        <is>
          <t>EJECUTADO</t>
        </is>
      </c>
      <c r="S474" t="inlineStr">
        <is>
          <t>VISITA TECNICA</t>
        </is>
      </c>
      <c r="T474" t="inlineStr">
        <is>
          <t>SIZZZ938</t>
        </is>
      </c>
      <c r="U474" t="inlineStr">
        <is>
          <t>TIPO I</t>
        </is>
      </c>
      <c r="V474" t="inlineStr">
        <is>
          <t>TERRESTRE</t>
        </is>
      </c>
      <c r="W474" t="inlineStr">
        <is>
          <t>CASTILLO HERRERA ALEX RICARDO</t>
        </is>
      </c>
      <c r="X474" t="inlineStr">
        <is>
          <t>Si</t>
        </is>
      </c>
      <c r="Y474" t="inlineStr">
        <is>
          <t>Si</t>
        </is>
      </c>
      <c r="Z474" s="45" t="n">
        <v>0</v>
      </c>
      <c r="AA474" t="inlineStr">
        <is>
          <t>0</t>
        </is>
      </c>
      <c r="AB474" s="45" t="n">
        <v>194983</v>
      </c>
      <c r="AC474" s="45" t="n">
        <v>0</v>
      </c>
    </row>
    <row r="475">
      <c r="A475" t="inlineStr">
        <is>
          <t>TUNJA</t>
        </is>
      </c>
      <c r="B475" t="inlineStr">
        <is>
          <t>SANTANDERES</t>
        </is>
      </c>
      <c r="C475" t="inlineStr">
        <is>
          <t>0004-0008</t>
        </is>
      </c>
      <c r="D475" t="inlineStr">
        <is>
          <t>68077</t>
        </is>
      </c>
      <c r="E475" t="inlineStr">
        <is>
          <t>TA-25-993019</t>
        </is>
      </c>
      <c r="F475" t="inlineStr">
        <is>
          <t>3007081112</t>
        </is>
      </c>
      <c r="G475" t="inlineStr">
        <is>
          <t>APERTURA</t>
        </is>
      </c>
      <c r="H475" t="inlineStr">
        <is>
          <t>CB CRECIMIENTO ALIANZA - NUEVO</t>
        </is>
      </c>
      <c r="I475" t="inlineStr">
        <is>
          <t>SANTANDER</t>
        </is>
      </c>
      <c r="J475" t="inlineStr">
        <is>
          <t>BARBOSA</t>
        </is>
      </c>
      <c r="K475" t="inlineStr">
        <is>
          <t>DISTRICOL MOTO EXPRESS</t>
        </is>
      </c>
      <c r="L475" t="inlineStr">
        <is>
          <t>BANCOLOMBIA</t>
        </is>
      </c>
      <c r="M475" t="inlineStr">
        <is>
          <t>FO-25-1404437</t>
        </is>
      </c>
      <c r="N475" s="46" t="n">
        <v>45890.82986111111</v>
      </c>
      <c r="O475" s="46" t="n">
        <v>45891.55416666667</v>
      </c>
      <c r="P475" t="inlineStr">
        <is>
          <t>AGREGADOR</t>
        </is>
      </c>
      <c r="Q475" t="inlineStr">
        <is>
          <t>DISTRICOL</t>
        </is>
      </c>
      <c r="R475" t="inlineStr">
        <is>
          <t>EJECUTADO</t>
        </is>
      </c>
      <c r="S475" t="inlineStr">
        <is>
          <t>VISITA TECNICA</t>
        </is>
      </c>
      <c r="T475" t="inlineStr">
        <is>
          <t>SIZZZ939</t>
        </is>
      </c>
      <c r="U475" t="inlineStr">
        <is>
          <t>TIPO II</t>
        </is>
      </c>
      <c r="V475" t="inlineStr">
        <is>
          <t>TERRESTRE</t>
        </is>
      </c>
      <c r="W475" t="inlineStr">
        <is>
          <t>RODRIGUEZ MURCIA YERSON IVAN</t>
        </is>
      </c>
      <c r="X475" t="inlineStr">
        <is>
          <t>Si</t>
        </is>
      </c>
      <c r="Y475" t="inlineStr">
        <is>
          <t>Si</t>
        </is>
      </c>
      <c r="Z475" s="45" t="n">
        <v>0</v>
      </c>
      <c r="AA475" t="inlineStr">
        <is>
          <t>0</t>
        </is>
      </c>
      <c r="AB475" s="45" t="n">
        <v>248376</v>
      </c>
      <c r="AC475" s="45" t="n">
        <v>0</v>
      </c>
    </row>
    <row r="476">
      <c r="A476" t="inlineStr">
        <is>
          <t>CALI</t>
        </is>
      </c>
      <c r="B476" t="inlineStr">
        <is>
          <t>SUROCCIDENTE Y EJE CAFETERO</t>
        </is>
      </c>
      <c r="C476" t="inlineStr">
        <is>
          <t>0004-0003</t>
        </is>
      </c>
      <c r="D476" t="inlineStr">
        <is>
          <t>76130</t>
        </is>
      </c>
      <c r="E476" t="inlineStr">
        <is>
          <t>TA-25-1034494</t>
        </is>
      </c>
      <c r="F476" t="inlineStr">
        <is>
          <t>3007078755</t>
        </is>
      </c>
      <c r="G476" t="inlineStr">
        <is>
          <t>APERTURA</t>
        </is>
      </c>
      <c r="H476" t="inlineStr">
        <is>
          <t>DATAFONO ADICIONAL - ALIANZA</t>
        </is>
      </c>
      <c r="I476" t="inlineStr">
        <is>
          <t>VALLE DEL CAUCA</t>
        </is>
      </c>
      <c r="J476" t="inlineStr">
        <is>
          <t>CANDELARIA</t>
        </is>
      </c>
      <c r="K476" t="inlineStr">
        <is>
          <t>DISTRICOL METALMETALLICA</t>
        </is>
      </c>
      <c r="L476" t="inlineStr">
        <is>
          <t>BANCOLOMBIA</t>
        </is>
      </c>
      <c r="M476" t="inlineStr">
        <is>
          <t>FO-25-1433963</t>
        </is>
      </c>
      <c r="N476" s="46" t="n">
        <v>45896.69791666666</v>
      </c>
      <c r="O476" s="46" t="n">
        <v>45898.62916666667</v>
      </c>
      <c r="P476" t="inlineStr">
        <is>
          <t>AGREGADOR</t>
        </is>
      </c>
      <c r="Q476" t="inlineStr">
        <is>
          <t>DISTRICOL</t>
        </is>
      </c>
      <c r="R476" t="inlineStr">
        <is>
          <t>EJECUTADO</t>
        </is>
      </c>
      <c r="S476" t="inlineStr">
        <is>
          <t>VISITA TECNICA</t>
        </is>
      </c>
      <c r="T476" t="inlineStr">
        <is>
          <t>FKZZZ700</t>
        </is>
      </c>
      <c r="U476" t="inlineStr">
        <is>
          <t>TIPO II</t>
        </is>
      </c>
      <c r="V476" t="inlineStr">
        <is>
          <t>TERRESTRE</t>
        </is>
      </c>
      <c r="W476" t="inlineStr">
        <is>
          <t>TORRES GARCIA JENDRY JOSE</t>
        </is>
      </c>
      <c r="X476" t="inlineStr">
        <is>
          <t>No</t>
        </is>
      </c>
      <c r="Y476" t="inlineStr">
        <is>
          <t>No</t>
        </is>
      </c>
      <c r="Z476" s="45" t="n">
        <v>0</v>
      </c>
      <c r="AA476" t="inlineStr">
        <is>
          <t>0</t>
        </is>
      </c>
      <c r="AB476" s="45" t="n">
        <v>11251</v>
      </c>
      <c r="AC476" s="45" t="n">
        <v>0</v>
      </c>
    </row>
    <row r="477">
      <c r="A477" t="inlineStr">
        <is>
          <t>VILLAVICENCIO</t>
        </is>
      </c>
      <c r="B477" t="inlineStr">
        <is>
          <t>REMOTAS</t>
        </is>
      </c>
      <c r="C477" t="inlineStr">
        <is>
          <t>0004-0007</t>
        </is>
      </c>
      <c r="D477" t="inlineStr">
        <is>
          <t>50606</t>
        </is>
      </c>
      <c r="E477" t="inlineStr">
        <is>
          <t>TA-25-915498</t>
        </is>
      </c>
      <c r="F477" t="inlineStr">
        <is>
          <t>3007080800</t>
        </is>
      </c>
      <c r="G477" t="inlineStr">
        <is>
          <t>APERTURA</t>
        </is>
      </c>
      <c r="H477" t="inlineStr">
        <is>
          <t>CB CRECIMIENTO - NUEVO</t>
        </is>
      </c>
      <c r="I477" t="inlineStr">
        <is>
          <t>META</t>
        </is>
      </c>
      <c r="J477" t="inlineStr">
        <is>
          <t>RESTREPO</t>
        </is>
      </c>
      <c r="K477" t="inlineStr">
        <is>
          <t>BARRIO CENTRO RESTREPO 7</t>
        </is>
      </c>
      <c r="L477" t="inlineStr">
        <is>
          <t>BANCOLOMBIA</t>
        </is>
      </c>
      <c r="M477" t="inlineStr">
        <is>
          <t>FO-25-1316432</t>
        </is>
      </c>
      <c r="N477" s="46" t="n">
        <v>45870.725</v>
      </c>
      <c r="O477" s="46" t="n">
        <v>45874.59722222222</v>
      </c>
      <c r="P477" t="inlineStr">
        <is>
          <t>UNO A UNO</t>
        </is>
      </c>
      <c r="Q477" t="inlineStr">
        <is>
          <t>UNO A UNO</t>
        </is>
      </c>
      <c r="R477" t="inlineStr">
        <is>
          <t>EJECUTADO</t>
        </is>
      </c>
      <c r="S477" t="inlineStr">
        <is>
          <t>VISITA TECNICA</t>
        </is>
      </c>
      <c r="T477" t="inlineStr">
        <is>
          <t>F8ZZZ029</t>
        </is>
      </c>
      <c r="U477" t="inlineStr">
        <is>
          <t>TIPO II</t>
        </is>
      </c>
      <c r="V477" t="inlineStr">
        <is>
          <t>TERRESTRE</t>
        </is>
      </c>
      <c r="W477" t="inlineStr">
        <is>
          <t>ROZO JIMENEZ EDGAR ARMANDO</t>
        </is>
      </c>
      <c r="X477" t="inlineStr">
        <is>
          <t>Si</t>
        </is>
      </c>
      <c r="Y477" t="inlineStr">
        <is>
          <t>No</t>
        </is>
      </c>
      <c r="Z477" s="45" t="n">
        <v>0</v>
      </c>
      <c r="AA477" t="inlineStr">
        <is>
          <t>0</t>
        </is>
      </c>
      <c r="AB477" s="45" t="n">
        <v>11251</v>
      </c>
      <c r="AC477" s="45" t="n">
        <v>0</v>
      </c>
    </row>
    <row r="478">
      <c r="A478" t="inlineStr">
        <is>
          <t>CALI</t>
        </is>
      </c>
      <c r="B478" t="inlineStr">
        <is>
          <t>SUROCCIDENTE Y EJE CAFETERO</t>
        </is>
      </c>
      <c r="C478" t="inlineStr">
        <is>
          <t>0004-0003</t>
        </is>
      </c>
      <c r="D478" t="inlineStr">
        <is>
          <t>76001</t>
        </is>
      </c>
      <c r="E478" t="inlineStr">
        <is>
          <t>TA-25-920650</t>
        </is>
      </c>
      <c r="F478" t="inlineStr">
        <is>
          <t>3007080824</t>
        </is>
      </c>
      <c r="G478" t="inlineStr">
        <is>
          <t>APERTURA</t>
        </is>
      </c>
      <c r="H478" t="inlineStr">
        <is>
          <t>CB CRECIMIENTO ALIANZA - NUEVO</t>
        </is>
      </c>
      <c r="I478" t="inlineStr">
        <is>
          <t>VALLE DEL CAUCA</t>
        </is>
      </c>
      <c r="J478" t="inlineStr">
        <is>
          <t>CALI</t>
        </is>
      </c>
      <c r="K478" t="inlineStr">
        <is>
          <t>OPRAP CENTRO COMERCIAL LA ESTACIÓN</t>
        </is>
      </c>
      <c r="L478" t="inlineStr">
        <is>
          <t>BANCOLOMBIA</t>
        </is>
      </c>
      <c r="M478" t="inlineStr">
        <is>
          <t>FO-25-1327564</t>
        </is>
      </c>
      <c r="N478" s="46" t="n">
        <v>45873.72222222222</v>
      </c>
      <c r="O478" s="46" t="n">
        <v>45875.31666666667</v>
      </c>
      <c r="P478" t="inlineStr">
        <is>
          <t>ROBUSTO</t>
        </is>
      </c>
      <c r="Q478" t="inlineStr">
        <is>
          <t>OPRAP</t>
        </is>
      </c>
      <c r="R478" t="inlineStr">
        <is>
          <t>EJECUTADO</t>
        </is>
      </c>
      <c r="S478" t="inlineStr">
        <is>
          <t>VISITA TECNICA</t>
        </is>
      </c>
      <c r="T478" t="inlineStr">
        <is>
          <t>F9ZZZ224 - F9ZZZ222 - F9ZZZ223 - F9ZZZ221</t>
        </is>
      </c>
      <c r="U478" t="inlineStr">
        <is>
          <t>TIPO I</t>
        </is>
      </c>
      <c r="V478" t="inlineStr">
        <is>
          <t>TERRESTRE</t>
        </is>
      </c>
      <c r="W478" t="inlineStr">
        <is>
          <t>MONTERO MUESES GIAN CARLO</t>
        </is>
      </c>
      <c r="X478" t="inlineStr">
        <is>
          <t>No</t>
        </is>
      </c>
      <c r="Y478" t="inlineStr">
        <is>
          <t>No</t>
        </is>
      </c>
      <c r="Z478" s="45" t="n">
        <v>0</v>
      </c>
      <c r="AA478" t="inlineStr">
        <is>
          <t>0</t>
        </is>
      </c>
      <c r="AB478" s="45" t="n">
        <v>11251</v>
      </c>
      <c r="AC478" s="45" t="n">
        <v>0</v>
      </c>
    </row>
    <row r="479">
      <c r="A479" t="inlineStr">
        <is>
          <t>MEDELLIN</t>
        </is>
      </c>
      <c r="B479" t="inlineStr">
        <is>
          <t>NOROCCIDENTE</t>
        </is>
      </c>
      <c r="C479" t="inlineStr">
        <is>
          <t>0004-0005</t>
        </is>
      </c>
      <c r="D479" t="inlineStr">
        <is>
          <t>5591</t>
        </is>
      </c>
      <c r="E479" t="inlineStr">
        <is>
          <t>TA-25-952447</t>
        </is>
      </c>
      <c r="F479" t="inlineStr">
        <is>
          <t>3007080970</t>
        </is>
      </c>
      <c r="G479" t="inlineStr">
        <is>
          <t>APERTURA</t>
        </is>
      </c>
      <c r="H479" t="inlineStr">
        <is>
          <t>CB CRECIMIENTO - NUEVO</t>
        </is>
      </c>
      <c r="I479" t="inlineStr">
        <is>
          <t>ANTIOQUIA</t>
        </is>
      </c>
      <c r="J479" t="inlineStr">
        <is>
          <t>PUERTO TRIUNFO</t>
        </is>
      </c>
      <c r="K479" t="inlineStr">
        <is>
          <t>BARRIO DORADAL PUERTO TRIUNFO 4</t>
        </is>
      </c>
      <c r="L479" t="inlineStr">
        <is>
          <t>BANCOLOMBIA</t>
        </is>
      </c>
      <c r="M479" t="inlineStr">
        <is>
          <t>FO-25-1360314</t>
        </is>
      </c>
      <c r="N479" s="46" t="n">
        <v>45880.66319444445</v>
      </c>
      <c r="O479" s="46" t="n">
        <v>45883.25625</v>
      </c>
      <c r="P479" t="inlineStr">
        <is>
          <t>UNO A UNO</t>
        </is>
      </c>
      <c r="Q479" t="inlineStr">
        <is>
          <t>UNO A UNO</t>
        </is>
      </c>
      <c r="R479" t="inlineStr">
        <is>
          <t>EJECUTADO</t>
        </is>
      </c>
      <c r="S479" t="inlineStr">
        <is>
          <t>VISITA TECNICA</t>
        </is>
      </c>
      <c r="T479" t="inlineStr">
        <is>
          <t>FIZZZ299</t>
        </is>
      </c>
      <c r="U479" t="inlineStr">
        <is>
          <t>TIPO IV</t>
        </is>
      </c>
      <c r="V479" t="inlineStr">
        <is>
          <t>TERRESTRE</t>
        </is>
      </c>
      <c r="W479" t="inlineStr">
        <is>
          <t>PAREJA ECHAVARRIA JHON DAVID</t>
        </is>
      </c>
      <c r="X479" t="inlineStr">
        <is>
          <t>No</t>
        </is>
      </c>
      <c r="Y479" t="inlineStr">
        <is>
          <t>No</t>
        </is>
      </c>
      <c r="Z479" s="45" t="n">
        <v>0</v>
      </c>
      <c r="AA479" t="inlineStr">
        <is>
          <t>0</t>
        </is>
      </c>
      <c r="AB479" s="45" t="n">
        <v>11251</v>
      </c>
      <c r="AC479" s="45" t="n">
        <v>0</v>
      </c>
    </row>
    <row r="480">
      <c r="A480" t="inlineStr">
        <is>
          <t>PEREIRA</t>
        </is>
      </c>
      <c r="B480" t="inlineStr">
        <is>
          <t>SUROCCIDENTE Y EJE CAFETERO</t>
        </is>
      </c>
      <c r="C480" t="inlineStr">
        <is>
          <t>0004-0002</t>
        </is>
      </c>
      <c r="D480" t="inlineStr">
        <is>
          <t>66001</t>
        </is>
      </c>
      <c r="E480" t="inlineStr">
        <is>
          <t>TA-25-952501</t>
        </is>
      </c>
      <c r="F480" t="inlineStr">
        <is>
          <t>3007080958</t>
        </is>
      </c>
      <c r="G480" t="inlineStr">
        <is>
          <t>APERTURA</t>
        </is>
      </c>
      <c r="H480" t="inlineStr">
        <is>
          <t>CB CRECIMIENTO - NUEVO</t>
        </is>
      </c>
      <c r="I480" t="inlineStr">
        <is>
          <t>RISARALDA</t>
        </is>
      </c>
      <c r="J480" t="inlineStr">
        <is>
          <t>PEREIRA</t>
        </is>
      </c>
      <c r="K480" t="inlineStr">
        <is>
          <t>BARRIO CENTRO PEREIRA 53</t>
        </is>
      </c>
      <c r="L480" t="inlineStr">
        <is>
          <t>BANCOLOMBIA</t>
        </is>
      </c>
      <c r="M480" t="inlineStr">
        <is>
          <t>FO-25-1360416</t>
        </is>
      </c>
      <c r="N480" s="46" t="n">
        <v>45880.62708333333</v>
      </c>
      <c r="O480" s="46" t="n">
        <v>45881.46736111111</v>
      </c>
      <c r="P480" t="inlineStr">
        <is>
          <t>UNO A UNO</t>
        </is>
      </c>
      <c r="Q480" t="inlineStr">
        <is>
          <t>UNO A UNO</t>
        </is>
      </c>
      <c r="R480" t="inlineStr">
        <is>
          <t>EJECUTADO</t>
        </is>
      </c>
      <c r="S480" t="inlineStr">
        <is>
          <t>VISITA TECNICA</t>
        </is>
      </c>
      <c r="T480" t="inlineStr">
        <is>
          <t>FIZZZ324</t>
        </is>
      </c>
      <c r="U480" t="inlineStr">
        <is>
          <t>TIPO I</t>
        </is>
      </c>
      <c r="V480" t="inlineStr">
        <is>
          <t>TERRESTRE</t>
        </is>
      </c>
      <c r="W480" t="inlineStr">
        <is>
          <t>ARROYAVE CANO MANUEL GUILLERMO</t>
        </is>
      </c>
      <c r="X480" t="inlineStr">
        <is>
          <t>Si</t>
        </is>
      </c>
      <c r="Y480" t="inlineStr">
        <is>
          <t>No</t>
        </is>
      </c>
      <c r="Z480" s="45" t="n">
        <v>0</v>
      </c>
      <c r="AA480" t="inlineStr">
        <is>
          <t>0</t>
        </is>
      </c>
      <c r="AB480" s="45" t="n">
        <v>11251</v>
      </c>
      <c r="AC480" s="45" t="n">
        <v>0</v>
      </c>
    </row>
    <row r="481">
      <c r="A481" t="inlineStr">
        <is>
          <t>MEDELLIN</t>
        </is>
      </c>
      <c r="B481" t="inlineStr">
        <is>
          <t>NOROCCIDENTE</t>
        </is>
      </c>
      <c r="C481" t="inlineStr">
        <is>
          <t>0004-0005</t>
        </is>
      </c>
      <c r="D481" t="inlineStr">
        <is>
          <t>5001</t>
        </is>
      </c>
      <c r="E481" t="inlineStr">
        <is>
          <t>TA-25-952503</t>
        </is>
      </c>
      <c r="F481" t="inlineStr">
        <is>
          <t>3007080986</t>
        </is>
      </c>
      <c r="G481" t="inlineStr">
        <is>
          <t>APERTURA</t>
        </is>
      </c>
      <c r="H481" t="inlineStr">
        <is>
          <t>CB CRECIMIENTO - NUEVO</t>
        </is>
      </c>
      <c r="I481" t="inlineStr">
        <is>
          <t>ANTIOQUIA</t>
        </is>
      </c>
      <c r="J481" t="inlineStr">
        <is>
          <t>MEDELLIN</t>
        </is>
      </c>
      <c r="K481" t="inlineStr">
        <is>
          <t>BARRIO BELEN MEDELLIN 18</t>
        </is>
      </c>
      <c r="L481" t="inlineStr">
        <is>
          <t>BANCOLOMBIA</t>
        </is>
      </c>
      <c r="M481" t="inlineStr">
        <is>
          <t>FO-25-1360424</t>
        </is>
      </c>
      <c r="N481" s="46" t="n">
        <v>45880.66319444445</v>
      </c>
      <c r="O481" s="46" t="n">
        <v>45882.31736111111</v>
      </c>
      <c r="P481" t="inlineStr">
        <is>
          <t>UNO A UNO</t>
        </is>
      </c>
      <c r="Q481" t="inlineStr">
        <is>
          <t>UNO A UNO</t>
        </is>
      </c>
      <c r="R481" t="inlineStr">
        <is>
          <t>EJECUTADO</t>
        </is>
      </c>
      <c r="S481" t="inlineStr">
        <is>
          <t>VISITA TECNICA</t>
        </is>
      </c>
      <c r="T481" t="inlineStr">
        <is>
          <t>FIZZZ326</t>
        </is>
      </c>
      <c r="U481" t="inlineStr">
        <is>
          <t>TIPO I</t>
        </is>
      </c>
      <c r="V481" t="inlineStr">
        <is>
          <t>TERRESTRE</t>
        </is>
      </c>
      <c r="W481" t="inlineStr">
        <is>
          <t>MARTINEZ TOVAR OSCAR DAVID</t>
        </is>
      </c>
      <c r="X481" t="inlineStr">
        <is>
          <t>Si</t>
        </is>
      </c>
      <c r="Y481" t="inlineStr">
        <is>
          <t>No</t>
        </is>
      </c>
      <c r="Z481" s="45" t="n">
        <v>0</v>
      </c>
      <c r="AA481" t="inlineStr">
        <is>
          <t>0</t>
        </is>
      </c>
      <c r="AB481" s="45" t="n">
        <v>126081</v>
      </c>
      <c r="AC481" s="45" t="n">
        <v>0</v>
      </c>
    </row>
    <row r="482">
      <c r="A482" t="inlineStr">
        <is>
          <t>MEDELLIN</t>
        </is>
      </c>
      <c r="B482" t="inlineStr">
        <is>
          <t>NOROCCIDENTE</t>
        </is>
      </c>
      <c r="C482" t="inlineStr">
        <is>
          <t>0004-0005</t>
        </is>
      </c>
      <c r="D482" t="inlineStr">
        <is>
          <t>5001</t>
        </is>
      </c>
      <c r="E482" t="inlineStr">
        <is>
          <t>TA-25-975408</t>
        </is>
      </c>
      <c r="F482" t="inlineStr">
        <is>
          <t>3007081045</t>
        </is>
      </c>
      <c r="G482" t="inlineStr">
        <is>
          <t>APERTURA</t>
        </is>
      </c>
      <c r="H482" t="inlineStr">
        <is>
          <t>CB CRECIMIENTO ALIANZA - NUEVO</t>
        </is>
      </c>
      <c r="I482" t="inlineStr">
        <is>
          <t>ANTIOQUIA</t>
        </is>
      </c>
      <c r="J482" t="inlineStr">
        <is>
          <t>MEDELLIN</t>
        </is>
      </c>
      <c r="K482" t="inlineStr">
        <is>
          <t>Alkomprar La Central</t>
        </is>
      </c>
      <c r="L482" t="inlineStr">
        <is>
          <t>BANCOLOMBIA</t>
        </is>
      </c>
      <c r="M482" t="inlineStr">
        <is>
          <t>FO-25-1378009</t>
        </is>
      </c>
      <c r="N482" s="46" t="n">
        <v>45883.86597222222</v>
      </c>
      <c r="O482" s="46" t="n">
        <v>45885.31388888889</v>
      </c>
      <c r="P482" t="inlineStr">
        <is>
          <t>RETAILER</t>
        </is>
      </c>
      <c r="Q482" t="inlineStr">
        <is>
          <t>ALKOMPRAR</t>
        </is>
      </c>
      <c r="R482" t="inlineStr">
        <is>
          <t>EJECUTADO</t>
        </is>
      </c>
      <c r="S482" t="inlineStr">
        <is>
          <t>VISITA TECNICA</t>
        </is>
      </c>
      <c r="T482" t="inlineStr">
        <is>
          <t>SFZZZ197 - SFZZZ198 - SFZZZ199</t>
        </is>
      </c>
      <c r="U482" t="inlineStr">
        <is>
          <t>TIPO I</t>
        </is>
      </c>
      <c r="V482" t="inlineStr">
        <is>
          <t>TERRESTRE</t>
        </is>
      </c>
      <c r="W482" t="inlineStr">
        <is>
          <t>PAREJA ECHAVARRIA JHON DAVID</t>
        </is>
      </c>
      <c r="X482" t="inlineStr">
        <is>
          <t>No</t>
        </is>
      </c>
      <c r="Y482" t="inlineStr">
        <is>
          <t>No</t>
        </is>
      </c>
      <c r="Z482" s="45" t="n">
        <v>0</v>
      </c>
      <c r="AA482" t="inlineStr">
        <is>
          <t>0</t>
        </is>
      </c>
      <c r="AB482" s="45" t="n">
        <v>126081</v>
      </c>
      <c r="AC482" s="45" t="n">
        <v>0</v>
      </c>
    </row>
    <row r="483">
      <c r="A483" t="inlineStr">
        <is>
          <t>MANIZALES</t>
        </is>
      </c>
      <c r="B483" t="inlineStr">
        <is>
          <t>SUROCCIDENTE Y EJE CAFETERO</t>
        </is>
      </c>
      <c r="C483" t="inlineStr">
        <is>
          <t>0004-0002</t>
        </is>
      </c>
      <c r="D483" t="inlineStr">
        <is>
          <t>17174</t>
        </is>
      </c>
      <c r="E483" t="inlineStr">
        <is>
          <t>TA-25-992111</t>
        </is>
      </c>
      <c r="F483" t="inlineStr">
        <is>
          <t>3007081128</t>
        </is>
      </c>
      <c r="G483" t="inlineStr">
        <is>
          <t>APERTURA</t>
        </is>
      </c>
      <c r="H483" t="inlineStr">
        <is>
          <t>CB CRECIMIENTO - NUEVO</t>
        </is>
      </c>
      <c r="I483" t="inlineStr">
        <is>
          <t>CALDAS</t>
        </is>
      </c>
      <c r="J483" t="inlineStr">
        <is>
          <t>CHINCHINA</t>
        </is>
      </c>
      <c r="K483" t="inlineStr">
        <is>
          <t>BARRIO CENTRO CHINCHINA 13</t>
        </is>
      </c>
      <c r="L483" t="inlineStr">
        <is>
          <t>BANCOLOMBIA</t>
        </is>
      </c>
      <c r="M483" t="inlineStr">
        <is>
          <t>FO-25-1402195</t>
        </is>
      </c>
      <c r="N483" s="46" t="n">
        <v>45890.65069444444</v>
      </c>
      <c r="O483" s="46" t="n">
        <v>45891.56111111111</v>
      </c>
      <c r="P483" t="inlineStr">
        <is>
          <t>UNO A UNO</t>
        </is>
      </c>
      <c r="Q483" t="inlineStr">
        <is>
          <t>UNO A UNO</t>
        </is>
      </c>
      <c r="R483" t="inlineStr">
        <is>
          <t>EJECUTADO</t>
        </is>
      </c>
      <c r="S483" t="inlineStr">
        <is>
          <t>VISITA TECNICA</t>
        </is>
      </c>
      <c r="T483" t="inlineStr">
        <is>
          <t>SIZZZ887</t>
        </is>
      </c>
      <c r="U483" t="inlineStr">
        <is>
          <t>TIPO II</t>
        </is>
      </c>
      <c r="V483" t="inlineStr">
        <is>
          <t>TERRESTRE</t>
        </is>
      </c>
      <c r="W483" t="inlineStr">
        <is>
          <t>ARROYAVE CANO MANUEL GUILLERMO</t>
        </is>
      </c>
      <c r="X483" t="inlineStr">
        <is>
          <t>Si</t>
        </is>
      </c>
      <c r="Y483" t="inlineStr">
        <is>
          <t>No</t>
        </is>
      </c>
      <c r="Z483" s="45" t="n">
        <v>0</v>
      </c>
      <c r="AA483" t="inlineStr">
        <is>
          <t>0</t>
        </is>
      </c>
      <c r="AB483" s="45" t="n">
        <v>11251</v>
      </c>
      <c r="AC483" s="45" t="n">
        <v>0</v>
      </c>
    </row>
    <row r="484">
      <c r="A484" t="inlineStr">
        <is>
          <t>MANIZALES</t>
        </is>
      </c>
      <c r="B484" t="inlineStr">
        <is>
          <t>SUROCCIDENTE Y EJE CAFETERO</t>
        </is>
      </c>
      <c r="C484" t="inlineStr">
        <is>
          <t>0004-0002</t>
        </is>
      </c>
      <c r="D484" t="inlineStr">
        <is>
          <t>17001</t>
        </is>
      </c>
      <c r="E484" t="inlineStr">
        <is>
          <t>TA-25-1034029</t>
        </is>
      </c>
      <c r="F484" t="inlineStr">
        <is>
          <t>3007081211</t>
        </is>
      </c>
      <c r="G484" t="inlineStr">
        <is>
          <t>APERTURA</t>
        </is>
      </c>
      <c r="H484" t="inlineStr">
        <is>
          <t>CB CRECIMIENTO - NUEVO</t>
        </is>
      </c>
      <c r="I484" t="inlineStr">
        <is>
          <t>CALDAS</t>
        </is>
      </c>
      <c r="J484" t="inlineStr">
        <is>
          <t>MANIZALES</t>
        </is>
      </c>
      <c r="K484" t="inlineStr">
        <is>
          <t>BARRIO SAENS MANIZALES</t>
        </is>
      </c>
      <c r="L484" t="inlineStr">
        <is>
          <t>BANCOLOMBIA</t>
        </is>
      </c>
      <c r="M484" t="inlineStr">
        <is>
          <t>FO-25-1433222</t>
        </is>
      </c>
      <c r="N484" s="46" t="n">
        <v>45896.61944444444</v>
      </c>
      <c r="O484" s="46" t="n">
        <v>45898.67222222222</v>
      </c>
      <c r="P484" t="inlineStr">
        <is>
          <t>UNO A UNO</t>
        </is>
      </c>
      <c r="Q484" t="inlineStr">
        <is>
          <t>UNO A UNO</t>
        </is>
      </c>
      <c r="R484" t="inlineStr">
        <is>
          <t>EJECUTADO/CANCELADO</t>
        </is>
      </c>
      <c r="S484" t="inlineStr">
        <is>
          <t>VISITA TECNICA</t>
        </is>
      </c>
      <c r="U484" t="inlineStr">
        <is>
          <t>TIPO I</t>
        </is>
      </c>
      <c r="V484" t="inlineStr">
        <is>
          <t>TERRESTRE</t>
        </is>
      </c>
      <c r="W484" t="inlineStr">
        <is>
          <t>AGUIRRE HENAO RAUL EDUARDO</t>
        </is>
      </c>
      <c r="Z484" s="45" t="n">
        <v>44560</v>
      </c>
      <c r="AA484" t="inlineStr">
        <is>
          <t>0</t>
        </is>
      </c>
      <c r="AB484" s="45" t="n">
        <v>114830</v>
      </c>
      <c r="AC484" s="45" t="n">
        <v>0</v>
      </c>
    </row>
    <row r="485">
      <c r="A485" t="inlineStr">
        <is>
          <t>MEDELLIN</t>
        </is>
      </c>
      <c r="B485" t="inlineStr">
        <is>
          <t>NOROCCIDENTE</t>
        </is>
      </c>
      <c r="C485" t="inlineStr">
        <is>
          <t>0004-0005</t>
        </is>
      </c>
      <c r="D485" t="inlineStr">
        <is>
          <t>5264</t>
        </is>
      </c>
      <c r="E485" t="inlineStr">
        <is>
          <t>TA-25-1034456</t>
        </is>
      </c>
      <c r="F485" t="inlineStr">
        <is>
          <t>3007081221</t>
        </is>
      </c>
      <c r="G485" t="inlineStr">
        <is>
          <t>APERTURA</t>
        </is>
      </c>
      <c r="H485" t="inlineStr">
        <is>
          <t>CB CRECIMIENTO ALIANZA - NUEVO</t>
        </is>
      </c>
      <c r="I485" t="inlineStr">
        <is>
          <t>ANTIOQUIA</t>
        </is>
      </c>
      <c r="J485" t="inlineStr">
        <is>
          <t>ENTRERRIOS</t>
        </is>
      </c>
      <c r="K485" t="inlineStr">
        <is>
          <t>DISTRICOL AMERICA STORE</t>
        </is>
      </c>
      <c r="L485" t="inlineStr">
        <is>
          <t>BANCOLOMBIA</t>
        </is>
      </c>
      <c r="M485" t="inlineStr">
        <is>
          <t>FO-25-1433878</t>
        </is>
      </c>
      <c r="N485" s="46" t="n">
        <v>45896.83611111111</v>
      </c>
      <c r="O485" s="46" t="n">
        <v>45897.65347222222</v>
      </c>
      <c r="P485" t="inlineStr">
        <is>
          <t>AGREGADOR</t>
        </is>
      </c>
      <c r="Q485" t="inlineStr">
        <is>
          <t>DISTRICOL</t>
        </is>
      </c>
      <c r="R485" t="inlineStr">
        <is>
          <t>EJECUTADO/CANCELADO</t>
        </is>
      </c>
      <c r="S485" t="inlineStr">
        <is>
          <t>VISITA TECNICA</t>
        </is>
      </c>
      <c r="U485" t="inlineStr">
        <is>
          <t>TIPO II</t>
        </is>
      </c>
      <c r="V485" t="inlineStr">
        <is>
          <t>TERRESTRE</t>
        </is>
      </c>
      <c r="W485" t="inlineStr">
        <is>
          <t>BADEL ACUÑA LUIS ALBERTO</t>
        </is>
      </c>
      <c r="Z485" s="45" t="n">
        <v>134410</v>
      </c>
      <c r="AA485" t="inlineStr">
        <is>
          <t>0</t>
        </is>
      </c>
      <c r="AB485" s="45" t="n">
        <v>221616</v>
      </c>
      <c r="AC485" s="45" t="n">
        <v>0</v>
      </c>
    </row>
    <row r="486">
      <c r="A486" t="inlineStr">
        <is>
          <t>PASTO</t>
        </is>
      </c>
      <c r="B486" t="inlineStr">
        <is>
          <t>SUROCCIDENTE Y EJE CAFETERO</t>
        </is>
      </c>
      <c r="C486" t="inlineStr">
        <is>
          <t>0004-0003</t>
        </is>
      </c>
      <c r="D486" t="inlineStr">
        <is>
          <t>52399</t>
        </is>
      </c>
      <c r="E486" t="inlineStr">
        <is>
          <t>TA-25-1034463</t>
        </is>
      </c>
      <c r="F486" t="inlineStr">
        <is>
          <t>3007081227</t>
        </is>
      </c>
      <c r="G486" t="inlineStr">
        <is>
          <t>APERTURA</t>
        </is>
      </c>
      <c r="H486" t="inlineStr">
        <is>
          <t>CB CRECIMIENTO ALIANZA - NUEVO</t>
        </is>
      </c>
      <c r="I486" t="inlineStr">
        <is>
          <t>NARIÑO</t>
        </is>
      </c>
      <c r="J486" t="inlineStr">
        <is>
          <t>LA UNION</t>
        </is>
      </c>
      <c r="K486" t="inlineStr">
        <is>
          <t>DISTRICOL PAP Y MISC DELPARQUE</t>
        </is>
      </c>
      <c r="L486" t="inlineStr">
        <is>
          <t>BANCOLOMBIA</t>
        </is>
      </c>
      <c r="M486" t="inlineStr">
        <is>
          <t>FO-25-1433905</t>
        </is>
      </c>
      <c r="N486" s="46" t="n">
        <v>45896.66666666666</v>
      </c>
      <c r="O486" s="46" t="n">
        <v>45898.60625</v>
      </c>
      <c r="P486" t="inlineStr">
        <is>
          <t>AGREGADOR</t>
        </is>
      </c>
      <c r="Q486" t="inlineStr">
        <is>
          <t>DISTRICOL</t>
        </is>
      </c>
      <c r="R486" t="inlineStr">
        <is>
          <t>EJECUTADO/CANCELADO</t>
        </is>
      </c>
      <c r="S486" t="inlineStr">
        <is>
          <t>VISITA TECNICA</t>
        </is>
      </c>
      <c r="U486" t="inlineStr">
        <is>
          <t>TIPO III</t>
        </is>
      </c>
      <c r="V486" t="inlineStr">
        <is>
          <t>TERRESTRE</t>
        </is>
      </c>
      <c r="W486" t="inlineStr">
        <is>
          <t>PAZ MARTINEZ RICHARD HUMBERTO</t>
        </is>
      </c>
      <c r="Z486" s="45" t="n">
        <v>222904</v>
      </c>
      <c r="AA486" t="inlineStr">
        <is>
          <t>0</t>
        </is>
      </c>
      <c r="AB486" s="45" t="n">
        <v>221616</v>
      </c>
      <c r="AC486" s="45" t="n">
        <v>0</v>
      </c>
    </row>
    <row r="487">
      <c r="A487" t="inlineStr">
        <is>
          <t>MEDELLIN</t>
        </is>
      </c>
      <c r="B487" t="inlineStr">
        <is>
          <t>NOROCCIDENTE</t>
        </is>
      </c>
      <c r="C487" t="inlineStr">
        <is>
          <t>0004-0005</t>
        </is>
      </c>
      <c r="D487" t="inlineStr">
        <is>
          <t>5031</t>
        </is>
      </c>
      <c r="E487" t="inlineStr">
        <is>
          <t>TA-25-1034477</t>
        </is>
      </c>
      <c r="F487" t="inlineStr">
        <is>
          <t>3007081225</t>
        </is>
      </c>
      <c r="G487" t="inlineStr">
        <is>
          <t>APERTURA</t>
        </is>
      </c>
      <c r="H487" t="inlineStr">
        <is>
          <t>CB CRECIMIENTO ALIANZA - NUEVO</t>
        </is>
      </c>
      <c r="I487" t="inlineStr">
        <is>
          <t>ANTIOQUIA</t>
        </is>
      </c>
      <c r="J487" t="inlineStr">
        <is>
          <t>AMALFI</t>
        </is>
      </c>
      <c r="K487" t="inlineStr">
        <is>
          <t>DISTRICOL TIENDA A MAR</t>
        </is>
      </c>
      <c r="L487" t="inlineStr">
        <is>
          <t>BANCOLOMBIA</t>
        </is>
      </c>
      <c r="M487" t="inlineStr">
        <is>
          <t>FO-25-1433936</t>
        </is>
      </c>
      <c r="N487" s="46" t="n">
        <v>45896.83680555555</v>
      </c>
      <c r="O487" s="46" t="n">
        <v>45897.62222222222</v>
      </c>
      <c r="P487" t="inlineStr">
        <is>
          <t>AGREGADOR</t>
        </is>
      </c>
      <c r="Q487" t="inlineStr">
        <is>
          <t>DISTRICOL</t>
        </is>
      </c>
      <c r="R487" t="inlineStr">
        <is>
          <t>EJECUTADO/CANCELADO</t>
        </is>
      </c>
      <c r="S487" t="inlineStr">
        <is>
          <t>VISITA TECNICA</t>
        </is>
      </c>
      <c r="U487" t="inlineStr">
        <is>
          <t>TIPO IV</t>
        </is>
      </c>
      <c r="V487" t="inlineStr">
        <is>
          <t>TERRESTRE</t>
        </is>
      </c>
      <c r="W487" t="inlineStr">
        <is>
          <t>QUINTERO SANCHEZ JUAN SEBASTIAN</t>
        </is>
      </c>
      <c r="Z487" s="45" t="n">
        <v>464809</v>
      </c>
      <c r="AA487" t="inlineStr">
        <is>
          <t>0</t>
        </is>
      </c>
      <c r="AB487" s="45" t="n">
        <v>221616</v>
      </c>
      <c r="AC487" s="45" t="n">
        <v>0</v>
      </c>
    </row>
    <row r="488">
      <c r="A488" t="inlineStr">
        <is>
          <t>MONTERIA</t>
        </is>
      </c>
      <c r="B488" t="inlineStr">
        <is>
          <t>COSTA</t>
        </is>
      </c>
      <c r="C488" t="inlineStr">
        <is>
          <t>0004-0001</t>
        </is>
      </c>
      <c r="D488" t="inlineStr">
        <is>
          <t>23001</t>
        </is>
      </c>
      <c r="E488" t="inlineStr">
        <is>
          <t>TA-25-904099</t>
        </is>
      </c>
      <c r="F488" t="inlineStr">
        <is>
          <t>3007080741</t>
        </is>
      </c>
      <c r="G488" t="inlineStr">
        <is>
          <t>APERTURA</t>
        </is>
      </c>
      <c r="H488" t="inlineStr">
        <is>
          <t>CB CRECIMIENTO - NUEVO</t>
        </is>
      </c>
      <c r="I488" t="inlineStr">
        <is>
          <t>CORDOBA</t>
        </is>
      </c>
      <c r="J488" t="inlineStr">
        <is>
          <t>MONTERIA</t>
        </is>
      </c>
      <c r="K488" t="inlineStr">
        <is>
          <t>BARRIO VILLA ROCIO MONTERIA 1</t>
        </is>
      </c>
      <c r="L488" t="inlineStr">
        <is>
          <t>BANCOLOMBIA</t>
        </is>
      </c>
      <c r="M488" t="inlineStr">
        <is>
          <t>FO-25-1305089</t>
        </is>
      </c>
      <c r="N488" s="46" t="n">
        <v>45868.59305555555</v>
      </c>
      <c r="O488" s="46" t="n">
        <v>45873.39166666667</v>
      </c>
      <c r="P488" t="inlineStr">
        <is>
          <t>UNO A UNO</t>
        </is>
      </c>
      <c r="Q488" t="inlineStr">
        <is>
          <t>UNO A UNO</t>
        </is>
      </c>
      <c r="R488" t="inlineStr">
        <is>
          <t>EJECUTADO/CANCELADO</t>
        </is>
      </c>
      <c r="S488" t="inlineStr">
        <is>
          <t>VISITA TECNICA</t>
        </is>
      </c>
      <c r="U488" t="inlineStr">
        <is>
          <t>TIPO I</t>
        </is>
      </c>
      <c r="V488" t="inlineStr">
        <is>
          <t>TERRESTRE</t>
        </is>
      </c>
      <c r="W488" t="inlineStr">
        <is>
          <t>CALDERA SALCEDO CARLOS JULIO</t>
        </is>
      </c>
      <c r="Z488" s="45" t="n">
        <v>44560</v>
      </c>
      <c r="AA488" t="inlineStr">
        <is>
          <t>0</t>
        </is>
      </c>
      <c r="AB488" s="45" t="n">
        <v>114830</v>
      </c>
      <c r="AC488" s="45" t="n">
        <v>0</v>
      </c>
    </row>
    <row r="489">
      <c r="A489" t="inlineStr">
        <is>
          <t>BOGOTA</t>
        </is>
      </c>
      <c r="B489" t="inlineStr">
        <is>
          <t>CUNDINAMARCA</t>
        </is>
      </c>
      <c r="C489" t="inlineStr">
        <is>
          <t>0004-0004</t>
        </is>
      </c>
      <c r="D489" t="inlineStr">
        <is>
          <t>25899</t>
        </is>
      </c>
      <c r="E489" t="inlineStr">
        <is>
          <t>TA-25-915496</t>
        </is>
      </c>
      <c r="F489" t="inlineStr">
        <is>
          <t>3007080823</t>
        </is>
      </c>
      <c r="G489" t="inlineStr">
        <is>
          <t>APERTURA</t>
        </is>
      </c>
      <c r="H489" t="inlineStr">
        <is>
          <t>CB CRECIMIENTO - NUEVO</t>
        </is>
      </c>
      <c r="I489" t="inlineStr">
        <is>
          <t>CUNDINAMARCA</t>
        </is>
      </c>
      <c r="J489" t="inlineStr">
        <is>
          <t>ZIPAQUIRA</t>
        </is>
      </c>
      <c r="K489" t="inlineStr">
        <is>
          <t>BARRIO SAN PABLO ZIPAQUIRA 3</t>
        </is>
      </c>
      <c r="L489" t="inlineStr">
        <is>
          <t>BANCOLOMBIA</t>
        </is>
      </c>
      <c r="M489" t="inlineStr">
        <is>
          <t>FO-25-1316424</t>
        </is>
      </c>
      <c r="N489" s="46" t="n">
        <v>45870.71388888889</v>
      </c>
      <c r="O489" s="46" t="n">
        <v>45874.56458333333</v>
      </c>
      <c r="P489" t="inlineStr">
        <is>
          <t>UNO A UNO</t>
        </is>
      </c>
      <c r="Q489" t="inlineStr">
        <is>
          <t>UNO A UNO</t>
        </is>
      </c>
      <c r="R489" t="inlineStr">
        <is>
          <t>EJECUTADO/CANCELADO</t>
        </is>
      </c>
      <c r="S489" t="inlineStr">
        <is>
          <t>VISITA TECNICA</t>
        </is>
      </c>
      <c r="U489" t="inlineStr">
        <is>
          <t>TIPO II</t>
        </is>
      </c>
      <c r="V489" t="inlineStr">
        <is>
          <t>TERRESTRE</t>
        </is>
      </c>
      <c r="W489" t="inlineStr">
        <is>
          <t>GALEANO SORIANO JUAN DAVID</t>
        </is>
      </c>
      <c r="Z489" s="45" t="n">
        <v>134410</v>
      </c>
      <c r="AA489" t="inlineStr">
        <is>
          <t>0</t>
        </is>
      </c>
      <c r="AB489" s="45" t="n">
        <v>221616</v>
      </c>
      <c r="AC489" s="45" t="n">
        <v>0</v>
      </c>
    </row>
    <row r="490">
      <c r="A490" t="inlineStr">
        <is>
          <t>CUCUTA</t>
        </is>
      </c>
      <c r="B490" t="inlineStr">
        <is>
          <t>SANTANDERES</t>
        </is>
      </c>
      <c r="C490" t="inlineStr">
        <is>
          <t>0004-0008</t>
        </is>
      </c>
      <c r="D490" t="inlineStr">
        <is>
          <t>54874</t>
        </is>
      </c>
      <c r="E490" t="inlineStr">
        <is>
          <t>TA-25-915525</t>
        </is>
      </c>
      <c r="F490" t="inlineStr">
        <is>
          <t>3007080816</t>
        </is>
      </c>
      <c r="G490" t="inlineStr">
        <is>
          <t>APERTURA</t>
        </is>
      </c>
      <c r="H490" t="inlineStr">
        <is>
          <t>CB CRECIMIENTO - NUEVO</t>
        </is>
      </c>
      <c r="I490" t="inlineStr">
        <is>
          <t>NORTE DE SANTANDER</t>
        </is>
      </c>
      <c r="J490" t="inlineStr">
        <is>
          <t>VILLA DEL ROSARIO</t>
        </is>
      </c>
      <c r="K490" t="inlineStr">
        <is>
          <t>BARRIO LA PARADA VILLA DEL ROSARIO 11</t>
        </is>
      </c>
      <c r="L490" t="inlineStr">
        <is>
          <t>BANCOLOMBIA</t>
        </is>
      </c>
      <c r="M490" t="inlineStr">
        <is>
          <t>FO-25-1316487</t>
        </is>
      </c>
      <c r="N490" s="46" t="n">
        <v>45870.56041666667</v>
      </c>
      <c r="O490" s="46" t="n">
        <v>45873.56944444445</v>
      </c>
      <c r="P490" t="inlineStr">
        <is>
          <t>UNO A UNO</t>
        </is>
      </c>
      <c r="Q490" t="inlineStr">
        <is>
          <t>UNO A UNO</t>
        </is>
      </c>
      <c r="R490" t="inlineStr">
        <is>
          <t>EJECUTADO/CANCELADO</t>
        </is>
      </c>
      <c r="S490" t="inlineStr">
        <is>
          <t>VISITA TECNICA</t>
        </is>
      </c>
      <c r="U490" t="inlineStr">
        <is>
          <t>TIPO I</t>
        </is>
      </c>
      <c r="V490" t="inlineStr">
        <is>
          <t>TERRESTRE</t>
        </is>
      </c>
      <c r="W490" t="inlineStr">
        <is>
          <t>MORA VEGA JEAMPIER</t>
        </is>
      </c>
      <c r="Z490" s="45" t="n">
        <v>44560</v>
      </c>
      <c r="AA490" t="inlineStr">
        <is>
          <t>0</t>
        </is>
      </c>
      <c r="AB490" s="45" t="n">
        <v>114830</v>
      </c>
      <c r="AC490" s="45" t="n">
        <v>0</v>
      </c>
    </row>
    <row r="491">
      <c r="A491" t="inlineStr">
        <is>
          <t>MEDELLIN</t>
        </is>
      </c>
      <c r="B491" t="inlineStr">
        <is>
          <t>NOROCCIDENTE</t>
        </is>
      </c>
      <c r="C491" t="inlineStr">
        <is>
          <t>0004-0005</t>
        </is>
      </c>
      <c r="D491" t="inlineStr">
        <is>
          <t>5642</t>
        </is>
      </c>
      <c r="E491" t="inlineStr">
        <is>
          <t>TA-25-930981</t>
        </is>
      </c>
      <c r="F491" t="inlineStr">
        <is>
          <t>3007080842</t>
        </is>
      </c>
      <c r="G491" t="inlineStr">
        <is>
          <t>APERTURA</t>
        </is>
      </c>
      <c r="H491" t="inlineStr">
        <is>
          <t>CB CRECIMIENTO ALIANZA - NUEVO</t>
        </is>
      </c>
      <c r="I491" t="inlineStr">
        <is>
          <t>ANTIOQUIA</t>
        </is>
      </c>
      <c r="J491" t="inlineStr">
        <is>
          <t>SALGAR</t>
        </is>
      </c>
      <c r="K491" t="inlineStr">
        <is>
          <t>PTM SALGAR NATULIGHT TIENDA NA</t>
        </is>
      </c>
      <c r="L491" t="inlineStr">
        <is>
          <t>BANCOLOMBIA</t>
        </is>
      </c>
      <c r="M491" t="inlineStr">
        <is>
          <t>FO-25-1338801</t>
        </is>
      </c>
      <c r="N491" s="46" t="n">
        <v>45875.42569444444</v>
      </c>
      <c r="O491" s="46" t="n">
        <v>45884.31041666667</v>
      </c>
      <c r="P491" t="inlineStr">
        <is>
          <t>AGREGADOR</t>
        </is>
      </c>
      <c r="Q491" t="inlineStr">
        <is>
          <t>COMCARD - PTM</t>
        </is>
      </c>
      <c r="R491" t="inlineStr">
        <is>
          <t>EJECUTADO/CANCELADO</t>
        </is>
      </c>
      <c r="S491" t="inlineStr">
        <is>
          <t>VISITA TECNICA</t>
        </is>
      </c>
      <c r="U491" t="inlineStr">
        <is>
          <t>TIPO II</t>
        </is>
      </c>
      <c r="V491" t="inlineStr">
        <is>
          <t>TERRESTRE</t>
        </is>
      </c>
      <c r="W491" t="inlineStr">
        <is>
          <t>CASTAÑEDA PALACIO CARLOS FELIPE</t>
        </is>
      </c>
      <c r="Z491" s="45" t="n">
        <v>134410</v>
      </c>
      <c r="AA491" t="inlineStr">
        <is>
          <t>0</t>
        </is>
      </c>
      <c r="AB491" s="45" t="n">
        <v>221616</v>
      </c>
      <c r="AC491" s="45" t="n">
        <v>0</v>
      </c>
    </row>
    <row r="492">
      <c r="A492" t="inlineStr">
        <is>
          <t>YOPAL</t>
        </is>
      </c>
      <c r="B492" t="inlineStr">
        <is>
          <t>REMOTAS</t>
        </is>
      </c>
      <c r="C492" t="inlineStr">
        <is>
          <t>0004-0007</t>
        </is>
      </c>
      <c r="D492" t="inlineStr">
        <is>
          <t>85250</t>
        </is>
      </c>
      <c r="E492" t="inlineStr">
        <is>
          <t>TA-25-931177</t>
        </is>
      </c>
      <c r="F492" t="inlineStr">
        <is>
          <t>3007080906</t>
        </is>
      </c>
      <c r="G492" t="inlineStr">
        <is>
          <t>APERTURA</t>
        </is>
      </c>
      <c r="H492" t="inlineStr">
        <is>
          <t>CB CRECIMIENTO - NUEVO</t>
        </is>
      </c>
      <c r="I492" t="inlineStr">
        <is>
          <t>CASANARE</t>
        </is>
      </c>
      <c r="J492" t="inlineStr">
        <is>
          <t>PAZ DE ARIPORO</t>
        </is>
      </c>
      <c r="K492" t="inlineStr">
        <is>
          <t>BARRIO EL PALMAR PAZ DE ARIPORO 2</t>
        </is>
      </c>
      <c r="L492" t="inlineStr">
        <is>
          <t>BANCOLOMBIA</t>
        </is>
      </c>
      <c r="M492" t="inlineStr">
        <is>
          <t>FO-25-1339174</t>
        </is>
      </c>
      <c r="N492" s="46" t="n">
        <v>45875.42083333333</v>
      </c>
      <c r="O492" s="46" t="n">
        <v>45880.6625</v>
      </c>
      <c r="P492" t="inlineStr">
        <is>
          <t>UNO A UNO</t>
        </is>
      </c>
      <c r="Q492" t="inlineStr">
        <is>
          <t>UNO A UNO</t>
        </is>
      </c>
      <c r="R492" t="inlineStr">
        <is>
          <t>EJECUTADO/CANCELADO</t>
        </is>
      </c>
      <c r="S492" t="inlineStr">
        <is>
          <t>VISITA TECNICA</t>
        </is>
      </c>
      <c r="U492" t="inlineStr">
        <is>
          <t>TIPO II</t>
        </is>
      </c>
      <c r="V492" t="inlineStr">
        <is>
          <t>TERRESTRE</t>
        </is>
      </c>
      <c r="W492" t="inlineStr">
        <is>
          <t>BERNAL ELAICA EDGAR ALEXIS</t>
        </is>
      </c>
      <c r="Z492" s="45" t="n">
        <v>134410</v>
      </c>
      <c r="AA492" t="inlineStr">
        <is>
          <t>0</t>
        </is>
      </c>
      <c r="AB492" s="45" t="n">
        <v>221616</v>
      </c>
      <c r="AC492" s="45" t="n">
        <v>0</v>
      </c>
    </row>
    <row r="493">
      <c r="A493" t="inlineStr">
        <is>
          <t>TUNJA</t>
        </is>
      </c>
      <c r="B493" t="inlineStr">
        <is>
          <t>SANTANDERES</t>
        </is>
      </c>
      <c r="C493" t="inlineStr">
        <is>
          <t>0004-0008</t>
        </is>
      </c>
      <c r="D493" t="inlineStr">
        <is>
          <t>15272</t>
        </is>
      </c>
      <c r="E493" t="inlineStr">
        <is>
          <t>TA-25-931181</t>
        </is>
      </c>
      <c r="F493" t="inlineStr">
        <is>
          <t>3007080893</t>
        </is>
      </c>
      <c r="G493" t="inlineStr">
        <is>
          <t>APERTURA</t>
        </is>
      </c>
      <c r="H493" t="inlineStr">
        <is>
          <t>CB CRECIMIENTO - NUEVO</t>
        </is>
      </c>
      <c r="I493" t="inlineStr">
        <is>
          <t>BOYACA</t>
        </is>
      </c>
      <c r="J493" t="inlineStr">
        <is>
          <t>FIRAVITOBA</t>
        </is>
      </c>
      <c r="K493" t="inlineStr">
        <is>
          <t>BARRIO CENTRO FIRAVITOBA 2</t>
        </is>
      </c>
      <c r="L493" t="inlineStr">
        <is>
          <t>BANCOLOMBIA</t>
        </is>
      </c>
      <c r="M493" t="inlineStr">
        <is>
          <t>FO-25-1339192</t>
        </is>
      </c>
      <c r="N493" s="46" t="n">
        <v>45875.61458333334</v>
      </c>
      <c r="O493" s="46" t="n">
        <v>45881.59791666667</v>
      </c>
      <c r="P493" t="inlineStr">
        <is>
          <t>UNO A UNO</t>
        </is>
      </c>
      <c r="Q493" t="inlineStr">
        <is>
          <t>UNO A UNO</t>
        </is>
      </c>
      <c r="R493" t="inlineStr">
        <is>
          <t>EJECUTADO/CANCELADO</t>
        </is>
      </c>
      <c r="S493" t="inlineStr">
        <is>
          <t>VISITA TECNICA</t>
        </is>
      </c>
      <c r="U493" t="inlineStr">
        <is>
          <t>TIPO II</t>
        </is>
      </c>
      <c r="V493" t="inlineStr">
        <is>
          <t>TERRESTRE</t>
        </is>
      </c>
      <c r="W493" t="inlineStr">
        <is>
          <t>ALVARADO MORENO CRISTHIAN</t>
        </is>
      </c>
      <c r="Z493" s="45" t="n">
        <v>134410</v>
      </c>
      <c r="AA493" t="inlineStr">
        <is>
          <t>0</t>
        </is>
      </c>
      <c r="AB493" s="45" t="n">
        <v>221616</v>
      </c>
      <c r="AC493" s="45" t="n">
        <v>0</v>
      </c>
    </row>
    <row r="494">
      <c r="A494" t="inlineStr">
        <is>
          <t>NEIVA</t>
        </is>
      </c>
      <c r="B494" t="inlineStr">
        <is>
          <t>REMOTAS</t>
        </is>
      </c>
      <c r="C494" t="inlineStr">
        <is>
          <t>0004-0007</t>
        </is>
      </c>
      <c r="D494" t="inlineStr">
        <is>
          <t>18001</t>
        </is>
      </c>
      <c r="E494" t="inlineStr">
        <is>
          <t>TA-25-969560</t>
        </is>
      </c>
      <c r="F494" t="inlineStr">
        <is>
          <t>3007081013</t>
        </is>
      </c>
      <c r="G494" t="inlineStr">
        <is>
          <t>APERTURA</t>
        </is>
      </c>
      <c r="H494" t="inlineStr">
        <is>
          <t>CB CRECIMIENTO ALIANZA - NUEVO</t>
        </is>
      </c>
      <c r="I494" t="inlineStr">
        <is>
          <t>CAQUETA</t>
        </is>
      </c>
      <c r="J494" t="inlineStr">
        <is>
          <t>FLORENCIA</t>
        </is>
      </c>
      <c r="K494" t="inlineStr">
        <is>
          <t>DISTRICOL V&amp;C DE LA AMAZONIA</t>
        </is>
      </c>
      <c r="L494" t="inlineStr">
        <is>
          <t>BANCOLOMBIA</t>
        </is>
      </c>
      <c r="M494" t="inlineStr">
        <is>
          <t>FO-25-1371567</t>
        </is>
      </c>
      <c r="N494" s="46" t="n">
        <v>45882.73819444444</v>
      </c>
      <c r="O494" s="46" t="n">
        <v>45883.55277777778</v>
      </c>
      <c r="P494" t="inlineStr">
        <is>
          <t>AGREGADOR</t>
        </is>
      </c>
      <c r="Q494" t="inlineStr">
        <is>
          <t>DISTRICOL</t>
        </is>
      </c>
      <c r="R494" t="inlineStr">
        <is>
          <t>EJECUTADO/CANCELADO</t>
        </is>
      </c>
      <c r="S494" t="inlineStr">
        <is>
          <t>VISITA TECNICA</t>
        </is>
      </c>
      <c r="U494" t="inlineStr">
        <is>
          <t>TIPO IV</t>
        </is>
      </c>
      <c r="V494" t="inlineStr">
        <is>
          <t>TERRESTRE</t>
        </is>
      </c>
      <c r="W494" t="inlineStr">
        <is>
          <t>BERMUDEZ SANCHEZ JOSE NEYBER</t>
        </is>
      </c>
      <c r="Z494" s="45" t="n">
        <v>464809</v>
      </c>
      <c r="AA494" t="inlineStr">
        <is>
          <t>0</t>
        </is>
      </c>
      <c r="AB494" s="45" t="n">
        <v>221616</v>
      </c>
      <c r="AC494" s="45" t="n">
        <v>0</v>
      </c>
    </row>
    <row r="495">
      <c r="A495" t="inlineStr">
        <is>
          <t>PASTO</t>
        </is>
      </c>
      <c r="B495" t="inlineStr">
        <is>
          <t>SUROCCIDENTE Y EJE CAFETERO</t>
        </is>
      </c>
      <c r="C495" t="inlineStr">
        <is>
          <t>0004-0003</t>
        </is>
      </c>
      <c r="D495" t="inlineStr">
        <is>
          <t>52001</t>
        </is>
      </c>
      <c r="E495" t="inlineStr">
        <is>
          <t>TA-25-969591</t>
        </is>
      </c>
      <c r="F495" t="inlineStr">
        <is>
          <t>3007081017</t>
        </is>
      </c>
      <c r="G495" t="inlineStr">
        <is>
          <t>APERTURA</t>
        </is>
      </c>
      <c r="H495" t="inlineStr">
        <is>
          <t>CB CRECIMIENTO ALIANZA - NUEVO</t>
        </is>
      </c>
      <c r="I495" t="inlineStr">
        <is>
          <t>NARIÑO</t>
        </is>
      </c>
      <c r="J495" t="inlineStr">
        <is>
          <t>PASTO</t>
        </is>
      </c>
      <c r="K495" t="inlineStr">
        <is>
          <t>DISTRICOL DROG SUPEREXTRABAR 2</t>
        </is>
      </c>
      <c r="L495" t="inlineStr">
        <is>
          <t>BANCOLOMBIA</t>
        </is>
      </c>
      <c r="M495" t="inlineStr">
        <is>
          <t>FO-25-1371617</t>
        </is>
      </c>
      <c r="N495" s="46" t="n">
        <v>45882.62222222222</v>
      </c>
      <c r="O495" s="46" t="n">
        <v>45884.4375</v>
      </c>
      <c r="P495" t="inlineStr">
        <is>
          <t>AGREGADOR</t>
        </is>
      </c>
      <c r="Q495" t="inlineStr">
        <is>
          <t>DISTRICOL</t>
        </is>
      </c>
      <c r="R495" t="inlineStr">
        <is>
          <t>EJECUTADO/CANCELADO</t>
        </is>
      </c>
      <c r="S495" t="inlineStr">
        <is>
          <t>VISITA TECNICA</t>
        </is>
      </c>
      <c r="U495" t="inlineStr">
        <is>
          <t>TIPO I</t>
        </is>
      </c>
      <c r="V495" t="inlineStr">
        <is>
          <t>TERRESTRE</t>
        </is>
      </c>
      <c r="W495" t="inlineStr">
        <is>
          <t>GUERRERO RAMIREZ OSCAR DARIO</t>
        </is>
      </c>
      <c r="Z495" s="45" t="n">
        <v>44560</v>
      </c>
      <c r="AA495" t="inlineStr">
        <is>
          <t>0</t>
        </is>
      </c>
      <c r="AB495" s="45" t="n">
        <v>114830</v>
      </c>
      <c r="AC495" s="45" t="n">
        <v>0</v>
      </c>
    </row>
    <row r="496">
      <c r="A496" t="inlineStr">
        <is>
          <t>PASTO</t>
        </is>
      </c>
      <c r="B496" t="inlineStr">
        <is>
          <t>SUROCCIDENTE Y EJE CAFETERO</t>
        </is>
      </c>
      <c r="C496" t="inlineStr">
        <is>
          <t>0004-0003</t>
        </is>
      </c>
      <c r="D496" t="inlineStr">
        <is>
          <t>52110</t>
        </is>
      </c>
      <c r="E496" t="inlineStr">
        <is>
          <t>TA-25-969610</t>
        </is>
      </c>
      <c r="F496" t="inlineStr">
        <is>
          <t>3007081000</t>
        </is>
      </c>
      <c r="G496" t="inlineStr">
        <is>
          <t>APERTURA</t>
        </is>
      </c>
      <c r="H496" t="inlineStr">
        <is>
          <t>CB CRECIMIENTO ALIANZA - NUEVO</t>
        </is>
      </c>
      <c r="I496" t="inlineStr">
        <is>
          <t>NARIÑO</t>
        </is>
      </c>
      <c r="J496" t="inlineStr">
        <is>
          <t>BUESACO</t>
        </is>
      </c>
      <c r="K496" t="inlineStr">
        <is>
          <t>DISTRICOL DROG LA PRESENTACION</t>
        </is>
      </c>
      <c r="L496" t="inlineStr">
        <is>
          <t>BANCOLOMBIA</t>
        </is>
      </c>
      <c r="M496" t="inlineStr">
        <is>
          <t>FO-25-1371622</t>
        </is>
      </c>
      <c r="N496" s="46" t="n">
        <v>45882.68472222222</v>
      </c>
      <c r="O496" s="46" t="n">
        <v>45883.50972222222</v>
      </c>
      <c r="P496" t="inlineStr">
        <is>
          <t>AGREGADOR</t>
        </is>
      </c>
      <c r="Q496" t="inlineStr">
        <is>
          <t>DISTRICOL</t>
        </is>
      </c>
      <c r="R496" t="inlineStr">
        <is>
          <t>EJECUTADO/CANCELADO</t>
        </is>
      </c>
      <c r="S496" t="inlineStr">
        <is>
          <t>VISITA TECNICA</t>
        </is>
      </c>
      <c r="U496" t="inlineStr">
        <is>
          <t>TIPO II</t>
        </is>
      </c>
      <c r="V496" t="inlineStr">
        <is>
          <t>TERRESTRE</t>
        </is>
      </c>
      <c r="W496" t="inlineStr">
        <is>
          <t>GUERRERO RAMIREZ OSCAR DARIO</t>
        </is>
      </c>
      <c r="Z496" s="45" t="n">
        <v>134410</v>
      </c>
      <c r="AA496" t="inlineStr">
        <is>
          <t>0</t>
        </is>
      </c>
      <c r="AB496" s="45" t="n">
        <v>221616</v>
      </c>
      <c r="AC496" s="45" t="n">
        <v>0</v>
      </c>
    </row>
    <row r="497">
      <c r="A497" t="inlineStr">
        <is>
          <t>CALI</t>
        </is>
      </c>
      <c r="B497" t="inlineStr">
        <is>
          <t>SUROCCIDENTE Y EJE CAFETERO</t>
        </is>
      </c>
      <c r="C497" t="inlineStr">
        <is>
          <t>0004-0003</t>
        </is>
      </c>
      <c r="D497" t="inlineStr">
        <is>
          <t>76001</t>
        </is>
      </c>
      <c r="E497" t="inlineStr">
        <is>
          <t>TA-25-969662</t>
        </is>
      </c>
      <c r="F497" t="inlineStr">
        <is>
          <t>3007081002</t>
        </is>
      </c>
      <c r="G497" t="inlineStr">
        <is>
          <t>APERTURA</t>
        </is>
      </c>
      <c r="H497" t="inlineStr">
        <is>
          <t>CB CRECIMIENTO ALIANZA - NUEVO</t>
        </is>
      </c>
      <c r="I497" t="inlineStr">
        <is>
          <t>VALLE DEL CAUCA</t>
        </is>
      </c>
      <c r="J497" t="inlineStr">
        <is>
          <t>CALI</t>
        </is>
      </c>
      <c r="K497" t="inlineStr">
        <is>
          <t>DISTRICOL VARIEDADES Y PAPELER</t>
        </is>
      </c>
      <c r="L497" t="inlineStr">
        <is>
          <t>BANCOLOMBIA</t>
        </is>
      </c>
      <c r="M497" t="inlineStr">
        <is>
          <t>FO-25-1371657</t>
        </is>
      </c>
      <c r="N497" s="46" t="n">
        <v>45882.71388888889</v>
      </c>
      <c r="O497" s="46" t="n">
        <v>45883.48263888889</v>
      </c>
      <c r="P497" t="inlineStr">
        <is>
          <t>AGREGADOR</t>
        </is>
      </c>
      <c r="Q497" t="inlineStr">
        <is>
          <t>DISTRICOL</t>
        </is>
      </c>
      <c r="R497" t="inlineStr">
        <is>
          <t>EJECUTADO/CANCELADO</t>
        </is>
      </c>
      <c r="S497" t="inlineStr">
        <is>
          <t>VISITA TECNICA</t>
        </is>
      </c>
      <c r="U497" t="inlineStr">
        <is>
          <t>TIPO I</t>
        </is>
      </c>
      <c r="V497" t="inlineStr">
        <is>
          <t>TERRESTRE</t>
        </is>
      </c>
      <c r="W497" t="inlineStr">
        <is>
          <t>TORRES GARCIA JENDRY JOSE</t>
        </is>
      </c>
      <c r="Z497" s="45" t="n">
        <v>44560</v>
      </c>
      <c r="AA497" t="inlineStr">
        <is>
          <t>0</t>
        </is>
      </c>
      <c r="AB497" s="45" t="n">
        <v>114830</v>
      </c>
      <c r="AC497" s="45" t="n">
        <v>0</v>
      </c>
    </row>
    <row r="498">
      <c r="A498" t="inlineStr">
        <is>
          <t>MEDELLIN</t>
        </is>
      </c>
      <c r="B498" t="inlineStr">
        <is>
          <t>NOROCCIDENTE</t>
        </is>
      </c>
      <c r="C498" t="inlineStr">
        <is>
          <t>0004-0005</t>
        </is>
      </c>
      <c r="D498" t="inlineStr">
        <is>
          <t>5237</t>
        </is>
      </c>
      <c r="E498" t="inlineStr">
        <is>
          <t>TA-25-992181</t>
        </is>
      </c>
      <c r="F498" t="inlineStr">
        <is>
          <t>3007081131</t>
        </is>
      </c>
      <c r="G498" t="inlineStr">
        <is>
          <t>APERTURA</t>
        </is>
      </c>
      <c r="H498" t="inlineStr">
        <is>
          <t>CB CRECIMIENTO - NUEVO</t>
        </is>
      </c>
      <c r="I498" t="inlineStr">
        <is>
          <t>ANTIOQUIA</t>
        </is>
      </c>
      <c r="J498" t="inlineStr">
        <is>
          <t>DON MATIAS</t>
        </is>
      </c>
      <c r="K498" t="inlineStr">
        <is>
          <t>BARRIO SECTOR TRONCAL NORTE DONMATIAS</t>
        </is>
      </c>
      <c r="L498" t="inlineStr">
        <is>
          <t>BANCOLOMBIA</t>
        </is>
      </c>
      <c r="M498" t="inlineStr">
        <is>
          <t>FO-25-1402447</t>
        </is>
      </c>
      <c r="N498" s="46" t="n">
        <v>45890.63125</v>
      </c>
      <c r="O498" s="46" t="n">
        <v>45891.63055555556</v>
      </c>
      <c r="P498" t="inlineStr">
        <is>
          <t>UNO A UNO</t>
        </is>
      </c>
      <c r="Q498" t="inlineStr">
        <is>
          <t>UNO A UNO</t>
        </is>
      </c>
      <c r="R498" t="inlineStr">
        <is>
          <t>EJECUTADO/CANCELADO</t>
        </is>
      </c>
      <c r="S498" t="inlineStr">
        <is>
          <t>VISITA TECNICA</t>
        </is>
      </c>
      <c r="U498" t="inlineStr">
        <is>
          <t>TIPO II</t>
        </is>
      </c>
      <c r="V498" t="inlineStr">
        <is>
          <t>TERRESTRE</t>
        </is>
      </c>
      <c r="W498" t="inlineStr">
        <is>
          <t>DIAZ ZABALA FRANCIS DUBAN</t>
        </is>
      </c>
      <c r="Z498" s="45" t="n">
        <v>134410</v>
      </c>
      <c r="AA498" t="inlineStr">
        <is>
          <t>0</t>
        </is>
      </c>
      <c r="AB498" s="45" t="n">
        <v>221616</v>
      </c>
      <c r="AC498" s="45" t="n">
        <v>0</v>
      </c>
    </row>
    <row r="499">
      <c r="A499" t="inlineStr">
        <is>
          <t>MEDELLIN</t>
        </is>
      </c>
      <c r="B499" t="inlineStr">
        <is>
          <t>NOROCCIDENTE</t>
        </is>
      </c>
      <c r="C499" t="inlineStr">
        <is>
          <t>0004-0005</t>
        </is>
      </c>
      <c r="D499" t="inlineStr">
        <is>
          <t>5790</t>
        </is>
      </c>
      <c r="E499" t="inlineStr">
        <is>
          <t>TA-25-992998</t>
        </is>
      </c>
      <c r="F499" t="inlineStr">
        <is>
          <t>3007081116</t>
        </is>
      </c>
      <c r="G499" t="inlineStr">
        <is>
          <t>APERTURA</t>
        </is>
      </c>
      <c r="H499" t="inlineStr">
        <is>
          <t>CB CRECIMIENTO ALIANZA - NUEVO</t>
        </is>
      </c>
      <c r="I499" t="inlineStr">
        <is>
          <t>ANTIOQUIA</t>
        </is>
      </c>
      <c r="J499" t="inlineStr">
        <is>
          <t>TARAZA</t>
        </is>
      </c>
      <c r="K499" t="inlineStr">
        <is>
          <t>DISTRICOL CENTRO COMERCIAL</t>
        </is>
      </c>
      <c r="L499" t="inlineStr">
        <is>
          <t>BANCOLOMBIA</t>
        </is>
      </c>
      <c r="M499" t="inlineStr">
        <is>
          <t>FO-25-1404421</t>
        </is>
      </c>
      <c r="N499" s="46" t="n">
        <v>45890.65277777778</v>
      </c>
      <c r="O499" s="46" t="n">
        <v>45895.65972222222</v>
      </c>
      <c r="P499" t="inlineStr">
        <is>
          <t>AGREGADOR</t>
        </is>
      </c>
      <c r="Q499" t="inlineStr">
        <is>
          <t>DISTRICOL</t>
        </is>
      </c>
      <c r="R499" t="inlineStr">
        <is>
          <t>EJECUTADO/CANCELADO</t>
        </is>
      </c>
      <c r="S499" t="inlineStr">
        <is>
          <t>VISITA TECNICA</t>
        </is>
      </c>
      <c r="U499" t="inlineStr">
        <is>
          <t>TIPO IV</t>
        </is>
      </c>
      <c r="V499" t="inlineStr">
        <is>
          <t>TERRESTRE</t>
        </is>
      </c>
      <c r="W499" t="inlineStr">
        <is>
          <t>PAREJA ECHAVARRIA JHON DAVID</t>
        </is>
      </c>
      <c r="Z499" s="45" t="n">
        <v>464809</v>
      </c>
      <c r="AA499" t="inlineStr">
        <is>
          <t>0</t>
        </is>
      </c>
      <c r="AB499" s="45" t="n">
        <v>221616</v>
      </c>
      <c r="AC499" s="45" t="n">
        <v>0</v>
      </c>
    </row>
    <row r="500">
      <c r="A500" t="inlineStr">
        <is>
          <t>BUCARAMANGA</t>
        </is>
      </c>
      <c r="B500" t="inlineStr">
        <is>
          <t>SANTANDERES</t>
        </is>
      </c>
      <c r="C500" t="inlineStr">
        <is>
          <t>0004-0008</t>
        </is>
      </c>
      <c r="D500" t="inlineStr">
        <is>
          <t>68001</t>
        </is>
      </c>
      <c r="E500" t="inlineStr">
        <is>
          <t>TA-25-993020</t>
        </is>
      </c>
      <c r="F500" t="inlineStr">
        <is>
          <t>3007047890</t>
        </is>
      </c>
      <c r="G500" t="inlineStr">
        <is>
          <t>APERTURA</t>
        </is>
      </c>
      <c r="H500" t="inlineStr">
        <is>
          <t>DATAFONO ADICIONAL - ALIANZA</t>
        </is>
      </c>
      <c r="I500" t="inlineStr">
        <is>
          <t>SANTANDER</t>
        </is>
      </c>
      <c r="J500" t="inlineStr">
        <is>
          <t>BUCARAMANGA</t>
        </is>
      </c>
      <c r="K500" t="inlineStr">
        <is>
          <t>DISTRICOL MENSAJERIA ZUUUM</t>
        </is>
      </c>
      <c r="L500" t="inlineStr">
        <is>
          <t>BANCOLOMBIA</t>
        </is>
      </c>
      <c r="M500" t="inlineStr">
        <is>
          <t>FO-25-1404440</t>
        </is>
      </c>
      <c r="N500" s="46" t="n">
        <v>45890.82986111111</v>
      </c>
      <c r="O500" s="46" t="n">
        <v>45891.54722222222</v>
      </c>
      <c r="P500" t="inlineStr">
        <is>
          <t>AGREGADOR</t>
        </is>
      </c>
      <c r="Q500" t="inlineStr">
        <is>
          <t>DISTRICOL</t>
        </is>
      </c>
      <c r="R500" t="inlineStr">
        <is>
          <t>EJECUTADO</t>
        </is>
      </c>
      <c r="S500" t="inlineStr">
        <is>
          <t>VISITA TECNICA</t>
        </is>
      </c>
      <c r="T500" t="inlineStr">
        <is>
          <t>SIZZZ940</t>
        </is>
      </c>
      <c r="U500" t="inlineStr">
        <is>
          <t>TIPO I</t>
        </is>
      </c>
      <c r="V500" t="inlineStr">
        <is>
          <t>TERRESTRE</t>
        </is>
      </c>
      <c r="W500" t="inlineStr">
        <is>
          <t>ORTEBARRERAGA MARLON STWAR</t>
        </is>
      </c>
      <c r="X500" t="inlineStr">
        <is>
          <t>No</t>
        </is>
      </c>
      <c r="Y500" t="inlineStr">
        <is>
          <t>No</t>
        </is>
      </c>
      <c r="Z500" s="45" t="n">
        <v>0</v>
      </c>
      <c r="AA500" t="inlineStr">
        <is>
          <t>0</t>
        </is>
      </c>
      <c r="AB500" s="45" t="n">
        <v>114830</v>
      </c>
      <c r="AC500" s="45" t="n">
        <v>0</v>
      </c>
    </row>
  </sheetData>
  <autoFilter ref="A1:AC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43" t="inlineStr">
        <is>
          <t>CIUDAD SEDE</t>
        </is>
      </c>
      <c r="B1" s="43" t="inlineStr">
        <is>
          <t>COORDINADOR</t>
        </is>
      </c>
      <c r="C1" s="43" t="inlineStr">
        <is>
          <t>CENTRO DE COSTOS LINEACOM</t>
        </is>
      </c>
      <c r="D1" s="43" t="inlineStr">
        <is>
          <t>CODIGO DANE</t>
        </is>
      </c>
      <c r="E1" s="43" t="inlineStr">
        <is>
          <t>TA/CODIGO ACTIVIDAD</t>
        </is>
      </c>
      <c r="F1" s="43" t="inlineStr">
        <is>
          <t>CODIGO CB</t>
        </is>
      </c>
      <c r="G1" s="43" t="inlineStr">
        <is>
          <t>ACTIVIDAD</t>
        </is>
      </c>
      <c r="H1" s="43" t="inlineStr">
        <is>
          <t>DEPARTAMENTO</t>
        </is>
      </c>
      <c r="I1" s="43" t="inlineStr">
        <is>
          <t>CIUDAD</t>
        </is>
      </c>
      <c r="J1" s="43" t="inlineStr">
        <is>
          <t xml:space="preserve">NOMBRE  DEL CB </t>
        </is>
      </c>
      <c r="K1" s="43" t="inlineStr">
        <is>
          <t>RED</t>
        </is>
      </c>
      <c r="L1" s="43" t="inlineStr">
        <is>
          <t>FO</t>
        </is>
      </c>
      <c r="M1" s="43" t="inlineStr">
        <is>
          <t>FECHA ASIGNACION A LINEA COMUNICACIONES</t>
        </is>
      </c>
      <c r="N1" s="43" t="inlineStr">
        <is>
          <t>FECHA CIERRE DEL TICKET (DD/MM/AAAA HH:MM)</t>
        </is>
      </c>
      <c r="O1" s="43" t="inlineStr">
        <is>
          <t>ACOMETIDA DATOS</t>
        </is>
      </c>
      <c r="P1" s="43" t="inlineStr">
        <is>
          <t>FORMATO</t>
        </is>
      </c>
      <c r="Q1" s="43" t="inlineStr">
        <is>
          <t>CADENA</t>
        </is>
      </c>
      <c r="R1" s="43" t="inlineStr">
        <is>
          <t>ESTADO</t>
        </is>
      </c>
      <c r="S1" s="43" t="inlineStr">
        <is>
          <t>CAUSAL ESTADO</t>
        </is>
      </c>
      <c r="T1" s="43" t="inlineStr">
        <is>
          <t>FORMA DE ATENCION</t>
        </is>
      </c>
      <c r="U1" s="43" t="inlineStr">
        <is>
          <t>TERMINAL(ES)</t>
        </is>
      </c>
      <c r="V1" s="43" t="inlineStr">
        <is>
          <t>TIPIFICACION</t>
        </is>
      </c>
      <c r="W1" s="43" t="inlineStr">
        <is>
          <t>TIPO DE TRAYECTO</t>
        </is>
      </c>
      <c r="X1" s="43" t="inlineStr">
        <is>
          <t>NOMBRE DEL TECNICO</t>
        </is>
      </c>
      <c r="Y1" s="43" t="inlineStr">
        <is>
          <t>DIAS DE VISITA</t>
        </is>
      </c>
      <c r="Z1" s="43" t="inlineStr">
        <is>
          <t>DIA ADICIONAL</t>
        </is>
      </c>
      <c r="AA1" s="43" t="inlineStr">
        <is>
          <t>VALOR DIAS ACTIVIDAD FACTURABLES E</t>
        </is>
      </c>
      <c r="AB1" s="43" t="inlineStr">
        <is>
          <t>VALOR DIAS ACOMPAÑAMIENTO FACTURABLES</t>
        </is>
      </c>
      <c r="AC1" s="43" t="inlineStr">
        <is>
          <t>VALOR TOTAL</t>
        </is>
      </c>
      <c r="AD1" s="43" t="inlineStr">
        <is>
          <t>VALOR TOTAL</t>
        </is>
      </c>
    </row>
    <row r="2">
      <c r="A2" t="inlineStr">
        <is>
          <t>BOGOTA</t>
        </is>
      </c>
      <c r="B2" t="inlineStr">
        <is>
          <t>CUNDINAMARCA</t>
        </is>
      </c>
      <c r="C2" t="inlineStr">
        <is>
          <t>0004-0004</t>
        </is>
      </c>
      <c r="D2" t="inlineStr">
        <is>
          <t>25181</t>
        </is>
      </c>
      <c r="E2" t="inlineStr">
        <is>
          <t>2548039</t>
        </is>
      </c>
      <c r="F2" t="inlineStr">
        <is>
          <t>3007075359</t>
        </is>
      </c>
      <c r="G2" t="inlineStr">
        <is>
          <t>OC PUBLICIDAD</t>
        </is>
      </c>
      <c r="H2" t="inlineStr">
        <is>
          <t>CUNDINAMARCA</t>
        </is>
      </c>
      <c r="I2" t="inlineStr">
        <is>
          <t>CHOACHI</t>
        </is>
      </c>
      <c r="J2" t="inlineStr">
        <is>
          <t>BARRIO CENTRO CHOACHI  6</t>
        </is>
      </c>
      <c r="K2" t="inlineStr">
        <is>
          <t>BANCOLOMBIA</t>
        </is>
      </c>
      <c r="L2" t="inlineStr">
        <is>
          <t>FO-25-1326217</t>
        </is>
      </c>
      <c r="M2" s="46" t="n">
        <v>45873.45299768518</v>
      </c>
      <c r="N2" s="46" t="n">
        <v>45882.38194444445</v>
      </c>
      <c r="O2" s="45" t="n">
        <v>0</v>
      </c>
      <c r="P2" t="inlineStr">
        <is>
          <t>UNO A UNO</t>
        </is>
      </c>
      <c r="Q2" t="inlineStr">
        <is>
          <t>UNO A UNO</t>
        </is>
      </c>
      <c r="R2" t="inlineStr">
        <is>
          <t>EJECUTADO</t>
        </is>
      </c>
      <c r="S2" t="inlineStr">
        <is>
          <t>EJECUTADO EXITOSO</t>
        </is>
      </c>
      <c r="T2" t="inlineStr">
        <is>
          <t>VISITA TECNICA</t>
        </is>
      </c>
      <c r="U2" t="inlineStr"/>
      <c r="V2" t="inlineStr">
        <is>
          <t>TIPO II</t>
        </is>
      </c>
      <c r="W2" t="inlineStr">
        <is>
          <t>TERRESTRE</t>
        </is>
      </c>
      <c r="X2" t="inlineStr">
        <is>
          <t>INFANTE SIERRA MANUEL FERNANDO</t>
        </is>
      </c>
      <c r="Y2" t="inlineStr">
        <is>
          <t>1</t>
        </is>
      </c>
      <c r="Z2" t="inlineStr">
        <is>
          <t>0</t>
        </is>
      </c>
      <c r="AA2" s="45" t="n">
        <v>232859</v>
      </c>
      <c r="AB2" t="inlineStr">
        <is>
          <t>0</t>
        </is>
      </c>
      <c r="AC2" s="45" t="n">
        <v>354918</v>
      </c>
      <c r="AD2" s="45" t="n">
        <v>0</v>
      </c>
    </row>
    <row r="3">
      <c r="A3" t="inlineStr">
        <is>
          <t>IBAGUE</t>
        </is>
      </c>
      <c r="B3" t="inlineStr">
        <is>
          <t>REMOTAS</t>
        </is>
      </c>
      <c r="C3" t="inlineStr">
        <is>
          <t>0004-0007</t>
        </is>
      </c>
      <c r="D3" t="inlineStr">
        <is>
          <t>73001</t>
        </is>
      </c>
      <c r="E3" t="inlineStr">
        <is>
          <t>2507891</t>
        </is>
      </c>
      <c r="F3" t="inlineStr">
        <is>
          <t>3007080609</t>
        </is>
      </c>
      <c r="G3" t="inlineStr">
        <is>
          <t>OC PUBLICIDAD</t>
        </is>
      </c>
      <c r="H3" t="inlineStr">
        <is>
          <t>TOLIMA</t>
        </is>
      </c>
      <c r="I3" t="inlineStr">
        <is>
          <t>IBAGUE</t>
        </is>
      </c>
      <c r="J3" t="inlineStr">
        <is>
          <t>BARRIO LA FRANCIA IBAGUE 4</t>
        </is>
      </c>
      <c r="K3" t="inlineStr">
        <is>
          <t>BANCOLOMBIA</t>
        </is>
      </c>
      <c r="L3" t="inlineStr">
        <is>
          <t>FO-25-1289345</t>
        </is>
      </c>
      <c r="M3" s="46" t="n">
        <v>45864.47361111111</v>
      </c>
      <c r="N3" s="46" t="n">
        <v>45875.34027777778</v>
      </c>
      <c r="O3" s="45" t="n">
        <v>0</v>
      </c>
      <c r="P3" t="inlineStr">
        <is>
          <t>UNO A UNO</t>
        </is>
      </c>
      <c r="Q3" t="inlineStr">
        <is>
          <t>UNO A UNO</t>
        </is>
      </c>
      <c r="R3" t="inlineStr">
        <is>
          <t>EJECUTADO</t>
        </is>
      </c>
      <c r="S3" t="inlineStr">
        <is>
          <t>EJECUTADO EXITOSO</t>
        </is>
      </c>
      <c r="T3" t="inlineStr">
        <is>
          <t>VISITA TECNICA</t>
        </is>
      </c>
      <c r="U3" t="inlineStr"/>
      <c r="V3" t="inlineStr">
        <is>
          <t>TIPO I</t>
        </is>
      </c>
      <c r="W3" t="inlineStr">
        <is>
          <t>TERRESTRE</t>
        </is>
      </c>
      <c r="X3" t="inlineStr">
        <is>
          <t>GUTIERREZ  CAMILO ANDRES</t>
        </is>
      </c>
      <c r="Y3" t="inlineStr">
        <is>
          <t>1</t>
        </is>
      </c>
      <c r="Z3" t="inlineStr">
        <is>
          <t>0</t>
        </is>
      </c>
      <c r="AA3" s="45" t="n">
        <v>96011</v>
      </c>
      <c r="AB3" t="inlineStr">
        <is>
          <t>0</t>
        </is>
      </c>
      <c r="AC3" s="45" t="n">
        <v>153426</v>
      </c>
      <c r="AD3" s="45" t="n">
        <v>0</v>
      </c>
    </row>
    <row r="4">
      <c r="A4" t="inlineStr">
        <is>
          <t>IBAGUE</t>
        </is>
      </c>
      <c r="B4" t="inlineStr">
        <is>
          <t>REMOTAS</t>
        </is>
      </c>
      <c r="C4" t="inlineStr">
        <is>
          <t>0004-0007</t>
        </is>
      </c>
      <c r="D4" t="inlineStr">
        <is>
          <t>73001</t>
        </is>
      </c>
      <c r="E4" t="inlineStr">
        <is>
          <t>2510860</t>
        </is>
      </c>
      <c r="F4" t="inlineStr">
        <is>
          <t>3007074921</t>
        </is>
      </c>
      <c r="G4" t="inlineStr">
        <is>
          <t>OC PUBLICIDAD</t>
        </is>
      </c>
      <c r="H4" t="inlineStr">
        <is>
          <t>TOLIMA</t>
        </is>
      </c>
      <c r="I4" t="inlineStr">
        <is>
          <t>IBAGUE</t>
        </is>
      </c>
      <c r="J4" t="inlineStr">
        <is>
          <t>BARRIO CADIZ IBAGUE 2</t>
        </is>
      </c>
      <c r="K4" t="inlineStr">
        <is>
          <t>BANCOLOMBIA</t>
        </is>
      </c>
      <c r="L4" t="inlineStr">
        <is>
          <t>FO-25-1293506</t>
        </is>
      </c>
      <c r="M4" s="46" t="n">
        <v>45866.39097222222</v>
      </c>
      <c r="N4" s="46" t="n">
        <v>45873.73194444444</v>
      </c>
      <c r="O4" s="45" t="n">
        <v>0</v>
      </c>
      <c r="P4" t="inlineStr">
        <is>
          <t>CB UNO A UNO</t>
        </is>
      </c>
      <c r="Q4" t="inlineStr">
        <is>
          <t>CB UNO A UNO</t>
        </is>
      </c>
      <c r="R4" t="inlineStr">
        <is>
          <t>EJECUTADO</t>
        </is>
      </c>
      <c r="S4" t="inlineStr">
        <is>
          <t>EJECUTADO EXITOSO</t>
        </is>
      </c>
      <c r="T4" t="inlineStr">
        <is>
          <t>VISITA TECNICA</t>
        </is>
      </c>
      <c r="U4" t="inlineStr"/>
      <c r="V4" t="inlineStr">
        <is>
          <t>TIPO I</t>
        </is>
      </c>
      <c r="W4" t="inlineStr">
        <is>
          <t>TERRESTRE</t>
        </is>
      </c>
      <c r="X4" t="inlineStr">
        <is>
          <t>GUTIERREZ  CAMILO ANDRES</t>
        </is>
      </c>
      <c r="Y4" t="inlineStr">
        <is>
          <t>1</t>
        </is>
      </c>
      <c r="Z4" t="inlineStr">
        <is>
          <t>0</t>
        </is>
      </c>
      <c r="AA4" s="45" t="n">
        <v>96011</v>
      </c>
      <c r="AB4" t="inlineStr">
        <is>
          <t>0</t>
        </is>
      </c>
      <c r="AC4" s="45" t="n">
        <v>153426</v>
      </c>
      <c r="AD4" s="45" t="n">
        <v>0</v>
      </c>
    </row>
    <row r="5">
      <c r="A5" t="inlineStr">
        <is>
          <t>BOGOTA</t>
        </is>
      </c>
      <c r="B5" t="inlineStr">
        <is>
          <t>CUNDINAMARCA</t>
        </is>
      </c>
      <c r="C5" t="inlineStr">
        <is>
          <t>0004-0004</t>
        </is>
      </c>
      <c r="D5" t="inlineStr">
        <is>
          <t>25473</t>
        </is>
      </c>
      <c r="E5" t="inlineStr">
        <is>
          <t>2516155</t>
        </is>
      </c>
      <c r="F5" t="inlineStr">
        <is>
          <t>3007069890</t>
        </is>
      </c>
      <c r="G5" t="inlineStr">
        <is>
          <t>OC PUBLICIDAD</t>
        </is>
      </c>
      <c r="H5" t="inlineStr">
        <is>
          <t>CUNDINAMARCA</t>
        </is>
      </c>
      <c r="I5" t="inlineStr">
        <is>
          <t>MOSQUERA</t>
        </is>
      </c>
      <c r="J5" t="inlineStr">
        <is>
          <t>BARRIO CENTRO MOSQUERA  3</t>
        </is>
      </c>
      <c r="K5" t="inlineStr">
        <is>
          <t>BANCOLOMBIA</t>
        </is>
      </c>
      <c r="L5" t="inlineStr">
        <is>
          <t>FO-25-1297545</t>
        </is>
      </c>
      <c r="M5" s="46" t="n">
        <v>45866.69390046296</v>
      </c>
      <c r="N5" s="46" t="n">
        <v>45871.51111111111</v>
      </c>
      <c r="O5" s="45" t="n">
        <v>0</v>
      </c>
      <c r="P5" t="inlineStr">
        <is>
          <t>UNO A UNO</t>
        </is>
      </c>
      <c r="Q5" t="inlineStr">
        <is>
          <t>CB UNO A UNO</t>
        </is>
      </c>
      <c r="R5" t="inlineStr">
        <is>
          <t>EJECUTADO / CANCELADO</t>
        </is>
      </c>
      <c r="S5" t="inlineStr">
        <is>
          <t>PETICIÓN USUARIO</t>
        </is>
      </c>
      <c r="T5" t="inlineStr">
        <is>
          <t>VISITA TECNICA</t>
        </is>
      </c>
      <c r="U5" t="inlineStr"/>
      <c r="V5" t="inlineStr">
        <is>
          <t>TIPO I</t>
        </is>
      </c>
      <c r="W5" t="inlineStr">
        <is>
          <t>TERRESTRE</t>
        </is>
      </c>
      <c r="X5" t="inlineStr">
        <is>
          <t>GALEANO SORIANO JUAN DAVID</t>
        </is>
      </c>
      <c r="Y5" t="inlineStr">
        <is>
          <t>1</t>
        </is>
      </c>
      <c r="Z5" t="inlineStr">
        <is>
          <t>0</t>
        </is>
      </c>
      <c r="AA5" s="45" t="n">
        <v>96011</v>
      </c>
      <c r="AB5" t="inlineStr">
        <is>
          <t>0</t>
        </is>
      </c>
      <c r="AC5" s="45" t="n">
        <v>210841</v>
      </c>
      <c r="AD5" s="45" t="n">
        <v>0</v>
      </c>
    </row>
    <row r="6">
      <c r="A6" t="inlineStr">
        <is>
          <t>MEDELLIN</t>
        </is>
      </c>
      <c r="B6" t="inlineStr">
        <is>
          <t>NOROCCIDENTE</t>
        </is>
      </c>
      <c r="C6" t="inlineStr">
        <is>
          <t>0004-0005</t>
        </is>
      </c>
      <c r="D6" t="inlineStr">
        <is>
          <t>5579</t>
        </is>
      </c>
      <c r="E6" t="inlineStr">
        <is>
          <t>2516588</t>
        </is>
      </c>
      <c r="F6" t="inlineStr">
        <is>
          <t>3007049763</t>
        </is>
      </c>
      <c r="G6" t="inlineStr">
        <is>
          <t>OC PUBLICIDAD</t>
        </is>
      </c>
      <c r="H6" t="inlineStr">
        <is>
          <t>ANTIOQUIA</t>
        </is>
      </c>
      <c r="I6" t="inlineStr">
        <is>
          <t>PUERTO BERRIO</t>
        </is>
      </c>
      <c r="J6" t="inlineStr">
        <is>
          <t>BARRIO PUERTO BERRIO PUERTO BE</t>
        </is>
      </c>
      <c r="K6" t="inlineStr">
        <is>
          <t>BANCOLOMBIA</t>
        </is>
      </c>
      <c r="L6" t="inlineStr">
        <is>
          <t>FO-25-1297539</t>
        </is>
      </c>
      <c r="M6" s="46" t="n">
        <v>45866.73362268518</v>
      </c>
      <c r="N6" s="46" t="n">
        <v>45873.58263888889</v>
      </c>
      <c r="O6" s="45" t="n">
        <v>0</v>
      </c>
      <c r="P6" t="inlineStr">
        <is>
          <t>CB UNO A UNO</t>
        </is>
      </c>
      <c r="Q6" t="inlineStr">
        <is>
          <t>CB UNO A UNO</t>
        </is>
      </c>
      <c r="R6" t="inlineStr">
        <is>
          <t>EJECUTADO</t>
        </is>
      </c>
      <c r="S6" t="inlineStr">
        <is>
          <t>EJECUTADO EXITOSO</t>
        </is>
      </c>
      <c r="T6" t="inlineStr">
        <is>
          <t>VISITA TECNICA</t>
        </is>
      </c>
      <c r="U6" t="inlineStr"/>
      <c r="V6" t="inlineStr">
        <is>
          <t>TIPO III</t>
        </is>
      </c>
      <c r="W6" t="inlineStr">
        <is>
          <t>TERRESTRE</t>
        </is>
      </c>
      <c r="X6" t="inlineStr">
        <is>
          <t>MARTINEZ TOVAR OSCAR DAVID</t>
        </is>
      </c>
      <c r="Y6" t="inlineStr">
        <is>
          <t>1</t>
        </is>
      </c>
      <c r="Z6" t="inlineStr">
        <is>
          <t>0</t>
        </is>
      </c>
      <c r="AA6" s="45" t="n">
        <v>344775</v>
      </c>
      <c r="AB6" t="inlineStr">
        <is>
          <t>0</t>
        </is>
      </c>
      <c r="AC6" s="45" t="n">
        <v>455583</v>
      </c>
      <c r="AD6" s="45" t="n">
        <v>0</v>
      </c>
    </row>
    <row r="7">
      <c r="A7" t="inlineStr">
        <is>
          <t>VALLEDUPAR</t>
        </is>
      </c>
      <c r="B7" t="inlineStr">
        <is>
          <t>COSTA</t>
        </is>
      </c>
      <c r="C7" t="inlineStr">
        <is>
          <t>0004-0001</t>
        </is>
      </c>
      <c r="D7" t="inlineStr">
        <is>
          <t>20001</t>
        </is>
      </c>
      <c r="E7" t="inlineStr">
        <is>
          <t>2524605</t>
        </is>
      </c>
      <c r="F7" t="inlineStr">
        <is>
          <t>3007080195</t>
        </is>
      </c>
      <c r="G7" t="inlineStr">
        <is>
          <t>OC PUBLICIDAD</t>
        </is>
      </c>
      <c r="H7" t="inlineStr">
        <is>
          <t>CESAR</t>
        </is>
      </c>
      <c r="I7" t="inlineStr">
        <is>
          <t>VALLEDUPAR</t>
        </is>
      </c>
      <c r="J7" t="inlineStr">
        <is>
          <t>BARRIO 5 DE NOVIEMBRE VALLEDUPAR 1</t>
        </is>
      </c>
      <c r="K7" t="inlineStr">
        <is>
          <t>BANCOLOMBIA</t>
        </is>
      </c>
      <c r="L7" t="inlineStr">
        <is>
          <t>FO-25-1304288</t>
        </is>
      </c>
      <c r="M7" s="46" t="n">
        <v>45868.34983796296</v>
      </c>
      <c r="N7" s="46" t="n">
        <v>45875.35138888889</v>
      </c>
      <c r="O7" s="45" t="n">
        <v>0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EJECUTADO EXITOSO</t>
        </is>
      </c>
      <c r="T7" t="inlineStr">
        <is>
          <t>VISITA TECNICA</t>
        </is>
      </c>
      <c r="U7" t="inlineStr"/>
      <c r="V7" t="inlineStr">
        <is>
          <t>TIPO I</t>
        </is>
      </c>
      <c r="W7" t="inlineStr">
        <is>
          <t>TERRESTRE</t>
        </is>
      </c>
      <c r="X7" t="inlineStr">
        <is>
          <t>BENITEZ CARVAJAL ALVARO JAVIER</t>
        </is>
      </c>
      <c r="Y7" t="inlineStr">
        <is>
          <t>1</t>
        </is>
      </c>
      <c r="Z7" t="inlineStr">
        <is>
          <t>0</t>
        </is>
      </c>
      <c r="AA7" s="45" t="n">
        <v>96011</v>
      </c>
      <c r="AB7" t="inlineStr">
        <is>
          <t>0</t>
        </is>
      </c>
      <c r="AC7" s="45" t="n">
        <v>153426</v>
      </c>
      <c r="AD7" s="45" t="n">
        <v>0</v>
      </c>
    </row>
    <row r="8">
      <c r="A8" t="inlineStr">
        <is>
          <t>SINCELEJO</t>
        </is>
      </c>
      <c r="B8" t="inlineStr">
        <is>
          <t>COSTA</t>
        </is>
      </c>
      <c r="C8" t="inlineStr">
        <is>
          <t>0004-0001</t>
        </is>
      </c>
      <c r="D8" t="inlineStr">
        <is>
          <t>70001</t>
        </is>
      </c>
      <c r="E8" t="inlineStr">
        <is>
          <t>2526269</t>
        </is>
      </c>
      <c r="F8" t="inlineStr">
        <is>
          <t>3007050683</t>
        </is>
      </c>
      <c r="G8" t="inlineStr">
        <is>
          <t>OC PUBLICIDAD</t>
        </is>
      </c>
      <c r="H8" t="inlineStr">
        <is>
          <t>SUCRE</t>
        </is>
      </c>
      <c r="I8" t="inlineStr">
        <is>
          <t>SINCELEJO</t>
        </is>
      </c>
      <c r="J8" t="inlineStr">
        <is>
          <t>BARRIO LA CAMPINA SINCELEJO</t>
        </is>
      </c>
      <c r="K8" t="inlineStr">
        <is>
          <t>BANCOLOMBIA</t>
        </is>
      </c>
      <c r="L8" t="inlineStr">
        <is>
          <t>FO-25-1305301</t>
        </is>
      </c>
      <c r="M8" s="46" t="n">
        <v>45868.44856481482</v>
      </c>
      <c r="N8" s="46" t="n">
        <v>45874.59791666667</v>
      </c>
      <c r="O8" s="45" t="n">
        <v>0</v>
      </c>
      <c r="P8" t="inlineStr">
        <is>
          <t>CB UNO A UNO</t>
        </is>
      </c>
      <c r="Q8" t="inlineStr">
        <is>
          <t>CB UNO A UNO</t>
        </is>
      </c>
      <c r="R8" t="inlineStr">
        <is>
          <t>EJECUTADO</t>
        </is>
      </c>
      <c r="S8" t="inlineStr">
        <is>
          <t>EJECUTADO EXITOSO</t>
        </is>
      </c>
      <c r="T8" t="inlineStr">
        <is>
          <t>VISITA TECNICA</t>
        </is>
      </c>
      <c r="U8" t="inlineStr"/>
      <c r="V8" t="inlineStr">
        <is>
          <t>TIPO I</t>
        </is>
      </c>
      <c r="W8" t="inlineStr">
        <is>
          <t>TERRESTRE</t>
        </is>
      </c>
      <c r="X8" t="inlineStr">
        <is>
          <t>CACERES HERNANDEZ ANDRES</t>
        </is>
      </c>
      <c r="Y8" t="inlineStr">
        <is>
          <t>1</t>
        </is>
      </c>
      <c r="Z8" t="inlineStr">
        <is>
          <t>0</t>
        </is>
      </c>
      <c r="AA8" s="45" t="n">
        <v>96011</v>
      </c>
      <c r="AB8" t="inlineStr">
        <is>
          <t>0</t>
        </is>
      </c>
      <c r="AC8" s="45" t="n">
        <v>153426</v>
      </c>
      <c r="AD8" s="45" t="n">
        <v>0</v>
      </c>
    </row>
    <row r="9">
      <c r="A9" t="inlineStr">
        <is>
          <t>MEDELLIN</t>
        </is>
      </c>
      <c r="B9" t="inlineStr">
        <is>
          <t>NOROCCIDENTE</t>
        </is>
      </c>
      <c r="C9" t="inlineStr">
        <is>
          <t>0004-0005</t>
        </is>
      </c>
      <c r="D9" t="inlineStr">
        <is>
          <t>5579</t>
        </is>
      </c>
      <c r="E9" t="inlineStr">
        <is>
          <t>2527233</t>
        </is>
      </c>
      <c r="F9" t="inlineStr">
        <is>
          <t>3007046941</t>
        </is>
      </c>
      <c r="G9" t="inlineStr">
        <is>
          <t>OC PUBLICIDAD</t>
        </is>
      </c>
      <c r="H9" t="inlineStr">
        <is>
          <t>ANTIOQUIA</t>
        </is>
      </c>
      <c r="I9" t="inlineStr">
        <is>
          <t>PUERTO BERRIO</t>
        </is>
      </c>
      <c r="J9" t="inlineStr">
        <is>
          <t>BARRIO EL CARMELO PUERTO BERRI</t>
        </is>
      </c>
      <c r="K9" t="inlineStr">
        <is>
          <t>BANCOLOMBIA</t>
        </is>
      </c>
      <c r="L9" t="inlineStr">
        <is>
          <t>FO-25-1308002</t>
        </is>
      </c>
      <c r="M9" s="46" t="n">
        <v>45868.49420138889</v>
      </c>
      <c r="N9" s="46" t="n">
        <v>45873.5875</v>
      </c>
      <c r="O9" s="45" t="n">
        <v>0</v>
      </c>
      <c r="P9" t="inlineStr">
        <is>
          <t>CB UNO A UNO</t>
        </is>
      </c>
      <c r="Q9" t="inlineStr">
        <is>
          <t>CB UNO A UNO</t>
        </is>
      </c>
      <c r="R9" t="inlineStr">
        <is>
          <t>EJECUTADO</t>
        </is>
      </c>
      <c r="S9" t="inlineStr">
        <is>
          <t>EJECUTADO EXITOSO</t>
        </is>
      </c>
      <c r="T9" t="inlineStr">
        <is>
          <t>VISITA TECNICA</t>
        </is>
      </c>
      <c r="U9" t="inlineStr"/>
      <c r="V9" t="inlineStr">
        <is>
          <t>TIPO III</t>
        </is>
      </c>
      <c r="W9" t="inlineStr">
        <is>
          <t>TERRESTRE</t>
        </is>
      </c>
      <c r="X9" t="inlineStr">
        <is>
          <t>MARTINEZ TOVAR OSCAR DAVID</t>
        </is>
      </c>
      <c r="Y9" t="inlineStr">
        <is>
          <t>1</t>
        </is>
      </c>
      <c r="Z9" t="inlineStr">
        <is>
          <t>0</t>
        </is>
      </c>
      <c r="AA9" s="45" t="n">
        <v>344775</v>
      </c>
      <c r="AB9" t="inlineStr">
        <is>
          <t>0</t>
        </is>
      </c>
      <c r="AC9" s="45" t="n">
        <v>455583</v>
      </c>
      <c r="AD9" s="45" t="n">
        <v>0</v>
      </c>
    </row>
    <row r="10">
      <c r="A10" t="inlineStr">
        <is>
          <t>IBAGUE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73001</t>
        </is>
      </c>
      <c r="E10" t="inlineStr">
        <is>
          <t>2527924</t>
        </is>
      </c>
      <c r="F10" t="inlineStr">
        <is>
          <t>3007070007</t>
        </is>
      </c>
      <c r="G10" t="inlineStr">
        <is>
          <t>OC PUBLICIDAD</t>
        </is>
      </c>
      <c r="H10" t="inlineStr">
        <is>
          <t>TOLIMA</t>
        </is>
      </c>
      <c r="I10" t="inlineStr">
        <is>
          <t>IBAGUE</t>
        </is>
      </c>
      <c r="J10" t="inlineStr">
        <is>
          <t>BARRIO URBANIZACION VILLA MARI</t>
        </is>
      </c>
      <c r="K10" t="inlineStr">
        <is>
          <t>BANCOLOMBIA</t>
        </is>
      </c>
      <c r="L10" t="inlineStr">
        <is>
          <t>FO-25-1307996</t>
        </is>
      </c>
      <c r="M10" s="46" t="n">
        <v>45868.57986111111</v>
      </c>
      <c r="N10" s="46" t="n">
        <v>45870.45347222222</v>
      </c>
      <c r="O10" s="45" t="n">
        <v>0</v>
      </c>
      <c r="P10" t="inlineStr">
        <is>
          <t>CB UNO A UNO</t>
        </is>
      </c>
      <c r="Q10" t="inlineStr">
        <is>
          <t>CB UNO A UNO</t>
        </is>
      </c>
      <c r="R10" t="inlineStr">
        <is>
          <t>EJECUTADO</t>
        </is>
      </c>
      <c r="S10" t="inlineStr">
        <is>
          <t>EJECUTADO EXITOSO</t>
        </is>
      </c>
      <c r="T10" t="inlineStr">
        <is>
          <t>VISITA TECNICA</t>
        </is>
      </c>
      <c r="U10" t="inlineStr"/>
      <c r="V10" t="inlineStr">
        <is>
          <t>TIPO I</t>
        </is>
      </c>
      <c r="W10" t="inlineStr">
        <is>
          <t>TERRESTRE</t>
        </is>
      </c>
      <c r="X10" t="inlineStr">
        <is>
          <t>BARRAGAN TAFUR EDWIN ESTEBAN</t>
        </is>
      </c>
      <c r="Y10" t="inlineStr">
        <is>
          <t>1</t>
        </is>
      </c>
      <c r="Z10" t="inlineStr">
        <is>
          <t>0</t>
        </is>
      </c>
      <c r="AA10" s="45" t="n">
        <v>96011</v>
      </c>
      <c r="AB10" t="inlineStr">
        <is>
          <t>0</t>
        </is>
      </c>
      <c r="AC10" s="45" t="n">
        <v>153426</v>
      </c>
      <c r="AD10" s="45" t="n">
        <v>0</v>
      </c>
    </row>
    <row r="11">
      <c r="A11" t="inlineStr">
        <is>
          <t>VALLEDUPAR</t>
        </is>
      </c>
      <c r="B11" t="inlineStr">
        <is>
          <t>COSTA</t>
        </is>
      </c>
      <c r="C11" t="inlineStr">
        <is>
          <t>0004-0001</t>
        </is>
      </c>
      <c r="D11" t="inlineStr">
        <is>
          <t>20001</t>
        </is>
      </c>
      <c r="E11" t="inlineStr">
        <is>
          <t>2528261</t>
        </is>
      </c>
      <c r="F11" t="inlineStr">
        <is>
          <t>3007066078</t>
        </is>
      </c>
      <c r="G11" t="inlineStr">
        <is>
          <t>OC PUBLICIDAD</t>
        </is>
      </c>
      <c r="H11" t="inlineStr">
        <is>
          <t>CESAR</t>
        </is>
      </c>
      <c r="I11" t="inlineStr">
        <is>
          <t>VALLEDUPAR</t>
        </is>
      </c>
      <c r="J11" t="inlineStr">
        <is>
          <t>BARRIO LAS DELICIAS VALLEDUPAR</t>
        </is>
      </c>
      <c r="K11" t="inlineStr">
        <is>
          <t>BANCOLOMBIA</t>
        </is>
      </c>
      <c r="L11" t="inlineStr">
        <is>
          <t>FO-25-1307993</t>
        </is>
      </c>
      <c r="M11" s="46" t="n">
        <v>45868.61211805556</v>
      </c>
      <c r="N11" s="46" t="n">
        <v>45875.57083333333</v>
      </c>
      <c r="O11" s="45" t="n">
        <v>0</v>
      </c>
      <c r="P11" t="inlineStr">
        <is>
          <t>CB UNO A UNO</t>
        </is>
      </c>
      <c r="Q11" t="inlineStr">
        <is>
          <t>CB UNO A UNO</t>
        </is>
      </c>
      <c r="R11" t="inlineStr">
        <is>
          <t>EJECUTADO</t>
        </is>
      </c>
      <c r="S11" t="inlineStr">
        <is>
          <t>EJECUTADO EXITOSO</t>
        </is>
      </c>
      <c r="T11" t="inlineStr">
        <is>
          <t>VISITA TECNICA</t>
        </is>
      </c>
      <c r="U11" t="inlineStr"/>
      <c r="V11" t="inlineStr">
        <is>
          <t>TIPO I</t>
        </is>
      </c>
      <c r="W11" t="inlineStr">
        <is>
          <t>TERRESTRE</t>
        </is>
      </c>
      <c r="X11" t="inlineStr">
        <is>
          <t>BENITEZ CARVAJAL ALVARO JAVIER</t>
        </is>
      </c>
      <c r="Y11" t="inlineStr">
        <is>
          <t>1</t>
        </is>
      </c>
      <c r="Z11" t="inlineStr">
        <is>
          <t>0</t>
        </is>
      </c>
      <c r="AA11" s="45" t="n">
        <v>96011</v>
      </c>
      <c r="AB11" t="inlineStr">
        <is>
          <t>0</t>
        </is>
      </c>
      <c r="AC11" s="45" t="n">
        <v>153426</v>
      </c>
      <c r="AD11" s="45" t="n">
        <v>0</v>
      </c>
    </row>
    <row r="12">
      <c r="A12" t="inlineStr">
        <is>
          <t>CALI</t>
        </is>
      </c>
      <c r="B12" t="inlineStr">
        <is>
          <t>SUROCCIDENTE Y EJE CAFETERO</t>
        </is>
      </c>
      <c r="C12" t="inlineStr">
        <is>
          <t>0004-0003</t>
        </is>
      </c>
      <c r="D12" t="inlineStr">
        <is>
          <t>76001</t>
        </is>
      </c>
      <c r="E12" t="inlineStr">
        <is>
          <t>2529204</t>
        </is>
      </c>
      <c r="F12" t="inlineStr">
        <is>
          <t>3007066101</t>
        </is>
      </c>
      <c r="G12" t="inlineStr">
        <is>
          <t>OC PUBLICIDAD</t>
        </is>
      </c>
      <c r="H12" t="inlineStr">
        <is>
          <t>VALLE DEL CAUCA</t>
        </is>
      </c>
      <c r="I12" t="inlineStr">
        <is>
          <t>CALI</t>
        </is>
      </c>
      <c r="J12" t="inlineStr">
        <is>
          <t>BARRIO PANCE CALI 3</t>
        </is>
      </c>
      <c r="K12" t="inlineStr">
        <is>
          <t>BANCOLOMBIA</t>
        </is>
      </c>
      <c r="L12" t="inlineStr">
        <is>
          <t>FO-25-1307991</t>
        </is>
      </c>
      <c r="M12" s="46" t="n">
        <v>45868.66594907407</v>
      </c>
      <c r="N12" s="46" t="n">
        <v>45871.33194444444</v>
      </c>
      <c r="O12" s="45" t="n">
        <v>0</v>
      </c>
      <c r="P12" t="inlineStr">
        <is>
          <t>UNO A UNO</t>
        </is>
      </c>
      <c r="Q12" t="inlineStr">
        <is>
          <t>CB UNO A UNO</t>
        </is>
      </c>
      <c r="R12" t="inlineStr">
        <is>
          <t>EJECUTADO</t>
        </is>
      </c>
      <c r="S12" t="inlineStr">
        <is>
          <t>EJECUTADO EXITOSO</t>
        </is>
      </c>
      <c r="T12" t="inlineStr">
        <is>
          <t>VISITA TECNICA</t>
        </is>
      </c>
      <c r="U12" t="inlineStr"/>
      <c r="V12" t="inlineStr">
        <is>
          <t>TIPO I</t>
        </is>
      </c>
      <c r="W12" t="inlineStr">
        <is>
          <t>TERRESTRE</t>
        </is>
      </c>
      <c r="X12" t="inlineStr">
        <is>
          <t>BOLAÑOS TABORDA JORGE ENRIQUE</t>
        </is>
      </c>
      <c r="Y12" t="inlineStr">
        <is>
          <t>1</t>
        </is>
      </c>
      <c r="Z12" t="inlineStr">
        <is>
          <t>0</t>
        </is>
      </c>
      <c r="AA12" s="45" t="n">
        <v>96011</v>
      </c>
      <c r="AB12" t="inlineStr">
        <is>
          <t>0</t>
        </is>
      </c>
      <c r="AC12" s="45" t="n">
        <v>153426</v>
      </c>
      <c r="AD12" s="45" t="n">
        <v>0</v>
      </c>
    </row>
    <row r="13">
      <c r="A13" t="inlineStr">
        <is>
          <t>NEIVA</t>
        </is>
      </c>
      <c r="B13" t="inlineStr">
        <is>
          <t>REMOTAS</t>
        </is>
      </c>
      <c r="C13" t="inlineStr">
        <is>
          <t>0004-0007</t>
        </is>
      </c>
      <c r="D13" t="inlineStr">
        <is>
          <t>41551</t>
        </is>
      </c>
      <c r="E13" t="inlineStr">
        <is>
          <t>2529645</t>
        </is>
      </c>
      <c r="F13" t="inlineStr">
        <is>
          <t>3007053702</t>
        </is>
      </c>
      <c r="G13" t="inlineStr">
        <is>
          <t>OC PUBLICIDAD</t>
        </is>
      </c>
      <c r="H13" t="inlineStr">
        <is>
          <t>HUILA</t>
        </is>
      </c>
      <c r="I13" t="inlineStr">
        <is>
          <t>PITALITO</t>
        </is>
      </c>
      <c r="J13" t="inlineStr">
        <is>
          <t>BARRIO SUCRE PITALITO 3</t>
        </is>
      </c>
      <c r="K13" t="inlineStr">
        <is>
          <t>BANCOLOMBIA</t>
        </is>
      </c>
      <c r="L13" t="inlineStr">
        <is>
          <t>FO-25-1309894</t>
        </is>
      </c>
      <c r="M13" s="46" t="n">
        <v>45868.69505787037</v>
      </c>
      <c r="N13" s="46" t="n">
        <v>45871.63472222222</v>
      </c>
      <c r="O13" s="45" t="n">
        <v>0</v>
      </c>
      <c r="P13" t="inlineStr">
        <is>
          <t>CB UNO A UNO</t>
        </is>
      </c>
      <c r="Q13" t="inlineStr">
        <is>
          <t>CB UNO A UNO</t>
        </is>
      </c>
      <c r="R13" t="inlineStr">
        <is>
          <t>EJECUTADO</t>
        </is>
      </c>
      <c r="S13" t="inlineStr">
        <is>
          <t>EJECUTADO EXITOSO</t>
        </is>
      </c>
      <c r="T13" t="inlineStr">
        <is>
          <t>VISITA TECNICA</t>
        </is>
      </c>
      <c r="U13" t="inlineStr"/>
      <c r="V13" t="inlineStr">
        <is>
          <t>TIPO III</t>
        </is>
      </c>
      <c r="W13" t="inlineStr">
        <is>
          <t>TERRESTRE</t>
        </is>
      </c>
      <c r="X13" t="inlineStr">
        <is>
          <t>DEVIA REINOSO JUAN CARLOS</t>
        </is>
      </c>
      <c r="Y13" t="inlineStr">
        <is>
          <t>1</t>
        </is>
      </c>
      <c r="Z13" t="inlineStr">
        <is>
          <t>0</t>
        </is>
      </c>
      <c r="AA13" s="45" t="n">
        <v>344775</v>
      </c>
      <c r="AB13" t="inlineStr">
        <is>
          <t>0</t>
        </is>
      </c>
      <c r="AC13" s="45" t="n">
        <v>455583</v>
      </c>
      <c r="AD13" s="45" t="n">
        <v>0</v>
      </c>
    </row>
    <row r="14">
      <c r="A14" t="inlineStr">
        <is>
          <t>BOGOTA</t>
        </is>
      </c>
      <c r="B14" t="inlineStr">
        <is>
          <t>CUNDINAMARCA</t>
        </is>
      </c>
      <c r="C14" t="inlineStr">
        <is>
          <t>0004-0004</t>
        </is>
      </c>
      <c r="D14" t="inlineStr">
        <is>
          <t>11001</t>
        </is>
      </c>
      <c r="E14" t="inlineStr">
        <is>
          <t>2530001</t>
        </is>
      </c>
      <c r="F14" t="inlineStr">
        <is>
          <t>3007070888</t>
        </is>
      </c>
      <c r="G14" t="inlineStr">
        <is>
          <t>OC PUBLICIDAD</t>
        </is>
      </c>
      <c r="H14" t="inlineStr">
        <is>
          <t>CUNDINAMARCA</t>
        </is>
      </c>
      <c r="I14" t="inlineStr">
        <is>
          <t>BOGOTA</t>
        </is>
      </c>
      <c r="J14" t="inlineStr">
        <is>
          <t>PTM BOGOTA PAPELERÍA NICOLE</t>
        </is>
      </c>
      <c r="K14" t="inlineStr">
        <is>
          <t>BANCOLOMBIA</t>
        </is>
      </c>
      <c r="L14" t="inlineStr">
        <is>
          <t>FO-25-1309889</t>
        </is>
      </c>
      <c r="M14" s="46" t="n">
        <v>45868.73383101852</v>
      </c>
      <c r="N14" s="46" t="n">
        <v>45874.66180555556</v>
      </c>
      <c r="O14" s="45" t="n">
        <v>0</v>
      </c>
      <c r="P14" t="inlineStr">
        <is>
          <t>AGREGADOR</t>
        </is>
      </c>
      <c r="Q14" t="inlineStr">
        <is>
          <t>COMCARD - PTM</t>
        </is>
      </c>
      <c r="R14" t="inlineStr">
        <is>
          <t>EJECUTADO</t>
        </is>
      </c>
      <c r="S14" t="inlineStr">
        <is>
          <t>EJECUTADO EXITOSO</t>
        </is>
      </c>
      <c r="T14" t="inlineStr">
        <is>
          <t>VISITA TECNICA</t>
        </is>
      </c>
      <c r="U14" t="inlineStr"/>
      <c r="V14" t="inlineStr">
        <is>
          <t>TIPO I</t>
        </is>
      </c>
      <c r="W14" t="inlineStr">
        <is>
          <t>TERRESTRE</t>
        </is>
      </c>
      <c r="X14" t="inlineStr">
        <is>
          <t>ROMERO ROJAS BREIDY JHOHAN</t>
        </is>
      </c>
      <c r="Y14" t="inlineStr">
        <is>
          <t>1</t>
        </is>
      </c>
      <c r="Z14" t="inlineStr">
        <is>
          <t>0</t>
        </is>
      </c>
      <c r="AA14" s="45" t="n">
        <v>96011</v>
      </c>
      <c r="AB14" t="inlineStr">
        <is>
          <t>0</t>
        </is>
      </c>
      <c r="AC14" s="45" t="n">
        <v>153426</v>
      </c>
      <c r="AD14" s="45" t="n">
        <v>0</v>
      </c>
    </row>
    <row r="15">
      <c r="A15" t="inlineStr">
        <is>
          <t>MEDELLIN</t>
        </is>
      </c>
      <c r="B15" t="inlineStr">
        <is>
          <t>NOROCCIDENTE</t>
        </is>
      </c>
      <c r="C15" t="inlineStr">
        <is>
          <t>0004-0005</t>
        </is>
      </c>
      <c r="D15" t="inlineStr">
        <is>
          <t>5390</t>
        </is>
      </c>
      <c r="E15" t="inlineStr">
        <is>
          <t>2530150</t>
        </is>
      </c>
      <c r="F15" t="inlineStr">
        <is>
          <t>3007044859</t>
        </is>
      </c>
      <c r="G15" t="inlineStr">
        <is>
          <t>OC PUBLICIDAD</t>
        </is>
      </c>
      <c r="H15" t="inlineStr">
        <is>
          <t>ANTIOQUIA</t>
        </is>
      </c>
      <c r="I15" t="inlineStr">
        <is>
          <t>LA PINTADA</t>
        </is>
      </c>
      <c r="J15" t="inlineStr">
        <is>
          <t>PTM LA PINTADA DROGUERIA LA CE</t>
        </is>
      </c>
      <c r="K15" t="inlineStr">
        <is>
          <t>BANCOLOMBIA</t>
        </is>
      </c>
      <c r="L15" t="inlineStr">
        <is>
          <t>FO-25-1309885</t>
        </is>
      </c>
      <c r="M15" s="46" t="n">
        <v>45869.33333333334</v>
      </c>
      <c r="N15" s="46" t="n">
        <v>45874.68958333333</v>
      </c>
      <c r="O15" s="45" t="n">
        <v>0</v>
      </c>
      <c r="P15" t="inlineStr">
        <is>
          <t>AGREGADOR</t>
        </is>
      </c>
      <c r="Q15" t="inlineStr">
        <is>
          <t>COMCARD - PTM</t>
        </is>
      </c>
      <c r="R15" t="inlineStr">
        <is>
          <t>EJECUTADO</t>
        </is>
      </c>
      <c r="S15" t="inlineStr">
        <is>
          <t>EJECUTADO EXITOSO</t>
        </is>
      </c>
      <c r="T15" t="inlineStr">
        <is>
          <t>VISITA TECNICA</t>
        </is>
      </c>
      <c r="U15" t="inlineStr"/>
      <c r="V15" t="inlineStr">
        <is>
          <t>TIPO II</t>
        </is>
      </c>
      <c r="W15" t="inlineStr">
        <is>
          <t>TERRESTRE</t>
        </is>
      </c>
      <c r="X15" t="inlineStr">
        <is>
          <t>HERNANDEZ CHAVARRIA JUAN CAMILO</t>
        </is>
      </c>
      <c r="Y15" t="inlineStr">
        <is>
          <t>1</t>
        </is>
      </c>
      <c r="Z15" t="inlineStr">
        <is>
          <t>0</t>
        </is>
      </c>
      <c r="AA15" s="45" t="n">
        <v>232859</v>
      </c>
      <c r="AB15" t="inlineStr">
        <is>
          <t>0</t>
        </is>
      </c>
      <c r="AC15" s="45" t="n">
        <v>343667</v>
      </c>
      <c r="AD15" s="45" t="n">
        <v>0</v>
      </c>
    </row>
    <row r="16">
      <c r="A16" t="inlineStr">
        <is>
          <t>BOGOTA</t>
        </is>
      </c>
      <c r="B16" t="inlineStr">
        <is>
          <t>CUNDINAMARCA</t>
        </is>
      </c>
      <c r="C16" t="inlineStr">
        <is>
          <t>0004-0004</t>
        </is>
      </c>
      <c r="D16" t="inlineStr">
        <is>
          <t>11001</t>
        </is>
      </c>
      <c r="E16" t="inlineStr">
        <is>
          <t>2530593</t>
        </is>
      </c>
      <c r="F16" t="inlineStr">
        <is>
          <t>3007073393</t>
        </is>
      </c>
      <c r="G16" t="inlineStr">
        <is>
          <t>OC PUBLICIDAD</t>
        </is>
      </c>
      <c r="H16" t="inlineStr">
        <is>
          <t>CUNDINAMARCA</t>
        </is>
      </c>
      <c r="I16" t="inlineStr">
        <is>
          <t>BOGOTA</t>
        </is>
      </c>
      <c r="J16" t="inlineStr">
        <is>
          <t>PTM BOGOTA  SAN JOSE PHARMA</t>
        </is>
      </c>
      <c r="K16" t="inlineStr">
        <is>
          <t>BANCOLOMBIA</t>
        </is>
      </c>
      <c r="L16" t="inlineStr">
        <is>
          <t>FO-25-1309883</t>
        </is>
      </c>
      <c r="M16" s="46" t="n">
        <v>45869.3399537037</v>
      </c>
      <c r="N16" s="46" t="n">
        <v>45871.32847222222</v>
      </c>
      <c r="O16" s="45" t="n">
        <v>0</v>
      </c>
      <c r="P16" t="inlineStr">
        <is>
          <t>AGREGADOR</t>
        </is>
      </c>
      <c r="Q16" t="inlineStr">
        <is>
          <t>COMCARD - PTM</t>
        </is>
      </c>
      <c r="R16" t="inlineStr">
        <is>
          <t>EJECUTADO</t>
        </is>
      </c>
      <c r="S16" t="inlineStr">
        <is>
          <t>EJECUTADO EXITOSO</t>
        </is>
      </c>
      <c r="T16" t="inlineStr">
        <is>
          <t>VISITA TECNICA</t>
        </is>
      </c>
      <c r="U16" t="inlineStr"/>
      <c r="V16" t="inlineStr">
        <is>
          <t>TIPO I</t>
        </is>
      </c>
      <c r="W16" t="inlineStr">
        <is>
          <t>TERRESTRE</t>
        </is>
      </c>
      <c r="X16" t="inlineStr">
        <is>
          <t>MURCIA HERNANDEZ HARVEY IGNACIO</t>
        </is>
      </c>
      <c r="Y16" t="inlineStr">
        <is>
          <t>1</t>
        </is>
      </c>
      <c r="Z16" t="inlineStr">
        <is>
          <t>0</t>
        </is>
      </c>
      <c r="AA16" s="45" t="n">
        <v>96011</v>
      </c>
      <c r="AB16" t="inlineStr">
        <is>
          <t>0</t>
        </is>
      </c>
      <c r="AC16" s="45" t="n">
        <v>153426</v>
      </c>
      <c r="AD16" s="45" t="n">
        <v>0</v>
      </c>
    </row>
    <row r="17">
      <c r="A17" t="inlineStr">
        <is>
          <t>PEREIRA</t>
        </is>
      </c>
      <c r="B17" t="inlineStr">
        <is>
          <t>SUROCCIDENTE Y EJE CAFETERO</t>
        </is>
      </c>
      <c r="C17" t="inlineStr">
        <is>
          <t>0004-0002</t>
        </is>
      </c>
      <c r="D17" t="inlineStr">
        <is>
          <t>66170</t>
        </is>
      </c>
      <c r="E17" t="inlineStr">
        <is>
          <t>2531480</t>
        </is>
      </c>
      <c r="F17" t="inlineStr">
        <is>
          <t>3007078371</t>
        </is>
      </c>
      <c r="G17" t="inlineStr">
        <is>
          <t>OC PUBLICIDAD</t>
        </is>
      </c>
      <c r="H17" t="inlineStr">
        <is>
          <t>RISARALDA</t>
        </is>
      </c>
      <c r="I17" t="inlineStr">
        <is>
          <t>DOSQUEBRADAS</t>
        </is>
      </c>
      <c r="J17" t="inlineStr">
        <is>
          <t>DISTRICOL RAPITIENDA EL GOCHO</t>
        </is>
      </c>
      <c r="K17" t="inlineStr">
        <is>
          <t>BANCOLOMBIA</t>
        </is>
      </c>
      <c r="L17" t="inlineStr">
        <is>
          <t>FO-25-1311324</t>
        </is>
      </c>
      <c r="M17" s="46" t="n">
        <v>45869.38760416667</v>
      </c>
      <c r="N17" s="46" t="n">
        <v>45870.45486111111</v>
      </c>
      <c r="O17" s="45" t="n">
        <v>0</v>
      </c>
      <c r="P17" t="inlineStr">
        <is>
          <t>AGREGADOR</t>
        </is>
      </c>
      <c r="Q17" t="inlineStr">
        <is>
          <t>DISTRICOL</t>
        </is>
      </c>
      <c r="R17" t="inlineStr">
        <is>
          <t>EJECUTADO</t>
        </is>
      </c>
      <c r="S17" t="inlineStr">
        <is>
          <t>EJECUTADO EXITOSO</t>
        </is>
      </c>
      <c r="T17" t="inlineStr">
        <is>
          <t>VISITA TECNICA</t>
        </is>
      </c>
      <c r="U17" t="inlineStr"/>
      <c r="V17" t="inlineStr">
        <is>
          <t>TIPO I</t>
        </is>
      </c>
      <c r="W17" t="inlineStr">
        <is>
          <t>TERRESTRE</t>
        </is>
      </c>
      <c r="X17" t="inlineStr">
        <is>
          <t>ARROYAVE CANO MANUEL GUILLERMO</t>
        </is>
      </c>
      <c r="Y17" t="inlineStr">
        <is>
          <t>1</t>
        </is>
      </c>
      <c r="Z17" t="inlineStr">
        <is>
          <t>0</t>
        </is>
      </c>
      <c r="AA17" s="45" t="n">
        <v>96011</v>
      </c>
      <c r="AB17" t="inlineStr">
        <is>
          <t>0</t>
        </is>
      </c>
      <c r="AC17" s="45" t="n">
        <v>153426</v>
      </c>
      <c r="AD17" s="45" t="n">
        <v>0</v>
      </c>
    </row>
    <row r="18">
      <c r="A18" t="inlineStr">
        <is>
          <t>VILLAVICENCIO</t>
        </is>
      </c>
      <c r="B18" t="inlineStr">
        <is>
          <t>REMOTAS</t>
        </is>
      </c>
      <c r="C18" t="inlineStr">
        <is>
          <t>0004-0007</t>
        </is>
      </c>
      <c r="D18" t="inlineStr">
        <is>
          <t>50001</t>
        </is>
      </c>
      <c r="E18" t="inlineStr">
        <is>
          <t>2532147</t>
        </is>
      </c>
      <c r="F18" t="inlineStr">
        <is>
          <t>3007080077</t>
        </is>
      </c>
      <c r="G18" t="inlineStr">
        <is>
          <t>OC PUBLICIDAD</t>
        </is>
      </c>
      <c r="H18" t="inlineStr">
        <is>
          <t>META</t>
        </is>
      </c>
      <c r="I18" t="inlineStr">
        <is>
          <t>VILLAVICENCIO</t>
        </is>
      </c>
      <c r="J18" t="inlineStr">
        <is>
          <t>BARRIO POPULAR VILLAVICENCIO 3</t>
        </is>
      </c>
      <c r="K18" t="inlineStr">
        <is>
          <t>BANCOLOMBIA</t>
        </is>
      </c>
      <c r="L18" t="inlineStr">
        <is>
          <t>FO-25-1311320</t>
        </is>
      </c>
      <c r="M18" s="46" t="n">
        <v>45869.42069444444</v>
      </c>
      <c r="N18" s="46" t="n">
        <v>45880.67361111111</v>
      </c>
      <c r="O18" s="45" t="n">
        <v>0</v>
      </c>
      <c r="P18" t="inlineStr">
        <is>
          <t>UNO A UNO</t>
        </is>
      </c>
      <c r="Q18" t="inlineStr">
        <is>
          <t>UNO A UNO</t>
        </is>
      </c>
      <c r="R18" t="inlineStr">
        <is>
          <t>EJECUTADO</t>
        </is>
      </c>
      <c r="S18" t="inlineStr">
        <is>
          <t>EJECUTADO EXITOSO</t>
        </is>
      </c>
      <c r="T18" t="inlineStr">
        <is>
          <t>VISITA TECNICA</t>
        </is>
      </c>
      <c r="U18" t="inlineStr"/>
      <c r="V18" t="inlineStr">
        <is>
          <t>TIPO I</t>
        </is>
      </c>
      <c r="W18" t="inlineStr">
        <is>
          <t>TERRESTRE</t>
        </is>
      </c>
      <c r="X18" t="inlineStr">
        <is>
          <t>CASTRILLON URREA LONDIER LEANDRO</t>
        </is>
      </c>
      <c r="Y18" t="inlineStr">
        <is>
          <t>1</t>
        </is>
      </c>
      <c r="Z18" t="inlineStr">
        <is>
          <t>0</t>
        </is>
      </c>
      <c r="AA18" s="45" t="n">
        <v>96011</v>
      </c>
      <c r="AB18" t="inlineStr">
        <is>
          <t>0</t>
        </is>
      </c>
      <c r="AC18" s="45" t="n">
        <v>153426</v>
      </c>
      <c r="AD18" s="45" t="n">
        <v>0</v>
      </c>
    </row>
    <row r="19">
      <c r="A19" t="inlineStr">
        <is>
          <t>BUCARAMANGA</t>
        </is>
      </c>
      <c r="B19" t="inlineStr">
        <is>
          <t>SANTANDERES</t>
        </is>
      </c>
      <c r="C19" t="inlineStr">
        <is>
          <t>0004-0008</t>
        </is>
      </c>
      <c r="D19" t="inlineStr">
        <is>
          <t>81300</t>
        </is>
      </c>
      <c r="E19" t="inlineStr">
        <is>
          <t>2532715</t>
        </is>
      </c>
      <c r="F19" t="inlineStr">
        <is>
          <t>3007027281</t>
        </is>
      </c>
      <c r="G19" t="inlineStr">
        <is>
          <t>OC PUBLICIDAD</t>
        </is>
      </c>
      <c r="H19" t="inlineStr">
        <is>
          <t>ARAUCA</t>
        </is>
      </c>
      <c r="I19" t="inlineStr">
        <is>
          <t>FORTUL</t>
        </is>
      </c>
      <c r="J19" t="inlineStr">
        <is>
          <t>SECTOR FORTUL I   ARAUCA</t>
        </is>
      </c>
      <c r="K19" t="inlineStr">
        <is>
          <t>BANCOLOMBIA</t>
        </is>
      </c>
      <c r="L19" t="inlineStr">
        <is>
          <t>FO-25-1311319</t>
        </is>
      </c>
      <c r="M19" s="46" t="n">
        <v>45869.45119212963</v>
      </c>
      <c r="N19" s="46" t="n">
        <v>45880.66944444444</v>
      </c>
      <c r="O19" s="45" t="n">
        <v>0</v>
      </c>
      <c r="P19" t="inlineStr">
        <is>
          <t>CB UNO A UNO</t>
        </is>
      </c>
      <c r="Q19" t="inlineStr">
        <is>
          <t>CB UNO A UNO</t>
        </is>
      </c>
      <c r="R19" t="inlineStr">
        <is>
          <t>EJECUTADO</t>
        </is>
      </c>
      <c r="S19" t="inlineStr">
        <is>
          <t>EJECUTADO EXITOSO</t>
        </is>
      </c>
      <c r="T19" t="inlineStr">
        <is>
          <t>VISITA TECNICA</t>
        </is>
      </c>
      <c r="U19" t="inlineStr"/>
      <c r="V19" t="inlineStr">
        <is>
          <t>TIPO IV ESPECIAL</t>
        </is>
      </c>
      <c r="W19" t="inlineStr">
        <is>
          <t>AEREO</t>
        </is>
      </c>
      <c r="X19" t="inlineStr">
        <is>
          <t>REYES RAMIREZ DIEGO ALEXANDER</t>
        </is>
      </c>
      <c r="Y19" t="inlineStr">
        <is>
          <t>1</t>
        </is>
      </c>
      <c r="Z19" t="inlineStr">
        <is>
          <t>0</t>
        </is>
      </c>
      <c r="AA19" s="45" t="n">
        <v>988463</v>
      </c>
      <c r="AB19" t="inlineStr">
        <is>
          <t>0</t>
        </is>
      </c>
      <c r="AC19" s="45" t="n">
        <v>1099271</v>
      </c>
      <c r="AD19" s="45" t="n">
        <v>0</v>
      </c>
    </row>
    <row r="20">
      <c r="A20" t="inlineStr">
        <is>
          <t>PEREIRA</t>
        </is>
      </c>
      <c r="B20" t="inlineStr">
        <is>
          <t>SUROCCIDENTE Y EJE CAFETERO</t>
        </is>
      </c>
      <c r="C20" t="inlineStr">
        <is>
          <t>0004-0002</t>
        </is>
      </c>
      <c r="D20" t="inlineStr">
        <is>
          <t>66170</t>
        </is>
      </c>
      <c r="E20" t="inlineStr">
        <is>
          <t>2533194</t>
        </is>
      </c>
      <c r="F20" t="inlineStr">
        <is>
          <t>3007066059</t>
        </is>
      </c>
      <c r="G20" t="inlineStr">
        <is>
          <t>OC PUBLICIDAD</t>
        </is>
      </c>
      <c r="H20" t="inlineStr">
        <is>
          <t>RISARALDA</t>
        </is>
      </c>
      <c r="I20" t="inlineStr">
        <is>
          <t>DOSQUEBRADAS</t>
        </is>
      </c>
      <c r="J20" t="inlineStr">
        <is>
          <t>DISTRICOL INVERSIONES GRUPO GM</t>
        </is>
      </c>
      <c r="K20" t="inlineStr">
        <is>
          <t>BANCOLOMBIA</t>
        </is>
      </c>
      <c r="L20" t="inlineStr">
        <is>
          <t>FO-25-1313567</t>
        </is>
      </c>
      <c r="M20" s="46" t="n">
        <v>45869.48171296297</v>
      </c>
      <c r="N20" s="46" t="n">
        <v>45870.45763888889</v>
      </c>
      <c r="O20" s="45" t="n">
        <v>0</v>
      </c>
      <c r="P20" t="inlineStr">
        <is>
          <t>AGREGADOR</t>
        </is>
      </c>
      <c r="Q20" t="inlineStr">
        <is>
          <t>DISTRICOL</t>
        </is>
      </c>
      <c r="R20" t="inlineStr">
        <is>
          <t>EJECUTADO</t>
        </is>
      </c>
      <c r="S20" t="inlineStr">
        <is>
          <t>EJECUTADO EXITOSO</t>
        </is>
      </c>
      <c r="T20" t="inlineStr">
        <is>
          <t>VISITA TECNICA</t>
        </is>
      </c>
      <c r="U20" t="inlineStr"/>
      <c r="V20" t="inlineStr">
        <is>
          <t>TIPO I</t>
        </is>
      </c>
      <c r="W20" t="inlineStr">
        <is>
          <t>TERRESTRE</t>
        </is>
      </c>
      <c r="X20" t="inlineStr">
        <is>
          <t>ARROYAVE CANO MANUEL GUILLERMO</t>
        </is>
      </c>
      <c r="Y20" t="inlineStr">
        <is>
          <t>1</t>
        </is>
      </c>
      <c r="Z20" t="inlineStr">
        <is>
          <t>0</t>
        </is>
      </c>
      <c r="AA20" s="45" t="n">
        <v>96011</v>
      </c>
      <c r="AB20" t="inlineStr">
        <is>
          <t>0</t>
        </is>
      </c>
      <c r="AC20" s="45" t="n">
        <v>153426</v>
      </c>
      <c r="AD20" s="45" t="n">
        <v>0</v>
      </c>
    </row>
    <row r="21">
      <c r="A21" t="inlineStr">
        <is>
          <t>BOGOTA</t>
        </is>
      </c>
      <c r="B21" t="inlineStr">
        <is>
          <t>CUNDINAMARCA</t>
        </is>
      </c>
      <c r="C21" t="inlineStr">
        <is>
          <t>0004-0004</t>
        </is>
      </c>
      <c r="D21" t="inlineStr">
        <is>
          <t>11001</t>
        </is>
      </c>
      <c r="E21" t="inlineStr">
        <is>
          <t>2533789</t>
        </is>
      </c>
      <c r="F21" t="inlineStr">
        <is>
          <t>3007017568</t>
        </is>
      </c>
      <c r="G21" t="inlineStr">
        <is>
          <t>OC PUBLICIDAD</t>
        </is>
      </c>
      <c r="H21" t="inlineStr">
        <is>
          <t>CUNDINAMARCA</t>
        </is>
      </c>
      <c r="I21" t="inlineStr">
        <is>
          <t>BOGOTA</t>
        </is>
      </c>
      <c r="J21" t="inlineStr">
        <is>
          <t>BARRIO LA SOLEDAD II BOGOTA</t>
        </is>
      </c>
      <c r="K21" t="inlineStr">
        <is>
          <t>BANCOLOMBIA</t>
        </is>
      </c>
      <c r="L21" t="inlineStr">
        <is>
          <t>FO-25-1313557</t>
        </is>
      </c>
      <c r="M21" s="46" t="n">
        <v>45869.56076388889</v>
      </c>
      <c r="N21" s="46" t="n">
        <v>45871.32083333333</v>
      </c>
      <c r="O21" s="45" t="n">
        <v>0</v>
      </c>
      <c r="P21" t="inlineStr">
        <is>
          <t>CB UNO A UNO</t>
        </is>
      </c>
      <c r="Q21" t="inlineStr">
        <is>
          <t>CB UNO A UNO</t>
        </is>
      </c>
      <c r="R21" t="inlineStr">
        <is>
          <t>EJECUTADO</t>
        </is>
      </c>
      <c r="S21" t="inlineStr">
        <is>
          <t>EJECUTADO EXITOSO</t>
        </is>
      </c>
      <c r="T21" t="inlineStr">
        <is>
          <t>VISITA TECNICA</t>
        </is>
      </c>
      <c r="U21" t="inlineStr"/>
      <c r="V21" t="inlineStr">
        <is>
          <t>TIPO I</t>
        </is>
      </c>
      <c r="W21" t="inlineStr">
        <is>
          <t>TERRESTRE</t>
        </is>
      </c>
      <c r="X21" t="inlineStr">
        <is>
          <t>LOZADA ROJAS CHRISTIAN ANDRES</t>
        </is>
      </c>
      <c r="Y21" t="inlineStr">
        <is>
          <t>1</t>
        </is>
      </c>
      <c r="Z21" t="inlineStr">
        <is>
          <t>0</t>
        </is>
      </c>
      <c r="AA21" s="45" t="n">
        <v>96011</v>
      </c>
      <c r="AB21" t="inlineStr">
        <is>
          <t>0</t>
        </is>
      </c>
      <c r="AC21" s="45" t="n">
        <v>153426</v>
      </c>
      <c r="AD21" s="45" t="n">
        <v>0</v>
      </c>
    </row>
    <row r="22">
      <c r="A22" t="inlineStr">
        <is>
          <t>BOGOTA</t>
        </is>
      </c>
      <c r="B22" t="inlineStr">
        <is>
          <t>CUNDINAMARCA</t>
        </is>
      </c>
      <c r="C22" t="inlineStr">
        <is>
          <t>0004-0004</t>
        </is>
      </c>
      <c r="D22" t="inlineStr">
        <is>
          <t>25430</t>
        </is>
      </c>
      <c r="E22" t="inlineStr">
        <is>
          <t>2533849</t>
        </is>
      </c>
      <c r="F22" t="inlineStr">
        <is>
          <t>3007075668</t>
        </is>
      </c>
      <c r="G22" t="inlineStr">
        <is>
          <t>OC PUBLICIDAD</t>
        </is>
      </c>
      <c r="H22" t="inlineStr">
        <is>
          <t>CUNDINAMARCA</t>
        </is>
      </c>
      <c r="I22" t="inlineStr">
        <is>
          <t>MADRID</t>
        </is>
      </c>
      <c r="J22" t="inlineStr">
        <is>
          <t>BARRIO SAN PABLO MADRID</t>
        </is>
      </c>
      <c r="K22" t="inlineStr">
        <is>
          <t>BANCOLOMBIA</t>
        </is>
      </c>
      <c r="L22" t="inlineStr">
        <is>
          <t>FO-25-1313562</t>
        </is>
      </c>
      <c r="M22" s="46" t="n">
        <v>45869.53732638889</v>
      </c>
      <c r="N22" s="46" t="n">
        <v>45871.62777777778</v>
      </c>
      <c r="O22" s="45" t="n">
        <v>0</v>
      </c>
      <c r="P22" t="inlineStr">
        <is>
          <t>CB UNO A UNO</t>
        </is>
      </c>
      <c r="Q22" t="inlineStr">
        <is>
          <t>CB UNO A UNO</t>
        </is>
      </c>
      <c r="R22" t="inlineStr">
        <is>
          <t>EJECUTADO</t>
        </is>
      </c>
      <c r="S22" t="inlineStr">
        <is>
          <t>EJECUTADO EXITOSO</t>
        </is>
      </c>
      <c r="T22" t="inlineStr">
        <is>
          <t>VISITA TECNICA</t>
        </is>
      </c>
      <c r="U22" t="inlineStr"/>
      <c r="V22" t="inlineStr">
        <is>
          <t>TIPO II</t>
        </is>
      </c>
      <c r="W22" t="inlineStr">
        <is>
          <t>TERRESTRE</t>
        </is>
      </c>
      <c r="X22" t="inlineStr">
        <is>
          <t>GALEANO SORIANO JUAN DAVID</t>
        </is>
      </c>
      <c r="Y22" t="inlineStr">
        <is>
          <t>1</t>
        </is>
      </c>
      <c r="Z22" t="inlineStr">
        <is>
          <t>0</t>
        </is>
      </c>
      <c r="AA22" s="45" t="n">
        <v>232859</v>
      </c>
      <c r="AB22" t="inlineStr">
        <is>
          <t>0</t>
        </is>
      </c>
      <c r="AC22" s="45" t="n">
        <v>343667</v>
      </c>
      <c r="AD22" s="45" t="n">
        <v>0</v>
      </c>
    </row>
    <row r="23">
      <c r="A23" t="inlineStr">
        <is>
          <t>MEDELLIN</t>
        </is>
      </c>
      <c r="B23" t="inlineStr">
        <is>
          <t>NOROCCIDENTE</t>
        </is>
      </c>
      <c r="C23" t="inlineStr">
        <is>
          <t>0004-0005</t>
        </is>
      </c>
      <c r="D23" t="inlineStr">
        <is>
          <t>5001</t>
        </is>
      </c>
      <c r="E23" t="inlineStr">
        <is>
          <t>2533935</t>
        </is>
      </c>
      <c r="F23" t="inlineStr">
        <is>
          <t>3007053009</t>
        </is>
      </c>
      <c r="G23" t="inlineStr">
        <is>
          <t>OC PUBLICIDAD</t>
        </is>
      </c>
      <c r="H23" t="inlineStr">
        <is>
          <t>ANTIOQUIA</t>
        </is>
      </c>
      <c r="I23" t="inlineStr">
        <is>
          <t>MEDELLIN</t>
        </is>
      </c>
      <c r="J23" t="inlineStr">
        <is>
          <t>BARRIO CAMPOS VALDES MEDELLIN</t>
        </is>
      </c>
      <c r="K23" t="inlineStr">
        <is>
          <t>BANCOLOMBIA</t>
        </is>
      </c>
      <c r="L23" t="inlineStr">
        <is>
          <t>FO-25-1313555</t>
        </is>
      </c>
      <c r="M23" s="46" t="n">
        <v>45869.58471064815</v>
      </c>
      <c r="N23" s="46" t="n">
        <v>45878.48333333333</v>
      </c>
      <c r="O23" s="45" t="n">
        <v>0</v>
      </c>
      <c r="P23" t="inlineStr">
        <is>
          <t>CB UNO A UNO</t>
        </is>
      </c>
      <c r="Q23" t="inlineStr">
        <is>
          <t>CB UNO A UNO</t>
        </is>
      </c>
      <c r="R23" t="inlineStr">
        <is>
          <t>EJECUTADO</t>
        </is>
      </c>
      <c r="S23" t="inlineStr">
        <is>
          <t>EJECUTADO EXITOSO</t>
        </is>
      </c>
      <c r="T23" t="inlineStr">
        <is>
          <t>VISITA TECNICA</t>
        </is>
      </c>
      <c r="U23" t="inlineStr"/>
      <c r="V23" t="inlineStr">
        <is>
          <t>TIPO I</t>
        </is>
      </c>
      <c r="W23" t="inlineStr">
        <is>
          <t>TERRESTRE</t>
        </is>
      </c>
      <c r="X23" t="inlineStr">
        <is>
          <t>BADEL ACUÑA LUIS ALBERTO</t>
        </is>
      </c>
      <c r="Y23" t="inlineStr">
        <is>
          <t>1</t>
        </is>
      </c>
      <c r="Z23" t="inlineStr">
        <is>
          <t>0</t>
        </is>
      </c>
      <c r="AA23" s="45" t="n">
        <v>96011</v>
      </c>
      <c r="AB23" t="inlineStr">
        <is>
          <t>0</t>
        </is>
      </c>
      <c r="AC23" s="45" t="n">
        <v>153426</v>
      </c>
      <c r="AD23" s="45" t="n">
        <v>0</v>
      </c>
    </row>
    <row r="24">
      <c r="A24" t="inlineStr">
        <is>
          <t>VILLAVICENCIO</t>
        </is>
      </c>
      <c r="B24" t="inlineStr">
        <is>
          <t>REMOTAS</t>
        </is>
      </c>
      <c r="C24" t="inlineStr">
        <is>
          <t>0004-0007</t>
        </is>
      </c>
      <c r="D24" t="inlineStr">
        <is>
          <t>50568</t>
        </is>
      </c>
      <c r="E24" t="inlineStr">
        <is>
          <t>2535585</t>
        </is>
      </c>
      <c r="F24" t="inlineStr">
        <is>
          <t>3007071332</t>
        </is>
      </c>
      <c r="G24" t="inlineStr">
        <is>
          <t>OC PUBLICIDAD</t>
        </is>
      </c>
      <c r="H24" t="inlineStr">
        <is>
          <t>META</t>
        </is>
      </c>
      <c r="I24" t="inlineStr">
        <is>
          <t>PUERTO GAITAN</t>
        </is>
      </c>
      <c r="J24" t="inlineStr">
        <is>
          <t>BARRIO VEREDA CRISTALINAS PUER</t>
        </is>
      </c>
      <c r="K24" t="inlineStr">
        <is>
          <t>BANCOLOMBIA</t>
        </is>
      </c>
      <c r="L24" t="inlineStr">
        <is>
          <t>FO-25-1313660</t>
        </is>
      </c>
      <c r="M24" s="46" t="n">
        <v>45869.69599537037</v>
      </c>
      <c r="N24" s="46" t="n">
        <v>45884.44166666667</v>
      </c>
      <c r="O24" s="45" t="n">
        <v>0</v>
      </c>
      <c r="P24" t="inlineStr">
        <is>
          <t>CB UNO A UNO</t>
        </is>
      </c>
      <c r="Q24" t="inlineStr">
        <is>
          <t>CB UNO A UNO</t>
        </is>
      </c>
      <c r="R24" t="inlineStr">
        <is>
          <t>EJECUTADO</t>
        </is>
      </c>
      <c r="S24" t="inlineStr">
        <is>
          <t>EJECUTADO EXITOSO</t>
        </is>
      </c>
      <c r="T24" t="inlineStr">
        <is>
          <t>VISITA TECNICA</t>
        </is>
      </c>
      <c r="U24" t="inlineStr"/>
      <c r="V24" t="inlineStr">
        <is>
          <t>TIPO III</t>
        </is>
      </c>
      <c r="W24" t="inlineStr">
        <is>
          <t>TERRESTRE</t>
        </is>
      </c>
      <c r="X24" t="inlineStr">
        <is>
          <t>ROZO JIMENEZ EDGAR ARMANDO</t>
        </is>
      </c>
      <c r="Y24" t="inlineStr">
        <is>
          <t>1</t>
        </is>
      </c>
      <c r="Z24" t="inlineStr">
        <is>
          <t>0</t>
        </is>
      </c>
      <c r="AA24" s="45" t="n">
        <v>344775</v>
      </c>
      <c r="AB24" t="inlineStr">
        <is>
          <t>0</t>
        </is>
      </c>
      <c r="AC24" s="45" t="n">
        <v>455583</v>
      </c>
      <c r="AD24" s="45" t="n">
        <v>0</v>
      </c>
    </row>
    <row r="25">
      <c r="A25" t="inlineStr">
        <is>
          <t>MONTERIA</t>
        </is>
      </c>
      <c r="B25" t="inlineStr">
        <is>
          <t>COSTA</t>
        </is>
      </c>
      <c r="C25" t="inlineStr">
        <is>
          <t>0004-0001</t>
        </is>
      </c>
      <c r="D25" t="inlineStr">
        <is>
          <t>23001</t>
        </is>
      </c>
      <c r="E25" t="inlineStr">
        <is>
          <t>2537355</t>
        </is>
      </c>
      <c r="F25" t="inlineStr">
        <is>
          <t>3007062262</t>
        </is>
      </c>
      <c r="G25" t="inlineStr">
        <is>
          <t>OC PUBLICIDAD</t>
        </is>
      </c>
      <c r="H25" t="inlineStr">
        <is>
          <t>CORDOBA</t>
        </is>
      </c>
      <c r="I25" t="inlineStr">
        <is>
          <t>MONTERIA</t>
        </is>
      </c>
      <c r="J25" t="inlineStr">
        <is>
          <t>BARRIO FURATENA MONTERIA 2</t>
        </is>
      </c>
      <c r="K25" t="inlineStr">
        <is>
          <t>BANCOLOMBIA</t>
        </is>
      </c>
      <c r="L25" t="inlineStr">
        <is>
          <t>FO-25-1316191</t>
        </is>
      </c>
      <c r="M25" s="46" t="n">
        <v>45870.36027777778</v>
      </c>
      <c r="N25" s="46" t="n">
        <v>45871.51666666667</v>
      </c>
      <c r="O25" s="45" t="n">
        <v>0</v>
      </c>
      <c r="P25" t="inlineStr">
        <is>
          <t>CB UNO A UNO</t>
        </is>
      </c>
      <c r="Q25" t="inlineStr">
        <is>
          <t>CB UNO A UNO</t>
        </is>
      </c>
      <c r="R25" t="inlineStr">
        <is>
          <t>EJECUTADO</t>
        </is>
      </c>
      <c r="S25" t="inlineStr">
        <is>
          <t>EJECUTADO EXITOSO</t>
        </is>
      </c>
      <c r="T25" t="inlineStr">
        <is>
          <t>VISITA TECNICA</t>
        </is>
      </c>
      <c r="U25" t="inlineStr"/>
      <c r="V25" t="inlineStr">
        <is>
          <t>TIPO I</t>
        </is>
      </c>
      <c r="W25" t="inlineStr">
        <is>
          <t>TERRESTRE</t>
        </is>
      </c>
      <c r="X25" t="inlineStr">
        <is>
          <t>COGOLLO VERTEL EDER LUIS</t>
        </is>
      </c>
      <c r="Y25" t="inlineStr">
        <is>
          <t>1</t>
        </is>
      </c>
      <c r="Z25" t="inlineStr">
        <is>
          <t>0</t>
        </is>
      </c>
      <c r="AA25" s="45" t="n">
        <v>96011</v>
      </c>
      <c r="AB25" t="inlineStr">
        <is>
          <t>0</t>
        </is>
      </c>
      <c r="AC25" s="45" t="n">
        <v>153426</v>
      </c>
      <c r="AD25" s="45" t="n">
        <v>0</v>
      </c>
    </row>
    <row r="26">
      <c r="A26" t="inlineStr">
        <is>
          <t>BOGOTA</t>
        </is>
      </c>
      <c r="B26" t="inlineStr">
        <is>
          <t>CUNDINAMARCA</t>
        </is>
      </c>
      <c r="C26" t="inlineStr">
        <is>
          <t>0004-0004</t>
        </is>
      </c>
      <c r="D26" t="inlineStr">
        <is>
          <t>11001</t>
        </is>
      </c>
      <c r="E26" t="inlineStr">
        <is>
          <t>2538511</t>
        </is>
      </c>
      <c r="F26" t="inlineStr">
        <is>
          <t>3007079615</t>
        </is>
      </c>
      <c r="G26" t="inlineStr">
        <is>
          <t>OC PUBLICIDAD</t>
        </is>
      </c>
      <c r="H26" t="inlineStr">
        <is>
          <t>CUNDINAMARCA</t>
        </is>
      </c>
      <c r="I26" t="inlineStr">
        <is>
          <t>BOGOTA</t>
        </is>
      </c>
      <c r="J26" t="inlineStr">
        <is>
          <t>BARRIO SANTA LUCIA BOGOTA 11</t>
        </is>
      </c>
      <c r="K26" t="inlineStr">
        <is>
          <t>BANCOLOMBIA</t>
        </is>
      </c>
      <c r="L26" t="inlineStr">
        <is>
          <t>FO-25-1316183</t>
        </is>
      </c>
      <c r="M26" s="46" t="n">
        <v>45870.41644675926</v>
      </c>
      <c r="N26" s="46" t="n">
        <v>45873.71527777778</v>
      </c>
      <c r="O26" s="45" t="n">
        <v>0</v>
      </c>
      <c r="P26" t="inlineStr">
        <is>
          <t>CB UNO A UNO</t>
        </is>
      </c>
      <c r="Q26" t="inlineStr">
        <is>
          <t>CB UNO A UNO</t>
        </is>
      </c>
      <c r="R26" t="inlineStr">
        <is>
          <t>EJECUTADO</t>
        </is>
      </c>
      <c r="S26" t="inlineStr">
        <is>
          <t>EJECUTADO EXITOSO</t>
        </is>
      </c>
      <c r="T26" t="inlineStr">
        <is>
          <t>VISITA TECNICA</t>
        </is>
      </c>
      <c r="U26" t="inlineStr"/>
      <c r="V26" t="inlineStr">
        <is>
          <t>TIPO I</t>
        </is>
      </c>
      <c r="W26" t="inlineStr">
        <is>
          <t>TERRESTRE</t>
        </is>
      </c>
      <c r="X26" t="inlineStr">
        <is>
          <t>GALEANO SORIANO JUAN DAVID</t>
        </is>
      </c>
      <c r="Y26" t="inlineStr">
        <is>
          <t>1</t>
        </is>
      </c>
      <c r="Z26" t="inlineStr">
        <is>
          <t>0</t>
        </is>
      </c>
      <c r="AA26" s="45" t="n">
        <v>96011</v>
      </c>
      <c r="AB26" t="inlineStr">
        <is>
          <t>0</t>
        </is>
      </c>
      <c r="AC26" s="45" t="n">
        <v>153426</v>
      </c>
      <c r="AD26" s="45" t="n">
        <v>0</v>
      </c>
    </row>
    <row r="27">
      <c r="A27" t="inlineStr">
        <is>
          <t>VILLAVICENCIO</t>
        </is>
      </c>
      <c r="B27" t="inlineStr">
        <is>
          <t>REMOTAS</t>
        </is>
      </c>
      <c r="C27" t="inlineStr">
        <is>
          <t>0004-0007</t>
        </is>
      </c>
      <c r="D27" t="inlineStr">
        <is>
          <t>50001</t>
        </is>
      </c>
      <c r="E27" t="inlineStr">
        <is>
          <t>2539002</t>
        </is>
      </c>
      <c r="F27" t="inlineStr">
        <is>
          <t>3007051714</t>
        </is>
      </c>
      <c r="G27" t="inlineStr">
        <is>
          <t>OC PUBLICIDAD</t>
        </is>
      </c>
      <c r="H27" t="inlineStr">
        <is>
          <t>META</t>
        </is>
      </c>
      <c r="I27" t="inlineStr">
        <is>
          <t>VILLAVICENCIO</t>
        </is>
      </c>
      <c r="J27" t="inlineStr">
        <is>
          <t>BARRIO LA ROSITA 2 VILLAVICENC</t>
        </is>
      </c>
      <c r="K27" t="inlineStr">
        <is>
          <t>BANCOLOMBIA</t>
        </is>
      </c>
      <c r="L27" t="inlineStr">
        <is>
          <t>FO-25-1316181</t>
        </is>
      </c>
      <c r="M27" s="46" t="n">
        <v>45870.43652777778</v>
      </c>
      <c r="N27" s="46" t="n">
        <v>45880.43055555555</v>
      </c>
      <c r="O27" s="45" t="n">
        <v>0</v>
      </c>
      <c r="P27" t="inlineStr">
        <is>
          <t>CB UNO A UNO</t>
        </is>
      </c>
      <c r="Q27" t="inlineStr">
        <is>
          <t>CB UNO A UNO</t>
        </is>
      </c>
      <c r="R27" t="inlineStr">
        <is>
          <t>EJECUTADO</t>
        </is>
      </c>
      <c r="S27" t="inlineStr">
        <is>
          <t>EJECUTADO EXITOSO</t>
        </is>
      </c>
      <c r="T27" t="inlineStr">
        <is>
          <t>VISITA TECNICA</t>
        </is>
      </c>
      <c r="U27" t="inlineStr"/>
      <c r="V27" t="inlineStr">
        <is>
          <t>TIPO I</t>
        </is>
      </c>
      <c r="W27" t="inlineStr">
        <is>
          <t>TERRESTRE</t>
        </is>
      </c>
      <c r="X27" t="inlineStr">
        <is>
          <t>CASTRILLON URREA LONDIER LEANDRO</t>
        </is>
      </c>
      <c r="Y27" t="inlineStr">
        <is>
          <t>1</t>
        </is>
      </c>
      <c r="Z27" t="inlineStr">
        <is>
          <t>0</t>
        </is>
      </c>
      <c r="AA27" s="45" t="n">
        <v>96011</v>
      </c>
      <c r="AB27" t="inlineStr">
        <is>
          <t>0</t>
        </is>
      </c>
      <c r="AC27" s="45" t="n">
        <v>153426</v>
      </c>
      <c r="AD27" s="45" t="n">
        <v>0</v>
      </c>
    </row>
    <row r="28">
      <c r="A28" t="inlineStr">
        <is>
          <t>PEREIRA</t>
        </is>
      </c>
      <c r="B28" t="inlineStr">
        <is>
          <t>SUROCCIDENTE Y EJE CAFETERO</t>
        </is>
      </c>
      <c r="C28" t="inlineStr">
        <is>
          <t>0004-0002</t>
        </is>
      </c>
      <c r="D28" t="inlineStr">
        <is>
          <t>66001</t>
        </is>
      </c>
      <c r="E28" t="inlineStr">
        <is>
          <t>2540530</t>
        </is>
      </c>
      <c r="F28" t="inlineStr">
        <is>
          <t>3007055044</t>
        </is>
      </c>
      <c r="G28" t="inlineStr">
        <is>
          <t>OC PUBLICIDAD</t>
        </is>
      </c>
      <c r="H28" t="inlineStr">
        <is>
          <t>RISARALDA</t>
        </is>
      </c>
      <c r="I28" t="inlineStr">
        <is>
          <t>PEREIRA</t>
        </is>
      </c>
      <c r="J28" t="inlineStr">
        <is>
          <t>BARRIO CENTRO PEREIRA 31</t>
        </is>
      </c>
      <c r="K28" t="inlineStr">
        <is>
          <t>BANCOLOMBIA</t>
        </is>
      </c>
      <c r="L28" t="inlineStr">
        <is>
          <t>FO-25-1318916</t>
        </is>
      </c>
      <c r="M28" s="46" t="n">
        <v>45870.57508101852</v>
      </c>
      <c r="N28" s="46" t="n">
        <v>45873.42916666667</v>
      </c>
      <c r="O28" s="45" t="n">
        <v>0</v>
      </c>
      <c r="P28" t="inlineStr">
        <is>
          <t>CB UNO A UNO</t>
        </is>
      </c>
      <c r="Q28" t="inlineStr">
        <is>
          <t>CB UNO A UNO</t>
        </is>
      </c>
      <c r="R28" t="inlineStr">
        <is>
          <t>EJECUTADO</t>
        </is>
      </c>
      <c r="S28" t="inlineStr">
        <is>
          <t>EJECUTADO EXITOSO</t>
        </is>
      </c>
      <c r="T28" t="inlineStr">
        <is>
          <t>VISITA TECNICA</t>
        </is>
      </c>
      <c r="U28" t="inlineStr"/>
      <c r="V28" t="inlineStr">
        <is>
          <t>TIPO I</t>
        </is>
      </c>
      <c r="W28" t="inlineStr">
        <is>
          <t>TERRESTRE</t>
        </is>
      </c>
      <c r="X28" t="inlineStr">
        <is>
          <t>ARROYAVE CANO MANUEL GUILLERMO</t>
        </is>
      </c>
      <c r="Y28" t="inlineStr">
        <is>
          <t>1</t>
        </is>
      </c>
      <c r="Z28" t="inlineStr">
        <is>
          <t>0</t>
        </is>
      </c>
      <c r="AA28" s="45" t="n">
        <v>96011</v>
      </c>
      <c r="AB28" t="inlineStr">
        <is>
          <t>0</t>
        </is>
      </c>
      <c r="AC28" s="45" t="n">
        <v>153426</v>
      </c>
      <c r="AD28" s="45" t="n">
        <v>0</v>
      </c>
    </row>
    <row r="29">
      <c r="A29" t="inlineStr">
        <is>
          <t>IBAGUE</t>
        </is>
      </c>
      <c r="B29" t="inlineStr">
        <is>
          <t>REMOTAS</t>
        </is>
      </c>
      <c r="C29" t="inlineStr">
        <is>
          <t>0004-0007</t>
        </is>
      </c>
      <c r="D29" t="inlineStr">
        <is>
          <t>73001</t>
        </is>
      </c>
      <c r="E29" t="inlineStr">
        <is>
          <t>2541245</t>
        </is>
      </c>
      <c r="F29" t="inlineStr">
        <is>
          <t>3007077457</t>
        </is>
      </c>
      <c r="G29" t="inlineStr">
        <is>
          <t>OC PUBLICIDAD</t>
        </is>
      </c>
      <c r="H29" t="inlineStr">
        <is>
          <t>TOLIMA</t>
        </is>
      </c>
      <c r="I29" t="inlineStr">
        <is>
          <t>IBAGUE</t>
        </is>
      </c>
      <c r="J29" t="inlineStr">
        <is>
          <t>BARRIO URB MONTECARLO IBAGUE</t>
        </is>
      </c>
      <c r="K29" t="inlineStr">
        <is>
          <t>BANCOLOMBIA</t>
        </is>
      </c>
      <c r="L29" t="inlineStr">
        <is>
          <t>FO-25-1318915</t>
        </is>
      </c>
      <c r="M29" s="46" t="n">
        <v>45870.63715277778</v>
      </c>
      <c r="N29" s="46" t="n">
        <v>45873.59027777778</v>
      </c>
      <c r="O29" s="45" t="n">
        <v>0</v>
      </c>
      <c r="P29" t="inlineStr">
        <is>
          <t>CB UNO A UNO</t>
        </is>
      </c>
      <c r="Q29" t="inlineStr">
        <is>
          <t>CB UNO A UNO</t>
        </is>
      </c>
      <c r="R29" t="inlineStr">
        <is>
          <t>EJECUTADO</t>
        </is>
      </c>
      <c r="S29" t="inlineStr">
        <is>
          <t>EJECUTADO EXITOSO</t>
        </is>
      </c>
      <c r="T29" t="inlineStr">
        <is>
          <t>VISITA TECNICA</t>
        </is>
      </c>
      <c r="U29" t="inlineStr"/>
      <c r="V29" t="inlineStr">
        <is>
          <t>TIPO I</t>
        </is>
      </c>
      <c r="W29" t="inlineStr">
        <is>
          <t>TERRESTRE</t>
        </is>
      </c>
      <c r="X29" t="inlineStr">
        <is>
          <t>GUTIERREZ  CAMILO ANDRES</t>
        </is>
      </c>
      <c r="Y29" t="inlineStr">
        <is>
          <t>1</t>
        </is>
      </c>
      <c r="Z29" t="inlineStr">
        <is>
          <t>0</t>
        </is>
      </c>
      <c r="AA29" s="45" t="n">
        <v>96011</v>
      </c>
      <c r="AB29" t="inlineStr">
        <is>
          <t>0</t>
        </is>
      </c>
      <c r="AC29" s="45" t="n">
        <v>153426</v>
      </c>
      <c r="AD29" s="45" t="n">
        <v>0</v>
      </c>
    </row>
    <row r="30">
      <c r="A30" t="inlineStr">
        <is>
          <t>MEDELLIN</t>
        </is>
      </c>
      <c r="B30" t="inlineStr">
        <is>
          <t>NOROCCIDENTE</t>
        </is>
      </c>
      <c r="C30" t="inlineStr">
        <is>
          <t>0004-0005</t>
        </is>
      </c>
      <c r="D30" t="inlineStr">
        <is>
          <t>5579</t>
        </is>
      </c>
      <c r="E30" t="inlineStr">
        <is>
          <t>2542463</t>
        </is>
      </c>
      <c r="F30" t="inlineStr">
        <is>
          <t>3007073705</t>
        </is>
      </c>
      <c r="G30" t="inlineStr">
        <is>
          <t>OC PUBLICIDAD</t>
        </is>
      </c>
      <c r="H30" t="inlineStr">
        <is>
          <t>ANTIOQUIA</t>
        </is>
      </c>
      <c r="I30" t="inlineStr">
        <is>
          <t>PUERTO BERRIO</t>
        </is>
      </c>
      <c r="J30" t="inlineStr">
        <is>
          <t>BARRIO CENTRO PUERTO BERRIO 7</t>
        </is>
      </c>
      <c r="K30" t="inlineStr">
        <is>
          <t>BANCOLOMBIA</t>
        </is>
      </c>
      <c r="L30" t="inlineStr">
        <is>
          <t>FO-25-1318910</t>
        </is>
      </c>
      <c r="M30" s="46" t="n">
        <v>45870.73863425926</v>
      </c>
      <c r="N30" s="46" t="n">
        <v>45873.53472222222</v>
      </c>
      <c r="O30" s="45" t="n">
        <v>0</v>
      </c>
      <c r="P30" t="inlineStr">
        <is>
          <t>CB UNO A UNO</t>
        </is>
      </c>
      <c r="Q30" t="inlineStr">
        <is>
          <t>CB UNO A UNO</t>
        </is>
      </c>
      <c r="R30" t="inlineStr">
        <is>
          <t>EJECUTADO</t>
        </is>
      </c>
      <c r="S30" t="inlineStr">
        <is>
          <t>EJECUTADO EXITOSO</t>
        </is>
      </c>
      <c r="T30" t="inlineStr">
        <is>
          <t>VISITA TECNICA</t>
        </is>
      </c>
      <c r="U30" t="inlineStr"/>
      <c r="V30" t="inlineStr">
        <is>
          <t>TIPO III</t>
        </is>
      </c>
      <c r="W30" t="inlineStr">
        <is>
          <t>TERRESTRE</t>
        </is>
      </c>
      <c r="X30" t="inlineStr">
        <is>
          <t>MARTINEZ TOVAR OSCAR DAVID</t>
        </is>
      </c>
      <c r="Y30" t="inlineStr">
        <is>
          <t>1</t>
        </is>
      </c>
      <c r="Z30" t="inlineStr">
        <is>
          <t>0</t>
        </is>
      </c>
      <c r="AA30" s="45" t="n">
        <v>344775</v>
      </c>
      <c r="AB30" t="inlineStr">
        <is>
          <t>0</t>
        </is>
      </c>
      <c r="AC30" s="45" t="n">
        <v>455583</v>
      </c>
      <c r="AD30" s="45" t="n">
        <v>0</v>
      </c>
    </row>
    <row r="31">
      <c r="A31" t="inlineStr">
        <is>
          <t>NEIVA</t>
        </is>
      </c>
      <c r="B31" t="inlineStr">
        <is>
          <t>REMOTAS</t>
        </is>
      </c>
      <c r="C31" t="inlineStr">
        <is>
          <t>0004-0007</t>
        </is>
      </c>
      <c r="D31" t="inlineStr">
        <is>
          <t>41001</t>
        </is>
      </c>
      <c r="E31" t="inlineStr">
        <is>
          <t>2543697</t>
        </is>
      </c>
      <c r="F31" t="inlineStr">
        <is>
          <t>3007075076</t>
        </is>
      </c>
      <c r="G31" t="inlineStr">
        <is>
          <t>OC PUBLICIDAD</t>
        </is>
      </c>
      <c r="H31" t="inlineStr">
        <is>
          <t>HUILA</t>
        </is>
      </c>
      <c r="I31" t="inlineStr">
        <is>
          <t>NEIVA</t>
        </is>
      </c>
      <c r="J31" t="inlineStr">
        <is>
          <t>BARRIO MANZANARES NEIVA 2</t>
        </is>
      </c>
      <c r="K31" t="inlineStr">
        <is>
          <t>BANCOLOMBIA</t>
        </is>
      </c>
      <c r="L31" t="inlineStr">
        <is>
          <t>FO-25-1321599</t>
        </is>
      </c>
      <c r="M31" s="46" t="n">
        <v>45873.33333333334</v>
      </c>
      <c r="N31" s="46" t="n">
        <v>45874.46805555555</v>
      </c>
      <c r="O31" s="45" t="n">
        <v>0</v>
      </c>
      <c r="P31" t="inlineStr">
        <is>
          <t>CB UNO A UNO</t>
        </is>
      </c>
      <c r="Q31" t="inlineStr">
        <is>
          <t>CB UNO A UNO</t>
        </is>
      </c>
      <c r="R31" t="inlineStr">
        <is>
          <t>EJECUTADO</t>
        </is>
      </c>
      <c r="S31" t="inlineStr">
        <is>
          <t>EJECUTADO EXITOSO</t>
        </is>
      </c>
      <c r="T31" t="inlineStr">
        <is>
          <t>VISITA TECNICA</t>
        </is>
      </c>
      <c r="U31" t="inlineStr"/>
      <c r="V31" t="inlineStr">
        <is>
          <t>TIPO I</t>
        </is>
      </c>
      <c r="W31" t="inlineStr">
        <is>
          <t>TERRESTRE</t>
        </is>
      </c>
      <c r="X31" t="inlineStr">
        <is>
          <t>DEVIA REINOSO JUAN CARLOS</t>
        </is>
      </c>
      <c r="Y31" t="inlineStr">
        <is>
          <t>1</t>
        </is>
      </c>
      <c r="Z31" t="inlineStr">
        <is>
          <t>0</t>
        </is>
      </c>
      <c r="AA31" s="45" t="n">
        <v>96011</v>
      </c>
      <c r="AB31" t="inlineStr">
        <is>
          <t>0</t>
        </is>
      </c>
      <c r="AC31" s="45" t="n">
        <v>153426</v>
      </c>
      <c r="AD31" s="45" t="n">
        <v>0</v>
      </c>
    </row>
    <row r="32">
      <c r="A32" t="inlineStr">
        <is>
          <t>MEDELLIN</t>
        </is>
      </c>
      <c r="B32" t="inlineStr">
        <is>
          <t>NOROCCIDENTE</t>
        </is>
      </c>
      <c r="C32" t="inlineStr">
        <is>
          <t>0004-0005</t>
        </is>
      </c>
      <c r="D32" t="inlineStr">
        <is>
          <t>27245</t>
        </is>
      </c>
      <c r="E32" t="inlineStr">
        <is>
          <t>2545753</t>
        </is>
      </c>
      <c r="F32" t="inlineStr">
        <is>
          <t>3007029014</t>
        </is>
      </c>
      <c r="G32" t="inlineStr">
        <is>
          <t>OC PUBLICIDAD</t>
        </is>
      </c>
      <c r="H32" t="inlineStr">
        <is>
          <t>CHOCO</t>
        </is>
      </c>
      <c r="I32" t="inlineStr">
        <is>
          <t>EL CARMEN DE ATRATO</t>
        </is>
      </c>
      <c r="J32" t="inlineStr">
        <is>
          <t>BARRIO ALTOS DE ATRATO EL CARM</t>
        </is>
      </c>
      <c r="K32" t="inlineStr">
        <is>
          <t>BANCOLOMBIA</t>
        </is>
      </c>
      <c r="L32" t="inlineStr">
        <is>
          <t>FO-25-1324338</t>
        </is>
      </c>
      <c r="M32" s="46" t="n">
        <v>45873.36618055555</v>
      </c>
      <c r="N32" s="46" t="n">
        <v>45881.70486111111</v>
      </c>
      <c r="O32" s="45" t="n">
        <v>0</v>
      </c>
      <c r="P32" t="inlineStr">
        <is>
          <t>CB UNO A UNO</t>
        </is>
      </c>
      <c r="Q32" t="inlineStr">
        <is>
          <t>CB UNO A UNO</t>
        </is>
      </c>
      <c r="R32" t="inlineStr">
        <is>
          <t>EJECUTADO</t>
        </is>
      </c>
      <c r="S32" t="inlineStr">
        <is>
          <t>EJECUTADO EXITOSO</t>
        </is>
      </c>
      <c r="T32" t="inlineStr">
        <is>
          <t>VISITA TECNICA</t>
        </is>
      </c>
      <c r="U32" t="inlineStr"/>
      <c r="V32" t="inlineStr">
        <is>
          <t>TIPO IV</t>
        </is>
      </c>
      <c r="W32" t="inlineStr">
        <is>
          <t>TERRESTRE</t>
        </is>
      </c>
      <c r="X32" t="inlineStr">
        <is>
          <t>CASTAÑEDA PALACIO CARLOS FELIPE</t>
        </is>
      </c>
      <c r="Y32" t="inlineStr">
        <is>
          <t>1</t>
        </is>
      </c>
      <c r="Z32" t="inlineStr">
        <is>
          <t>0</t>
        </is>
      </c>
      <c r="AA32" s="45" t="n">
        <v>548634</v>
      </c>
      <c r="AB32" t="inlineStr">
        <is>
          <t>0</t>
        </is>
      </c>
      <c r="AC32" s="45" t="n">
        <v>659442</v>
      </c>
      <c r="AD32" s="45" t="n">
        <v>0</v>
      </c>
    </row>
    <row r="33">
      <c r="A33" t="inlineStr">
        <is>
          <t>CUCUTA</t>
        </is>
      </c>
      <c r="B33" t="inlineStr">
        <is>
          <t>SANTANDERES</t>
        </is>
      </c>
      <c r="C33" t="inlineStr">
        <is>
          <t>0004-0008</t>
        </is>
      </c>
      <c r="D33" t="inlineStr">
        <is>
          <t>54001</t>
        </is>
      </c>
      <c r="E33" t="inlineStr">
        <is>
          <t>2546216</t>
        </is>
      </c>
      <c r="F33" t="inlineStr">
        <is>
          <t>3007074283</t>
        </is>
      </c>
      <c r="G33" t="inlineStr">
        <is>
          <t>OC PUBLICIDAD</t>
        </is>
      </c>
      <c r="H33" t="inlineStr">
        <is>
          <t>NORTE DE SANTANDER</t>
        </is>
      </c>
      <c r="I33" t="inlineStr">
        <is>
          <t>CUCUTA</t>
        </is>
      </c>
      <c r="J33" t="inlineStr">
        <is>
          <t>BARRIO ATALAYA  I CUCUTA</t>
        </is>
      </c>
      <c r="K33" t="inlineStr">
        <is>
          <t>BANCOLOMBIA</t>
        </is>
      </c>
      <c r="L33" t="inlineStr">
        <is>
          <t>FO-25-1324440</t>
        </is>
      </c>
      <c r="M33" s="46" t="n">
        <v>45873.37502314815</v>
      </c>
      <c r="N33" s="46" t="n">
        <v>45874.67361111111</v>
      </c>
      <c r="O33" s="45" t="n">
        <v>0</v>
      </c>
      <c r="P33" t="inlineStr">
        <is>
          <t>CB UNO A UNO</t>
        </is>
      </c>
      <c r="Q33" t="inlineStr">
        <is>
          <t>CB UNO A UNO</t>
        </is>
      </c>
      <c r="R33" t="inlineStr">
        <is>
          <t>EJECUTADO</t>
        </is>
      </c>
      <c r="S33" t="inlineStr">
        <is>
          <t>EJECUTADO EXITOSO</t>
        </is>
      </c>
      <c r="T33" t="inlineStr">
        <is>
          <t>VISITA TECNICA</t>
        </is>
      </c>
      <c r="U33" t="inlineStr"/>
      <c r="V33" t="inlineStr">
        <is>
          <t>TIPO I</t>
        </is>
      </c>
      <c r="W33" t="inlineStr">
        <is>
          <t>TERRESTRE</t>
        </is>
      </c>
      <c r="X33" t="inlineStr">
        <is>
          <t>DURAN ACOSTA FRANK YONNY</t>
        </is>
      </c>
      <c r="Y33" t="inlineStr">
        <is>
          <t>1</t>
        </is>
      </c>
      <c r="Z33" t="inlineStr">
        <is>
          <t>0</t>
        </is>
      </c>
      <c r="AA33" s="45" t="n">
        <v>96011</v>
      </c>
      <c r="AB33" t="inlineStr">
        <is>
          <t>0</t>
        </is>
      </c>
      <c r="AC33" s="45" t="n">
        <v>153426</v>
      </c>
      <c r="AD33" s="45" t="n">
        <v>0</v>
      </c>
    </row>
    <row r="34">
      <c r="A34" t="inlineStr">
        <is>
          <t>VILLAVICENCIO</t>
        </is>
      </c>
      <c r="B34" t="inlineStr">
        <is>
          <t>REMOTAS</t>
        </is>
      </c>
      <c r="C34" t="inlineStr">
        <is>
          <t>0004-0007</t>
        </is>
      </c>
      <c r="D34" t="inlineStr">
        <is>
          <t>50001</t>
        </is>
      </c>
      <c r="E34" t="inlineStr">
        <is>
          <t>2548062</t>
        </is>
      </c>
      <c r="F34" t="inlineStr">
        <is>
          <t>3007077098</t>
        </is>
      </c>
      <c r="G34" t="inlineStr">
        <is>
          <t>OC PUBLICIDAD</t>
        </is>
      </c>
      <c r="H34" t="inlineStr">
        <is>
          <t>META</t>
        </is>
      </c>
      <c r="I34" t="inlineStr">
        <is>
          <t>VILLAVICENCIO</t>
        </is>
      </c>
      <c r="J34" t="inlineStr">
        <is>
          <t>BARRIO ANTONIO PINILLA VILLAVICENCIO 1</t>
        </is>
      </c>
      <c r="K34" t="inlineStr">
        <is>
          <t>BANCOLOMBIA</t>
        </is>
      </c>
      <c r="L34" t="inlineStr">
        <is>
          <t>FO-25-1326214</t>
        </is>
      </c>
      <c r="M34" s="46" t="n">
        <v>45873.45530092593</v>
      </c>
      <c r="N34" s="46" t="n">
        <v>45880.45347222222</v>
      </c>
      <c r="O34" s="45" t="n">
        <v>0</v>
      </c>
      <c r="P34" t="inlineStr">
        <is>
          <t>UNO A UNO</t>
        </is>
      </c>
      <c r="Q34" t="inlineStr">
        <is>
          <t>UNO A UNO</t>
        </is>
      </c>
      <c r="R34" t="inlineStr">
        <is>
          <t>EJECUTADO</t>
        </is>
      </c>
      <c r="S34" t="inlineStr">
        <is>
          <t>EJECUTADO EXITOSO</t>
        </is>
      </c>
      <c r="T34" t="inlineStr">
        <is>
          <t>VISITA TECNICA</t>
        </is>
      </c>
      <c r="U34" t="inlineStr"/>
      <c r="V34" t="inlineStr">
        <is>
          <t>TIPO I</t>
        </is>
      </c>
      <c r="W34" t="inlineStr">
        <is>
          <t>TERRESTRE</t>
        </is>
      </c>
      <c r="X34" t="inlineStr">
        <is>
          <t>CASTRILLON URREA LONDIER LEANDRO</t>
        </is>
      </c>
      <c r="Y34" t="inlineStr">
        <is>
          <t>1</t>
        </is>
      </c>
      <c r="Z34" t="inlineStr">
        <is>
          <t>0</t>
        </is>
      </c>
      <c r="AA34" s="45" t="n">
        <v>96011</v>
      </c>
      <c r="AB34" t="inlineStr">
        <is>
          <t>0</t>
        </is>
      </c>
      <c r="AC34" s="45" t="n">
        <v>153426</v>
      </c>
      <c r="AD34" s="45" t="n">
        <v>0</v>
      </c>
    </row>
    <row r="35">
      <c r="A35" t="inlineStr">
        <is>
          <t>CUCUTA</t>
        </is>
      </c>
      <c r="B35" t="inlineStr">
        <is>
          <t>SANTANDERES</t>
        </is>
      </c>
      <c r="C35" t="inlineStr">
        <is>
          <t>0004-0008</t>
        </is>
      </c>
      <c r="D35" t="inlineStr">
        <is>
          <t>54001</t>
        </is>
      </c>
      <c r="E35" t="inlineStr">
        <is>
          <t>2550413</t>
        </is>
      </c>
      <c r="F35" t="inlineStr">
        <is>
          <t>3007080261</t>
        </is>
      </c>
      <c r="G35" t="inlineStr">
        <is>
          <t>OC PUBLICIDAD</t>
        </is>
      </c>
      <c r="H35" t="inlineStr">
        <is>
          <t>NORTE DE SANTANDER</t>
        </is>
      </c>
      <c r="I35" t="inlineStr">
        <is>
          <t>CUCUTA</t>
        </is>
      </c>
      <c r="J35" t="inlineStr">
        <is>
          <t>BARRIO PARQUES DE BOLIVAR CUCUTA</t>
        </is>
      </c>
      <c r="K35" t="inlineStr">
        <is>
          <t>BANCOLOMBIA</t>
        </is>
      </c>
      <c r="L35" t="inlineStr">
        <is>
          <t>FO-25-1327336</t>
        </is>
      </c>
      <c r="M35" s="46" t="n">
        <v>45873.61586805555</v>
      </c>
      <c r="N35" s="46" t="n">
        <v>45874.67916666667</v>
      </c>
      <c r="O35" s="45" t="n">
        <v>0</v>
      </c>
      <c r="P35" t="inlineStr">
        <is>
          <t>UNO A UNO</t>
        </is>
      </c>
      <c r="Q35" t="inlineStr">
        <is>
          <t>UNO A UNO</t>
        </is>
      </c>
      <c r="R35" t="inlineStr">
        <is>
          <t>EJECUTADO</t>
        </is>
      </c>
      <c r="S35" t="inlineStr">
        <is>
          <t>EJECUTADO EXITOSO</t>
        </is>
      </c>
      <c r="T35" t="inlineStr">
        <is>
          <t>VISITA TECNICA</t>
        </is>
      </c>
      <c r="U35" t="inlineStr"/>
      <c r="V35" t="inlineStr">
        <is>
          <t>TIPO I</t>
        </is>
      </c>
      <c r="W35" t="inlineStr">
        <is>
          <t>TERRESTRE</t>
        </is>
      </c>
      <c r="X35" t="inlineStr">
        <is>
          <t>MORA VEGA JEAMPIER</t>
        </is>
      </c>
      <c r="Y35" t="inlineStr">
        <is>
          <t>1</t>
        </is>
      </c>
      <c r="Z35" t="inlineStr">
        <is>
          <t>0</t>
        </is>
      </c>
      <c r="AA35" s="45" t="n">
        <v>96011</v>
      </c>
      <c r="AB35" t="inlineStr">
        <is>
          <t>0</t>
        </is>
      </c>
      <c r="AC35" s="45" t="n">
        <v>153426</v>
      </c>
      <c r="AD35" s="45" t="n">
        <v>0</v>
      </c>
    </row>
    <row r="36">
      <c r="A36" t="inlineStr">
        <is>
          <t>IBAGUE</t>
        </is>
      </c>
      <c r="B36" t="inlineStr">
        <is>
          <t>REMOTAS</t>
        </is>
      </c>
      <c r="C36" t="inlineStr">
        <is>
          <t>0004-0007</t>
        </is>
      </c>
      <c r="D36" t="inlineStr">
        <is>
          <t>73001</t>
        </is>
      </c>
      <c r="E36" t="inlineStr">
        <is>
          <t>2551593</t>
        </is>
      </c>
      <c r="F36" t="inlineStr">
        <is>
          <t>3007017384</t>
        </is>
      </c>
      <c r="G36" t="inlineStr">
        <is>
          <t>OC PUBLICIDAD</t>
        </is>
      </c>
      <c r="H36" t="inlineStr">
        <is>
          <t>TOLIMA</t>
        </is>
      </c>
      <c r="I36" t="inlineStr">
        <is>
          <t>IBAGUE</t>
        </is>
      </c>
      <c r="J36" t="inlineStr">
        <is>
          <t>BARRIO URB PIEDRA PINTADA IBAG</t>
        </is>
      </c>
      <c r="K36" t="inlineStr">
        <is>
          <t>BANCOLOMBIA</t>
        </is>
      </c>
      <c r="L36" t="inlineStr">
        <is>
          <t>FO-25-1328458</t>
        </is>
      </c>
      <c r="M36" s="46" t="n">
        <v>45873.68696759259</v>
      </c>
      <c r="N36" s="46" t="n">
        <v>45874.67638888889</v>
      </c>
      <c r="O36" s="45" t="n">
        <v>0</v>
      </c>
      <c r="P36" t="inlineStr">
        <is>
          <t>CB UNO A UNO</t>
        </is>
      </c>
      <c r="Q36" t="inlineStr">
        <is>
          <t>CB UNO A UNO</t>
        </is>
      </c>
      <c r="R36" t="inlineStr">
        <is>
          <t>EJECUTADO</t>
        </is>
      </c>
      <c r="S36" t="inlineStr">
        <is>
          <t>EJECUTADO EXITOSO</t>
        </is>
      </c>
      <c r="T36" t="inlineStr">
        <is>
          <t>VISITA TECNICA</t>
        </is>
      </c>
      <c r="U36" t="inlineStr"/>
      <c r="V36" t="inlineStr">
        <is>
          <t>TIPO I</t>
        </is>
      </c>
      <c r="W36" t="inlineStr">
        <is>
          <t>TERRESTRE</t>
        </is>
      </c>
      <c r="X36" t="inlineStr">
        <is>
          <t>BARRAGAN TAFUR EDWIN ESTEBAN</t>
        </is>
      </c>
      <c r="Y36" t="inlineStr">
        <is>
          <t>1</t>
        </is>
      </c>
      <c r="Z36" t="inlineStr">
        <is>
          <t>0</t>
        </is>
      </c>
      <c r="AA36" s="45" t="n">
        <v>96011</v>
      </c>
      <c r="AB36" t="inlineStr">
        <is>
          <t>0</t>
        </is>
      </c>
      <c r="AC36" s="45" t="n">
        <v>153426</v>
      </c>
      <c r="AD36" s="45" t="n">
        <v>0</v>
      </c>
    </row>
    <row r="37">
      <c r="A37" t="inlineStr">
        <is>
          <t>VILLAVICENCIO</t>
        </is>
      </c>
      <c r="B37" t="inlineStr">
        <is>
          <t>REMOTAS</t>
        </is>
      </c>
      <c r="C37" t="inlineStr">
        <is>
          <t>0004-0007</t>
        </is>
      </c>
      <c r="D37" t="inlineStr">
        <is>
          <t>50006</t>
        </is>
      </c>
      <c r="E37" t="inlineStr">
        <is>
          <t>2552047</t>
        </is>
      </c>
      <c r="F37" t="inlineStr">
        <is>
          <t>3007080646</t>
        </is>
      </c>
      <c r="G37" t="inlineStr">
        <is>
          <t>OC PUBLICIDAD</t>
        </is>
      </c>
      <c r="H37" t="inlineStr">
        <is>
          <t>META</t>
        </is>
      </c>
      <c r="I37" t="inlineStr">
        <is>
          <t>ACACIAS</t>
        </is>
      </c>
      <c r="J37" t="inlineStr">
        <is>
          <t>BARRIO EL LAGO ACACIAS</t>
        </is>
      </c>
      <c r="K37" t="inlineStr">
        <is>
          <t>BANCOLOMBIA</t>
        </is>
      </c>
      <c r="L37" t="inlineStr">
        <is>
          <t>FO-25-1329687</t>
        </is>
      </c>
      <c r="M37" s="46" t="n">
        <v>45873.7015625</v>
      </c>
      <c r="N37" s="46" t="n">
        <v>45881.48472222222</v>
      </c>
      <c r="O37" s="45" t="n">
        <v>0</v>
      </c>
      <c r="P37" t="inlineStr">
        <is>
          <t>UNO A UNO</t>
        </is>
      </c>
      <c r="Q37" t="inlineStr">
        <is>
          <t>UNO A UNO</t>
        </is>
      </c>
      <c r="R37" t="inlineStr">
        <is>
          <t>EJECUTADO</t>
        </is>
      </c>
      <c r="S37" t="inlineStr">
        <is>
          <t>EJECUTADO EXITOSO</t>
        </is>
      </c>
      <c r="T37" t="inlineStr">
        <is>
          <t>VISITA TECNICA</t>
        </is>
      </c>
      <c r="U37" t="inlineStr"/>
      <c r="V37" t="inlineStr">
        <is>
          <t>TIPO II</t>
        </is>
      </c>
      <c r="W37" t="inlineStr">
        <is>
          <t>TERRESTRE</t>
        </is>
      </c>
      <c r="X37" t="inlineStr">
        <is>
          <t>CASTRILLON URREA LONDIER LEANDRO</t>
        </is>
      </c>
      <c r="Y37" t="inlineStr">
        <is>
          <t>1</t>
        </is>
      </c>
      <c r="Z37" t="inlineStr">
        <is>
          <t>0</t>
        </is>
      </c>
      <c r="AA37" s="45" t="n">
        <v>232859</v>
      </c>
      <c r="AB37" t="inlineStr">
        <is>
          <t>0</t>
        </is>
      </c>
      <c r="AC37" s="45" t="n">
        <v>343667</v>
      </c>
      <c r="AD37" s="45" t="n">
        <v>0</v>
      </c>
    </row>
    <row r="38">
      <c r="A38" t="inlineStr">
        <is>
          <t>PEREIRA</t>
        </is>
      </c>
      <c r="B38" t="inlineStr">
        <is>
          <t>SUROCCIDENTE Y EJE CAFETERO</t>
        </is>
      </c>
      <c r="C38" t="inlineStr">
        <is>
          <t>0004-0002</t>
        </is>
      </c>
      <c r="D38" t="inlineStr">
        <is>
          <t>63001</t>
        </is>
      </c>
      <c r="E38" t="inlineStr">
        <is>
          <t>2553235</t>
        </is>
      </c>
      <c r="F38" t="inlineStr">
        <is>
          <t>3007043903</t>
        </is>
      </c>
      <c r="G38" t="inlineStr">
        <is>
          <t>OC PUBLICIDAD</t>
        </is>
      </c>
      <c r="H38" t="inlineStr">
        <is>
          <t>QUINDIO</t>
        </is>
      </c>
      <c r="I38" t="inlineStr">
        <is>
          <t>ARMENIA</t>
        </is>
      </c>
      <c r="J38" t="inlineStr">
        <is>
          <t>PTM ARMENIA WWW ALFANET</t>
        </is>
      </c>
      <c r="K38" t="inlineStr">
        <is>
          <t>BANCOLOMBIA</t>
        </is>
      </c>
      <c r="L38" t="inlineStr">
        <is>
          <t>FO-25-1329677</t>
        </is>
      </c>
      <c r="M38" s="46" t="n">
        <v>45874.33902777778</v>
      </c>
      <c r="N38" s="46" t="n">
        <v>45875.49513888889</v>
      </c>
      <c r="O38" s="45" t="n">
        <v>0</v>
      </c>
      <c r="P38" t="inlineStr">
        <is>
          <t>AGREGADOR</t>
        </is>
      </c>
      <c r="Q38" t="inlineStr">
        <is>
          <t>COMCARD - PTM</t>
        </is>
      </c>
      <c r="R38" t="inlineStr">
        <is>
          <t>EJECUTADO</t>
        </is>
      </c>
      <c r="S38" t="inlineStr">
        <is>
          <t>EJECUTADO EXITOSO</t>
        </is>
      </c>
      <c r="T38" t="inlineStr">
        <is>
          <t>VISITA TECNICA</t>
        </is>
      </c>
      <c r="U38" t="inlineStr"/>
      <c r="V38" t="inlineStr">
        <is>
          <t>TIPO II</t>
        </is>
      </c>
      <c r="W38" t="inlineStr">
        <is>
          <t>TERRESTRE</t>
        </is>
      </c>
      <c r="X38" t="inlineStr">
        <is>
          <t>SANCHEZ SOLORZANO JUAN SEBASTIAN</t>
        </is>
      </c>
      <c r="Y38" t="inlineStr">
        <is>
          <t>1</t>
        </is>
      </c>
      <c r="Z38" t="inlineStr">
        <is>
          <t>0</t>
        </is>
      </c>
      <c r="AA38" s="45" t="n">
        <v>232859</v>
      </c>
      <c r="AB38" t="inlineStr">
        <is>
          <t>0</t>
        </is>
      </c>
      <c r="AC38" s="45" t="n">
        <v>343667</v>
      </c>
      <c r="AD38" s="45" t="n">
        <v>0</v>
      </c>
    </row>
    <row r="39">
      <c r="A39" t="inlineStr">
        <is>
          <t>MEDELLIN</t>
        </is>
      </c>
      <c r="B39" t="inlineStr">
        <is>
          <t>NOROCCIDENTE</t>
        </is>
      </c>
      <c r="C39" t="inlineStr">
        <is>
          <t>0004-0005</t>
        </is>
      </c>
      <c r="D39" t="inlineStr">
        <is>
          <t>5001</t>
        </is>
      </c>
      <c r="E39" t="inlineStr">
        <is>
          <t>2554305</t>
        </is>
      </c>
      <c r="F39" t="inlineStr">
        <is>
          <t>3007077881</t>
        </is>
      </c>
      <c r="G39" t="inlineStr">
        <is>
          <t>OC PUBLICIDAD</t>
        </is>
      </c>
      <c r="H39" t="inlineStr">
        <is>
          <t>ANTIOQUIA</t>
        </is>
      </c>
      <c r="I39" t="inlineStr">
        <is>
          <t>MEDELLIN</t>
        </is>
      </c>
      <c r="J39" t="inlineStr">
        <is>
          <t>PTM MEDELLIN NEGOCIO 360</t>
        </is>
      </c>
      <c r="K39" t="inlineStr">
        <is>
          <t>BANCOLOMBIA</t>
        </is>
      </c>
      <c r="L39" t="inlineStr">
        <is>
          <t>FO-25-1330477</t>
        </is>
      </c>
      <c r="M39" s="46" t="n">
        <v>45874.38836805556</v>
      </c>
      <c r="N39" s="46" t="n">
        <v>45880.49930555555</v>
      </c>
      <c r="O39" s="45" t="n">
        <v>0</v>
      </c>
      <c r="P39" t="inlineStr">
        <is>
          <t>AGREGADOR</t>
        </is>
      </c>
      <c r="Q39" t="inlineStr">
        <is>
          <t>COMCARD - PTM</t>
        </is>
      </c>
      <c r="R39" t="inlineStr">
        <is>
          <t>EJECUTADO</t>
        </is>
      </c>
      <c r="S39" t="inlineStr">
        <is>
          <t>EJECUTADO EXITOSO</t>
        </is>
      </c>
      <c r="T39" t="inlineStr">
        <is>
          <t>VISITA TECNICA</t>
        </is>
      </c>
      <c r="U39" t="inlineStr"/>
      <c r="V39" t="inlineStr">
        <is>
          <t>TIPO I</t>
        </is>
      </c>
      <c r="W39" t="inlineStr">
        <is>
          <t>TERRESTRE</t>
        </is>
      </c>
      <c r="X39" t="inlineStr">
        <is>
          <t>ZAPATA LOPEZ EDWARD ASDRUBAL</t>
        </is>
      </c>
      <c r="Y39" t="inlineStr">
        <is>
          <t>1</t>
        </is>
      </c>
      <c r="Z39" t="inlineStr">
        <is>
          <t>0</t>
        </is>
      </c>
      <c r="AA39" s="45" t="n">
        <v>96011</v>
      </c>
      <c r="AB39" t="inlineStr">
        <is>
          <t>0</t>
        </is>
      </c>
      <c r="AC39" s="45" t="n">
        <v>153426</v>
      </c>
      <c r="AD39" s="45" t="n">
        <v>0</v>
      </c>
    </row>
    <row r="40">
      <c r="A40" t="inlineStr">
        <is>
          <t>PEREIRA</t>
        </is>
      </c>
      <c r="B40" t="inlineStr">
        <is>
          <t>SUROCCIDENTE Y EJE CAFETERO</t>
        </is>
      </c>
      <c r="C40" t="inlineStr">
        <is>
          <t>0004-0002</t>
        </is>
      </c>
      <c r="D40" t="inlineStr">
        <is>
          <t>66001</t>
        </is>
      </c>
      <c r="E40" t="inlineStr">
        <is>
          <t>2556023</t>
        </is>
      </c>
      <c r="F40" t="inlineStr">
        <is>
          <t>3007053207</t>
        </is>
      </c>
      <c r="G40" t="inlineStr">
        <is>
          <t>OC PUBLICIDAD</t>
        </is>
      </c>
      <c r="H40" t="inlineStr">
        <is>
          <t>RISARALDA</t>
        </is>
      </c>
      <c r="I40" t="inlineStr">
        <is>
          <t>PEREIRA</t>
        </is>
      </c>
      <c r="J40" t="inlineStr">
        <is>
          <t>BARRIO ALFONSO LOPEZ PEREIRA</t>
        </is>
      </c>
      <c r="K40" t="inlineStr">
        <is>
          <t>BANCOLOMBIA</t>
        </is>
      </c>
      <c r="L40" t="inlineStr">
        <is>
          <t>FO-25-1333267</t>
        </is>
      </c>
      <c r="M40" s="46" t="n">
        <v>45874.47430555556</v>
      </c>
      <c r="N40" s="46" t="n">
        <v>45875.48263888889</v>
      </c>
      <c r="O40" s="45" t="n">
        <v>0</v>
      </c>
      <c r="P40" t="inlineStr">
        <is>
          <t>CB UNO A UNO</t>
        </is>
      </c>
      <c r="Q40" t="inlineStr">
        <is>
          <t>CB UNO A UNO</t>
        </is>
      </c>
      <c r="R40" t="inlineStr">
        <is>
          <t>EJECUTADO</t>
        </is>
      </c>
      <c r="S40" t="inlineStr">
        <is>
          <t>EJECUTADO EXITOSO</t>
        </is>
      </c>
      <c r="T40" t="inlineStr">
        <is>
          <t>VISITA TECNICA</t>
        </is>
      </c>
      <c r="U40" t="inlineStr"/>
      <c r="V40" t="inlineStr">
        <is>
          <t>TIPO I</t>
        </is>
      </c>
      <c r="W40" t="inlineStr">
        <is>
          <t>TERRESTRE</t>
        </is>
      </c>
      <c r="X40" t="inlineStr">
        <is>
          <t>FRANCO CAÑAVERAL YAMID RAUL</t>
        </is>
      </c>
      <c r="Y40" t="inlineStr">
        <is>
          <t>1</t>
        </is>
      </c>
      <c r="Z40" t="inlineStr">
        <is>
          <t>0</t>
        </is>
      </c>
      <c r="AA40" s="45" t="n">
        <v>96011</v>
      </c>
      <c r="AB40" t="inlineStr">
        <is>
          <t>0</t>
        </is>
      </c>
      <c r="AC40" s="45" t="n">
        <v>153426</v>
      </c>
      <c r="AD40" s="45" t="n">
        <v>0</v>
      </c>
    </row>
    <row r="41">
      <c r="A41" t="inlineStr">
        <is>
          <t>BOGOTA</t>
        </is>
      </c>
      <c r="B41" t="inlineStr">
        <is>
          <t>CUNDINAMARCA</t>
        </is>
      </c>
      <c r="C41" t="inlineStr">
        <is>
          <t>0004-0004</t>
        </is>
      </c>
      <c r="D41" t="inlineStr">
        <is>
          <t>25126</t>
        </is>
      </c>
      <c r="E41" t="inlineStr">
        <is>
          <t>2556933</t>
        </is>
      </c>
      <c r="F41" t="inlineStr">
        <is>
          <t>3007077795</t>
        </is>
      </c>
      <c r="G41" t="inlineStr">
        <is>
          <t>OC PUBLICIDAD</t>
        </is>
      </c>
      <c r="H41" t="inlineStr">
        <is>
          <t>CUNDINAMARCA</t>
        </is>
      </c>
      <c r="I41" t="inlineStr">
        <is>
          <t>CAJICA</t>
        </is>
      </c>
      <c r="J41" t="inlineStr">
        <is>
          <t>BARRIO VRD RINCON SANTO CAJICA</t>
        </is>
      </c>
      <c r="K41" t="inlineStr">
        <is>
          <t>BANCOLOMBIA</t>
        </is>
      </c>
      <c r="L41" t="inlineStr">
        <is>
          <t>FO-25-1333257</t>
        </is>
      </c>
      <c r="M41" s="46" t="n">
        <v>45874.56597222222</v>
      </c>
      <c r="N41" s="46" t="n">
        <v>45875.34444444445</v>
      </c>
      <c r="O41" s="45" t="n">
        <v>0</v>
      </c>
      <c r="P41" t="inlineStr">
        <is>
          <t>CB UNO A UNO</t>
        </is>
      </c>
      <c r="Q41" t="inlineStr">
        <is>
          <t>CB UNO A UNO</t>
        </is>
      </c>
      <c r="R41" t="inlineStr">
        <is>
          <t>EJECUTADO</t>
        </is>
      </c>
      <c r="S41" t="inlineStr">
        <is>
          <t>EJECUTADO EXITOSO</t>
        </is>
      </c>
      <c r="T41" t="inlineStr">
        <is>
          <t>VISITA TECNICA</t>
        </is>
      </c>
      <c r="U41" t="inlineStr"/>
      <c r="V41" t="inlineStr">
        <is>
          <t>TIPO II</t>
        </is>
      </c>
      <c r="W41" t="inlineStr">
        <is>
          <t>TERRESTRE</t>
        </is>
      </c>
      <c r="X41" t="inlineStr">
        <is>
          <t>GALEANO SORIANO JUAN DAVID</t>
        </is>
      </c>
      <c r="Y41" t="inlineStr">
        <is>
          <t>1</t>
        </is>
      </c>
      <c r="Z41" t="inlineStr">
        <is>
          <t>0</t>
        </is>
      </c>
      <c r="AA41" s="45" t="n">
        <v>232859</v>
      </c>
      <c r="AB41" t="inlineStr">
        <is>
          <t>0</t>
        </is>
      </c>
      <c r="AC41" s="45" t="n">
        <v>343667</v>
      </c>
      <c r="AD41" s="45" t="n">
        <v>0</v>
      </c>
    </row>
    <row r="42">
      <c r="A42" t="inlineStr">
        <is>
          <t>IBAGUE</t>
        </is>
      </c>
      <c r="B42" t="inlineStr">
        <is>
          <t>REMOTAS</t>
        </is>
      </c>
      <c r="C42" t="inlineStr">
        <is>
          <t>0004-0007</t>
        </is>
      </c>
      <c r="D42" t="inlineStr">
        <is>
          <t>73001</t>
        </is>
      </c>
      <c r="E42" t="inlineStr">
        <is>
          <t>2557762</t>
        </is>
      </c>
      <c r="F42" t="inlineStr">
        <is>
          <t>3007072513</t>
        </is>
      </c>
      <c r="G42" t="inlineStr">
        <is>
          <t>OC PUBLICIDAD</t>
        </is>
      </c>
      <c r="H42" t="inlineStr">
        <is>
          <t>TOLIMA</t>
        </is>
      </c>
      <c r="I42" t="inlineStr">
        <is>
          <t>IBAGUE</t>
        </is>
      </c>
      <c r="J42" t="inlineStr">
        <is>
          <t>BARRIO ESTACION IBAGUE  1</t>
        </is>
      </c>
      <c r="K42" t="inlineStr">
        <is>
          <t>BANCOLOMBIA</t>
        </is>
      </c>
      <c r="L42" t="inlineStr">
        <is>
          <t>FO-25-1333271</t>
        </is>
      </c>
      <c r="M42" s="46" t="n">
        <v>45874.63402777778</v>
      </c>
      <c r="N42" s="46" t="n">
        <v>45881.47986111111</v>
      </c>
      <c r="O42" s="45" t="n">
        <v>0</v>
      </c>
      <c r="P42" t="inlineStr">
        <is>
          <t>CB UNO A UNO</t>
        </is>
      </c>
      <c r="Q42" t="inlineStr">
        <is>
          <t>CB UNO A UNO</t>
        </is>
      </c>
      <c r="R42" t="inlineStr">
        <is>
          <t>EJECUTADO / CANCELADO</t>
        </is>
      </c>
      <c r="S42" t="inlineStr">
        <is>
          <t>CB CON EFECTY</t>
        </is>
      </c>
      <c r="T42" t="inlineStr">
        <is>
          <t>VISITA TECNICA</t>
        </is>
      </c>
      <c r="U42" t="inlineStr"/>
      <c r="V42" t="inlineStr">
        <is>
          <t>TIPO I</t>
        </is>
      </c>
      <c r="W42" t="inlineStr">
        <is>
          <t>TERRESTRE</t>
        </is>
      </c>
      <c r="X42" t="inlineStr">
        <is>
          <t>BARRAGAN TAFUR EDWIN ESTEBAN</t>
        </is>
      </c>
      <c r="Y42" t="inlineStr">
        <is>
          <t>1</t>
        </is>
      </c>
      <c r="Z42" t="inlineStr">
        <is>
          <t>0</t>
        </is>
      </c>
      <c r="AA42" s="45" t="n">
        <v>96011</v>
      </c>
      <c r="AB42" t="inlineStr">
        <is>
          <t>0</t>
        </is>
      </c>
      <c r="AC42" s="45" t="n">
        <v>210841</v>
      </c>
      <c r="AD42" s="45" t="n">
        <v>0</v>
      </c>
    </row>
    <row r="43">
      <c r="A43" t="inlineStr">
        <is>
          <t>BOGOTA</t>
        </is>
      </c>
      <c r="B43" t="inlineStr">
        <is>
          <t>CUNDINAMARCA</t>
        </is>
      </c>
      <c r="C43" t="inlineStr">
        <is>
          <t>0004-0004</t>
        </is>
      </c>
      <c r="D43" t="inlineStr">
        <is>
          <t>25430</t>
        </is>
      </c>
      <c r="E43" t="inlineStr">
        <is>
          <t>2559376</t>
        </is>
      </c>
      <c r="F43" t="inlineStr">
        <is>
          <t>3007038474</t>
        </is>
      </c>
      <c r="G43" t="inlineStr">
        <is>
          <t>OC PUBLICIDAD</t>
        </is>
      </c>
      <c r="H43" t="inlineStr">
        <is>
          <t>CUNDINAMARCA</t>
        </is>
      </c>
      <c r="I43" t="inlineStr">
        <is>
          <t>MADRID</t>
        </is>
      </c>
      <c r="J43" t="inlineStr">
        <is>
          <t>BARRIO LOS SAUCES MADRID</t>
        </is>
      </c>
      <c r="K43" t="inlineStr">
        <is>
          <t>BANCOLOMBIA</t>
        </is>
      </c>
      <c r="L43" t="inlineStr">
        <is>
          <t>FO-25-1334436</t>
        </is>
      </c>
      <c r="M43" s="46" t="n">
        <v>45875.33333333334</v>
      </c>
      <c r="N43" s="46" t="n">
        <v>45882.69652777778</v>
      </c>
      <c r="O43" s="45" t="n">
        <v>0</v>
      </c>
      <c r="P43" t="inlineStr">
        <is>
          <t>CB UNO A UNO</t>
        </is>
      </c>
      <c r="Q43" t="inlineStr">
        <is>
          <t>CB UNO A UNO</t>
        </is>
      </c>
      <c r="R43" t="inlineStr">
        <is>
          <t>EJECUTADO / CANCELADO</t>
        </is>
      </c>
      <c r="S43" t="inlineStr">
        <is>
          <t>PETICIÓN BANCOLOMBIA</t>
        </is>
      </c>
      <c r="T43" t="inlineStr">
        <is>
          <t>VISITA TECNICA</t>
        </is>
      </c>
      <c r="U43" t="inlineStr"/>
      <c r="V43" t="inlineStr">
        <is>
          <t>TIPO II</t>
        </is>
      </c>
      <c r="W43" t="inlineStr">
        <is>
          <t>TERRESTRE</t>
        </is>
      </c>
      <c r="X43" t="inlineStr">
        <is>
          <t>GALEANO SORIANO JUAN DAVID</t>
        </is>
      </c>
      <c r="Y43" t="inlineStr">
        <is>
          <t>1</t>
        </is>
      </c>
      <c r="Z43" t="inlineStr">
        <is>
          <t>0</t>
        </is>
      </c>
      <c r="AA43" s="45" t="n">
        <v>232859</v>
      </c>
      <c r="AB43" t="inlineStr">
        <is>
          <t>0</t>
        </is>
      </c>
      <c r="AC43" s="45" t="n">
        <v>454475</v>
      </c>
      <c r="AD43" s="45" t="n">
        <v>0</v>
      </c>
    </row>
    <row r="44">
      <c r="A44" t="inlineStr">
        <is>
          <t>IBAGUE</t>
        </is>
      </c>
      <c r="B44" t="inlineStr">
        <is>
          <t>REMOTAS</t>
        </is>
      </c>
      <c r="C44" t="inlineStr">
        <is>
          <t>0004-0007</t>
        </is>
      </c>
      <c r="D44" t="inlineStr">
        <is>
          <t>73001</t>
        </is>
      </c>
      <c r="E44" t="inlineStr">
        <is>
          <t>2560310</t>
        </is>
      </c>
      <c r="F44" t="inlineStr">
        <is>
          <t>3007016749</t>
        </is>
      </c>
      <c r="G44" t="inlineStr">
        <is>
          <t>OC PUBLICIDAD</t>
        </is>
      </c>
      <c r="H44" t="inlineStr">
        <is>
          <t>TOLIMA</t>
        </is>
      </c>
      <c r="I44" t="inlineStr">
        <is>
          <t>IBAGUE</t>
        </is>
      </c>
      <c r="J44" t="inlineStr">
        <is>
          <t>MATERIALES EMO    IBAGUE</t>
        </is>
      </c>
      <c r="K44" t="inlineStr">
        <is>
          <t>BANCOLOMBIA</t>
        </is>
      </c>
      <c r="L44" t="inlineStr">
        <is>
          <t>FO-25-1334889</t>
        </is>
      </c>
      <c r="M44" s="46" t="n">
        <v>45875.35332175926</v>
      </c>
      <c r="N44" s="46" t="n">
        <v>45883.32430555556</v>
      </c>
      <c r="O44" s="45" t="n">
        <v>0</v>
      </c>
      <c r="P44" t="inlineStr">
        <is>
          <t>CB UNO A UNO</t>
        </is>
      </c>
      <c r="Q44" t="inlineStr">
        <is>
          <t>CB UNO A UNO</t>
        </is>
      </c>
      <c r="R44" t="inlineStr">
        <is>
          <t>EJECUTADO</t>
        </is>
      </c>
      <c r="S44" t="inlineStr">
        <is>
          <t>EJECUTADO EXITOSO</t>
        </is>
      </c>
      <c r="T44" t="inlineStr">
        <is>
          <t>VISITA TECNICA</t>
        </is>
      </c>
      <c r="U44" t="inlineStr"/>
      <c r="V44" t="inlineStr">
        <is>
          <t>TIPO I</t>
        </is>
      </c>
      <c r="W44" t="inlineStr">
        <is>
          <t>TERRESTRE</t>
        </is>
      </c>
      <c r="X44" t="inlineStr">
        <is>
          <t>GUTIERREZ  CAMILO ANDRES</t>
        </is>
      </c>
      <c r="Y44" t="inlineStr">
        <is>
          <t>1</t>
        </is>
      </c>
      <c r="Z44" t="inlineStr">
        <is>
          <t>0</t>
        </is>
      </c>
      <c r="AA44" s="45" t="n">
        <v>96011</v>
      </c>
      <c r="AB44" t="inlineStr">
        <is>
          <t>0</t>
        </is>
      </c>
      <c r="AC44" s="45" t="n">
        <v>153426</v>
      </c>
      <c r="AD44" s="45" t="n">
        <v>0</v>
      </c>
    </row>
    <row r="45">
      <c r="A45" t="inlineStr">
        <is>
          <t>VILLAVICENCIO</t>
        </is>
      </c>
      <c r="B45" t="inlineStr">
        <is>
          <t>REMOTAS</t>
        </is>
      </c>
      <c r="C45" t="inlineStr">
        <is>
          <t>0004-0007</t>
        </is>
      </c>
      <c r="D45" t="inlineStr">
        <is>
          <t>50006</t>
        </is>
      </c>
      <c r="E45" t="inlineStr">
        <is>
          <t>2564860</t>
        </is>
      </c>
      <c r="F45" t="inlineStr">
        <is>
          <t>3007034949</t>
        </is>
      </c>
      <c r="G45" t="inlineStr">
        <is>
          <t>OC PUBLICIDAD</t>
        </is>
      </c>
      <c r="H45" t="inlineStr">
        <is>
          <t>META</t>
        </is>
      </c>
      <c r="I45" t="inlineStr">
        <is>
          <t>ACACIAS</t>
        </is>
      </c>
      <c r="J45" t="inlineStr">
        <is>
          <t>BARRIO CENTRO ACACIAS META 7</t>
        </is>
      </c>
      <c r="K45" t="inlineStr">
        <is>
          <t>BANCOLOMBIA</t>
        </is>
      </c>
      <c r="L45" t="inlineStr">
        <is>
          <t>FO-25-1341025</t>
        </is>
      </c>
      <c r="M45" s="46" t="n">
        <v>45875.65131944444</v>
      </c>
      <c r="N45" s="46" t="n">
        <v>45877.60902777778</v>
      </c>
      <c r="O45" s="45" t="n">
        <v>0</v>
      </c>
      <c r="P45" t="inlineStr">
        <is>
          <t>UNO A UNO</t>
        </is>
      </c>
      <c r="Q45" t="inlineStr">
        <is>
          <t>CB UNO A UNO</t>
        </is>
      </c>
      <c r="R45" t="inlineStr">
        <is>
          <t>EJECUTADO</t>
        </is>
      </c>
      <c r="S45" t="inlineStr">
        <is>
          <t>EJECUTADO EXITOSO</t>
        </is>
      </c>
      <c r="T45" t="inlineStr">
        <is>
          <t>VISITA TECNICA</t>
        </is>
      </c>
      <c r="U45" t="inlineStr"/>
      <c r="V45" t="inlineStr">
        <is>
          <t>TIPO II</t>
        </is>
      </c>
      <c r="W45" t="inlineStr">
        <is>
          <t>TERRESTRE</t>
        </is>
      </c>
      <c r="X45" t="inlineStr">
        <is>
          <t>CASTRILLON URREA LONDIER LEANDRO</t>
        </is>
      </c>
      <c r="Y45" t="inlineStr">
        <is>
          <t>1</t>
        </is>
      </c>
      <c r="Z45" t="inlineStr">
        <is>
          <t>0</t>
        </is>
      </c>
      <c r="AA45" s="45" t="n">
        <v>232859</v>
      </c>
      <c r="AB45" t="inlineStr">
        <is>
          <t>0</t>
        </is>
      </c>
      <c r="AC45" s="45" t="n">
        <v>343667</v>
      </c>
      <c r="AD45" s="45" t="n">
        <v>0</v>
      </c>
    </row>
    <row r="46">
      <c r="A46" t="inlineStr">
        <is>
          <t>MEDELLIN</t>
        </is>
      </c>
      <c r="B46" t="inlineStr">
        <is>
          <t>NOROCCIDENTE</t>
        </is>
      </c>
      <c r="C46" t="inlineStr">
        <is>
          <t>0004-0005</t>
        </is>
      </c>
      <c r="D46" t="inlineStr">
        <is>
          <t>5579</t>
        </is>
      </c>
      <c r="E46" t="inlineStr">
        <is>
          <t>2565523</t>
        </is>
      </c>
      <c r="F46" t="inlineStr">
        <is>
          <t>3007049706</t>
        </is>
      </c>
      <c r="G46" t="inlineStr">
        <is>
          <t>OC PUBLICIDAD</t>
        </is>
      </c>
      <c r="H46" t="inlineStr">
        <is>
          <t>ANTIOQUIA</t>
        </is>
      </c>
      <c r="I46" t="inlineStr">
        <is>
          <t>PUERTO BERRIO</t>
        </is>
      </c>
      <c r="J46" t="inlineStr">
        <is>
          <t>DISTRICOL TELEMAR ACCESORIOS 2</t>
        </is>
      </c>
      <c r="K46" t="inlineStr">
        <is>
          <t>BANCOLOMBIA</t>
        </is>
      </c>
      <c r="L46" t="inlineStr">
        <is>
          <t>FO-25-1341452</t>
        </is>
      </c>
      <c r="M46" s="46" t="n">
        <v>45875.68795138889</v>
      </c>
      <c r="N46" s="46" t="n">
        <v>45882.69166666667</v>
      </c>
      <c r="O46" s="45" t="n">
        <v>0</v>
      </c>
      <c r="P46" t="inlineStr">
        <is>
          <t>AGREGADOR</t>
        </is>
      </c>
      <c r="Q46" t="inlineStr">
        <is>
          <t>DISTRICOL</t>
        </is>
      </c>
      <c r="R46" t="inlineStr">
        <is>
          <t>EJECUTADO</t>
        </is>
      </c>
      <c r="S46" t="inlineStr">
        <is>
          <t>EJECUTADO EXITOSO</t>
        </is>
      </c>
      <c r="T46" t="inlineStr">
        <is>
          <t>VISITA TECNICA</t>
        </is>
      </c>
      <c r="U46" t="inlineStr"/>
      <c r="V46" t="inlineStr">
        <is>
          <t>TIPO III</t>
        </is>
      </c>
      <c r="W46" t="inlineStr">
        <is>
          <t>TERRESTRE</t>
        </is>
      </c>
      <c r="X46" t="inlineStr">
        <is>
          <t>PAREJA ECHAVARRIA JHON DAVID</t>
        </is>
      </c>
      <c r="Y46" t="inlineStr">
        <is>
          <t>1</t>
        </is>
      </c>
      <c r="Z46" t="inlineStr">
        <is>
          <t>0</t>
        </is>
      </c>
      <c r="AA46" s="45" t="n">
        <v>344775</v>
      </c>
      <c r="AB46" t="inlineStr">
        <is>
          <t>0</t>
        </is>
      </c>
      <c r="AC46" s="45" t="n">
        <v>455583</v>
      </c>
      <c r="AD46" s="45" t="n">
        <v>0</v>
      </c>
    </row>
    <row r="47">
      <c r="A47" t="inlineStr">
        <is>
          <t>CALI</t>
        </is>
      </c>
      <c r="B47" t="inlineStr">
        <is>
          <t>SUROCCIDENTE Y EJE CAFETERO</t>
        </is>
      </c>
      <c r="C47" t="inlineStr">
        <is>
          <t>0004-0003</t>
        </is>
      </c>
      <c r="D47" t="inlineStr">
        <is>
          <t>76001</t>
        </is>
      </c>
      <c r="E47" t="inlineStr">
        <is>
          <t>2565829</t>
        </is>
      </c>
      <c r="F47" t="inlineStr">
        <is>
          <t>3007077340</t>
        </is>
      </c>
      <c r="G47" t="inlineStr">
        <is>
          <t>OC PUBLICIDAD</t>
        </is>
      </c>
      <c r="H47" t="inlineStr">
        <is>
          <t>VALLE DEL CAUCA</t>
        </is>
      </c>
      <c r="I47" t="inlineStr">
        <is>
          <t>CALI</t>
        </is>
      </c>
      <c r="J47" t="inlineStr">
        <is>
          <t>BARRIO LA PRIMAVERA CALI  1</t>
        </is>
      </c>
      <c r="K47" t="inlineStr">
        <is>
          <t>BANCOLOMBIA</t>
        </is>
      </c>
      <c r="L47" t="inlineStr">
        <is>
          <t>FO-25-1341482</t>
        </is>
      </c>
      <c r="M47" s="46" t="n">
        <v>45875.71508101852</v>
      </c>
      <c r="N47" s="46" t="n">
        <v>45877.51944444444</v>
      </c>
      <c r="O47" s="45" t="n">
        <v>0</v>
      </c>
      <c r="P47" t="inlineStr">
        <is>
          <t>CB UNO A UNO</t>
        </is>
      </c>
      <c r="Q47" t="inlineStr">
        <is>
          <t>CB UNO A UNO</t>
        </is>
      </c>
      <c r="R47" t="inlineStr">
        <is>
          <t>EJECUTADO</t>
        </is>
      </c>
      <c r="S47" t="inlineStr">
        <is>
          <t>EJECUTADO EXITOSO</t>
        </is>
      </c>
      <c r="T47" t="inlineStr">
        <is>
          <t>VISITA TECNICA</t>
        </is>
      </c>
      <c r="U47" t="inlineStr"/>
      <c r="V47" t="inlineStr">
        <is>
          <t>TIPO I</t>
        </is>
      </c>
      <c r="W47" t="inlineStr">
        <is>
          <t>TERRESTRE</t>
        </is>
      </c>
      <c r="X47" t="inlineStr">
        <is>
          <t>CUERO RUIZ JHONNY</t>
        </is>
      </c>
      <c r="Y47" t="inlineStr">
        <is>
          <t>1</t>
        </is>
      </c>
      <c r="Z47" t="inlineStr">
        <is>
          <t>0</t>
        </is>
      </c>
      <c r="AA47" s="45" t="n">
        <v>96011</v>
      </c>
      <c r="AB47" t="inlineStr">
        <is>
          <t>0</t>
        </is>
      </c>
      <c r="AC47" s="45" t="n">
        <v>153426</v>
      </c>
      <c r="AD47" s="45" t="n">
        <v>0</v>
      </c>
    </row>
    <row r="48">
      <c r="A48" t="inlineStr">
        <is>
          <t>PEREIRA</t>
        </is>
      </c>
      <c r="B48" t="inlineStr">
        <is>
          <t>SUROCCIDENTE Y EJE CAFETERO</t>
        </is>
      </c>
      <c r="C48" t="inlineStr">
        <is>
          <t>0004-0002</t>
        </is>
      </c>
      <c r="D48" t="inlineStr">
        <is>
          <t>76895</t>
        </is>
      </c>
      <c r="E48" t="inlineStr">
        <is>
          <t>2568651</t>
        </is>
      </c>
      <c r="F48" t="inlineStr">
        <is>
          <t>3007069635</t>
        </is>
      </c>
      <c r="G48" t="inlineStr">
        <is>
          <t>OC PUBLICIDAD</t>
        </is>
      </c>
      <c r="H48" t="inlineStr">
        <is>
          <t>VALLE DEL CAUCA</t>
        </is>
      </c>
      <c r="I48" t="inlineStr">
        <is>
          <t>ZARZAL</t>
        </is>
      </c>
      <c r="J48" t="inlineStr">
        <is>
          <t>BARRIO CENTRO ZARZAL 6</t>
        </is>
      </c>
      <c r="K48" t="inlineStr">
        <is>
          <t>BANCOLOMBIA</t>
        </is>
      </c>
      <c r="L48" t="inlineStr">
        <is>
          <t>FO-25-1348180</t>
        </is>
      </c>
      <c r="M48" s="46" t="n">
        <v>45877.37190972222</v>
      </c>
      <c r="N48" s="46" t="n">
        <v>45878.63819444444</v>
      </c>
      <c r="O48" s="45" t="n">
        <v>0</v>
      </c>
      <c r="P48" t="inlineStr">
        <is>
          <t>CB UNO A UNO</t>
        </is>
      </c>
      <c r="Q48" t="inlineStr">
        <is>
          <t>CB UNO A UNO</t>
        </is>
      </c>
      <c r="R48" t="inlineStr">
        <is>
          <t>EJECUTADO</t>
        </is>
      </c>
      <c r="S48" t="inlineStr">
        <is>
          <t>EJECUTADO EXITOSO</t>
        </is>
      </c>
      <c r="T48" t="inlineStr">
        <is>
          <t>VISITA TECNICA</t>
        </is>
      </c>
      <c r="U48" t="inlineStr"/>
      <c r="V48" t="inlineStr">
        <is>
          <t>TIPO III</t>
        </is>
      </c>
      <c r="W48" t="inlineStr">
        <is>
          <t>TERRESTRE</t>
        </is>
      </c>
      <c r="X48" t="inlineStr">
        <is>
          <t>FRANCO CAÑAVERAL YAMID RAUL</t>
        </is>
      </c>
      <c r="Y48" t="inlineStr">
        <is>
          <t>1</t>
        </is>
      </c>
      <c r="Z48" t="inlineStr">
        <is>
          <t>0</t>
        </is>
      </c>
      <c r="AA48" s="45" t="n">
        <v>344775</v>
      </c>
      <c r="AB48" t="inlineStr">
        <is>
          <t>0</t>
        </is>
      </c>
      <c r="AC48" s="45" t="n">
        <v>455583</v>
      </c>
      <c r="AD48" s="45" t="n">
        <v>0</v>
      </c>
    </row>
    <row r="49">
      <c r="A49" t="inlineStr">
        <is>
          <t>CALI</t>
        </is>
      </c>
      <c r="B49" t="inlineStr">
        <is>
          <t>SUROCCIDENTE Y EJE CAFETERO</t>
        </is>
      </c>
      <c r="C49" t="inlineStr">
        <is>
          <t>0004-0003</t>
        </is>
      </c>
      <c r="D49" t="inlineStr">
        <is>
          <t>76001</t>
        </is>
      </c>
      <c r="E49" t="inlineStr">
        <is>
          <t>2571295</t>
        </is>
      </c>
      <c r="F49" t="inlineStr">
        <is>
          <t>3007079753</t>
        </is>
      </c>
      <c r="G49" t="inlineStr">
        <is>
          <t>OC PUBLICIDAD</t>
        </is>
      </c>
      <c r="H49" t="inlineStr">
        <is>
          <t>VALLE DEL CAUCA</t>
        </is>
      </c>
      <c r="I49" t="inlineStr">
        <is>
          <t>CALI</t>
        </is>
      </c>
      <c r="J49" t="inlineStr">
        <is>
          <t>BARRIO CENTRO CALI 42</t>
        </is>
      </c>
      <c r="K49" t="inlineStr">
        <is>
          <t>BANCOLOMBIA</t>
        </is>
      </c>
      <c r="L49" t="inlineStr">
        <is>
          <t>FO-25-1350763</t>
        </is>
      </c>
      <c r="M49" s="46" t="n">
        <v>45877.58496527778</v>
      </c>
      <c r="N49" s="46" t="n">
        <v>45878.63541666666</v>
      </c>
      <c r="O49" s="45" t="n">
        <v>0</v>
      </c>
      <c r="P49" t="inlineStr">
        <is>
          <t>CB UNO A UNO</t>
        </is>
      </c>
      <c r="Q49" t="inlineStr">
        <is>
          <t>CB UNO A UNO</t>
        </is>
      </c>
      <c r="R49" t="inlineStr">
        <is>
          <t>EJECUTADO</t>
        </is>
      </c>
      <c r="S49" t="inlineStr">
        <is>
          <t>EJECUTADO EXITOSO</t>
        </is>
      </c>
      <c r="T49" t="inlineStr">
        <is>
          <t>VISITA TECNICA</t>
        </is>
      </c>
      <c r="U49" t="inlineStr"/>
      <c r="V49" t="inlineStr">
        <is>
          <t>TIPO I</t>
        </is>
      </c>
      <c r="W49" t="inlineStr">
        <is>
          <t>TERRESTRE</t>
        </is>
      </c>
      <c r="X49" t="inlineStr">
        <is>
          <t>TORRES GARCIA JENDRY JOSE</t>
        </is>
      </c>
      <c r="Y49" t="inlineStr">
        <is>
          <t>1</t>
        </is>
      </c>
      <c r="Z49" t="inlineStr">
        <is>
          <t>0</t>
        </is>
      </c>
      <c r="AA49" s="45" t="n">
        <v>96011</v>
      </c>
      <c r="AB49" t="inlineStr">
        <is>
          <t>0</t>
        </is>
      </c>
      <c r="AC49" s="45" t="n">
        <v>153426</v>
      </c>
      <c r="AD49" s="45" t="n">
        <v>0</v>
      </c>
    </row>
    <row r="50">
      <c r="A50" t="inlineStr">
        <is>
          <t>VILLAVICENCIO</t>
        </is>
      </c>
      <c r="B50" t="inlineStr">
        <is>
          <t>REMOTAS</t>
        </is>
      </c>
      <c r="C50" t="inlineStr">
        <is>
          <t>0004-0007</t>
        </is>
      </c>
      <c r="D50" t="inlineStr">
        <is>
          <t>50001</t>
        </is>
      </c>
      <c r="E50" t="inlineStr">
        <is>
          <t>2574163</t>
        </is>
      </c>
      <c r="F50" t="inlineStr">
        <is>
          <t>3007043732</t>
        </is>
      </c>
      <c r="G50" t="inlineStr">
        <is>
          <t>OC PUBLICIDAD</t>
        </is>
      </c>
      <c r="H50" t="inlineStr">
        <is>
          <t>META</t>
        </is>
      </c>
      <c r="I50" t="inlineStr">
        <is>
          <t>VILLAVICENCIO</t>
        </is>
      </c>
      <c r="J50" t="inlineStr">
        <is>
          <t>BARRIO ESPERANZA VILLAVICENCIO</t>
        </is>
      </c>
      <c r="K50" t="inlineStr">
        <is>
          <t>BANCOLOMBIA</t>
        </is>
      </c>
      <c r="L50" t="inlineStr">
        <is>
          <t>FO-25-1354487</t>
        </is>
      </c>
      <c r="M50" s="46" t="n">
        <v>45878.49070601852</v>
      </c>
      <c r="N50" s="46" t="n">
        <v>45882.68680555555</v>
      </c>
      <c r="O50" s="45" t="n">
        <v>0</v>
      </c>
      <c r="P50" t="inlineStr">
        <is>
          <t>CB UNO A UNO</t>
        </is>
      </c>
      <c r="Q50" t="inlineStr">
        <is>
          <t>CB UNO A UNO</t>
        </is>
      </c>
      <c r="R50" t="inlineStr">
        <is>
          <t>EJECUTADO / CANCELADO</t>
        </is>
      </c>
      <c r="S50" t="inlineStr">
        <is>
          <t>PETICIÓN BANCOLOMBIA</t>
        </is>
      </c>
      <c r="T50" t="inlineStr">
        <is>
          <t>VISITA TECNICA</t>
        </is>
      </c>
      <c r="U50" t="inlineStr"/>
      <c r="V50" t="inlineStr">
        <is>
          <t>TIPO I</t>
        </is>
      </c>
      <c r="W50" t="inlineStr">
        <is>
          <t>TERRESTRE</t>
        </is>
      </c>
      <c r="X50" t="inlineStr">
        <is>
          <t>PEDREROS CONTRERAS MICHAEL STEVENS</t>
        </is>
      </c>
      <c r="Y50" t="inlineStr">
        <is>
          <t>1</t>
        </is>
      </c>
      <c r="Z50" t="inlineStr">
        <is>
          <t>0</t>
        </is>
      </c>
      <c r="AA50" s="45" t="n">
        <v>96011</v>
      </c>
      <c r="AB50" t="inlineStr">
        <is>
          <t>0</t>
        </is>
      </c>
      <c r="AC50" s="45" t="n">
        <v>210841</v>
      </c>
      <c r="AD50" s="45" t="n">
        <v>0</v>
      </c>
    </row>
    <row r="51">
      <c r="A51" t="inlineStr">
        <is>
          <t>CUCUTA</t>
        </is>
      </c>
      <c r="B51" t="inlineStr">
        <is>
          <t>SANTANDERES</t>
        </is>
      </c>
      <c r="C51" t="inlineStr">
        <is>
          <t>0004-0008</t>
        </is>
      </c>
      <c r="D51" t="inlineStr">
        <is>
          <t>54001</t>
        </is>
      </c>
      <c r="E51" t="inlineStr">
        <is>
          <t>2579101</t>
        </is>
      </c>
      <c r="F51" t="inlineStr">
        <is>
          <t>3007037749</t>
        </is>
      </c>
      <c r="G51" t="inlineStr">
        <is>
          <t>OC PUBLICIDAD</t>
        </is>
      </c>
      <c r="H51" t="inlineStr">
        <is>
          <t>NORTE DE SANTANDER</t>
        </is>
      </c>
      <c r="I51" t="inlineStr">
        <is>
          <t>CUCUTA</t>
        </is>
      </c>
      <c r="J51" t="inlineStr">
        <is>
          <t>BARRIO BELLAVISTA CUCUTA 1</t>
        </is>
      </c>
      <c r="K51" t="inlineStr">
        <is>
          <t>BANCOLOMBIA</t>
        </is>
      </c>
      <c r="L51" t="inlineStr">
        <is>
          <t>FO-25-1360898</t>
        </is>
      </c>
      <c r="M51" s="46" t="n">
        <v>45880.4828125</v>
      </c>
      <c r="N51" s="46" t="n">
        <v>45881.46875</v>
      </c>
      <c r="O51" s="45" t="n">
        <v>0</v>
      </c>
      <c r="P51" t="inlineStr">
        <is>
          <t>CB UNO A UNO</t>
        </is>
      </c>
      <c r="Q51" t="inlineStr">
        <is>
          <t>CB UNO A UNO</t>
        </is>
      </c>
      <c r="R51" t="inlineStr">
        <is>
          <t>EJECUTADO</t>
        </is>
      </c>
      <c r="S51" t="inlineStr">
        <is>
          <t>EJECUTADO EXITOSO</t>
        </is>
      </c>
      <c r="T51" t="inlineStr">
        <is>
          <t>VISITA TECNICA</t>
        </is>
      </c>
      <c r="U51" t="inlineStr"/>
      <c r="V51" t="inlineStr">
        <is>
          <t>TIPO I</t>
        </is>
      </c>
      <c r="W51" t="inlineStr">
        <is>
          <t>TERRESTRE</t>
        </is>
      </c>
      <c r="X51" t="inlineStr">
        <is>
          <t>DURAN ACOSTA FRANK YONNY</t>
        </is>
      </c>
      <c r="Y51" t="inlineStr">
        <is>
          <t>1</t>
        </is>
      </c>
      <c r="Z51" t="inlineStr">
        <is>
          <t>0</t>
        </is>
      </c>
      <c r="AA51" s="45" t="n">
        <v>96011</v>
      </c>
      <c r="AB51" t="inlineStr">
        <is>
          <t>0</t>
        </is>
      </c>
      <c r="AC51" s="45" t="n">
        <v>153426</v>
      </c>
      <c r="AD51" s="45" t="n">
        <v>0</v>
      </c>
    </row>
    <row r="52">
      <c r="A52" t="inlineStr">
        <is>
          <t>MEDELLIN</t>
        </is>
      </c>
      <c r="B52" t="inlineStr">
        <is>
          <t>NOROCCIDENTE</t>
        </is>
      </c>
      <c r="C52" t="inlineStr">
        <is>
          <t>0004-0005</t>
        </is>
      </c>
      <c r="D52" t="inlineStr">
        <is>
          <t>5001</t>
        </is>
      </c>
      <c r="E52" t="inlineStr">
        <is>
          <t>2579185</t>
        </is>
      </c>
      <c r="F52" t="inlineStr">
        <is>
          <t>3007027657</t>
        </is>
      </c>
      <c r="G52" t="inlineStr">
        <is>
          <t>OC PUBLICIDAD</t>
        </is>
      </c>
      <c r="H52" t="inlineStr">
        <is>
          <t>ANTIOQUIA</t>
        </is>
      </c>
      <c r="I52" t="inlineStr">
        <is>
          <t>MEDELLIN</t>
        </is>
      </c>
      <c r="J52" t="inlineStr">
        <is>
          <t>DISTRICOL CELUMAX LTE</t>
        </is>
      </c>
      <c r="K52" t="inlineStr">
        <is>
          <t>BANCOLOMBIA</t>
        </is>
      </c>
      <c r="L52" t="inlineStr">
        <is>
          <t>FO-25-1360893</t>
        </is>
      </c>
      <c r="M52" s="46" t="n">
        <v>45880.49924768518</v>
      </c>
      <c r="N52" s="46" t="n">
        <v>45884.47708333333</v>
      </c>
      <c r="O52" s="45" t="n">
        <v>0</v>
      </c>
      <c r="P52" t="inlineStr">
        <is>
          <t>AGREGADOR</t>
        </is>
      </c>
      <c r="Q52" t="inlineStr">
        <is>
          <t>DISTRICOL</t>
        </is>
      </c>
      <c r="R52" t="inlineStr">
        <is>
          <t>EJECUTADO</t>
        </is>
      </c>
      <c r="S52" t="inlineStr">
        <is>
          <t>EJECUTADO EXITOSO</t>
        </is>
      </c>
      <c r="T52" t="inlineStr">
        <is>
          <t>VISITA TECNICA</t>
        </is>
      </c>
      <c r="U52" t="inlineStr"/>
      <c r="V52" t="inlineStr">
        <is>
          <t>TIPO I</t>
        </is>
      </c>
      <c r="W52" t="inlineStr">
        <is>
          <t>TERRESTRE</t>
        </is>
      </c>
      <c r="X52" t="inlineStr">
        <is>
          <t>QUINTERO SANCHEZ JUAN SEBASTIAN</t>
        </is>
      </c>
      <c r="Y52" t="inlineStr">
        <is>
          <t>1</t>
        </is>
      </c>
      <c r="Z52" t="inlineStr">
        <is>
          <t>0</t>
        </is>
      </c>
      <c r="AA52" s="45" t="n">
        <v>96011</v>
      </c>
      <c r="AB52" t="inlineStr">
        <is>
          <t>0</t>
        </is>
      </c>
      <c r="AC52" s="45" t="n">
        <v>153426</v>
      </c>
      <c r="AD52" s="45" t="n">
        <v>0</v>
      </c>
    </row>
    <row r="53">
      <c r="A53" t="inlineStr">
        <is>
          <t>MEDELLIN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5001</t>
        </is>
      </c>
      <c r="E53" t="inlineStr">
        <is>
          <t>2584059</t>
        </is>
      </c>
      <c r="F53" t="inlineStr">
        <is>
          <t>3007033409</t>
        </is>
      </c>
      <c r="G53" t="inlineStr">
        <is>
          <t>OC PUBLICIDAD</t>
        </is>
      </c>
      <c r="H53" t="inlineStr">
        <is>
          <t>ANTIOQUIA</t>
        </is>
      </c>
      <c r="I53" t="inlineStr">
        <is>
          <t>MEDELLIN</t>
        </is>
      </c>
      <c r="J53" t="inlineStr">
        <is>
          <t>COMCARD MED PELUQUERO PICACHO</t>
        </is>
      </c>
      <c r="K53" t="inlineStr">
        <is>
          <t>BANCOLOMBIA</t>
        </is>
      </c>
      <c r="L53" t="inlineStr">
        <is>
          <t>FO-25-1364318</t>
        </is>
      </c>
      <c r="M53" s="46" t="n">
        <v>45881.38958333333</v>
      </c>
      <c r="N53" s="46" t="n">
        <v>45884.48125</v>
      </c>
      <c r="O53" s="45" t="n">
        <v>0</v>
      </c>
      <c r="P53" t="inlineStr">
        <is>
          <t>AGREGADOR</t>
        </is>
      </c>
      <c r="Q53" t="inlineStr">
        <is>
          <t>COMCARD - PTM</t>
        </is>
      </c>
      <c r="R53" t="inlineStr">
        <is>
          <t>EJECUTADO</t>
        </is>
      </c>
      <c r="S53" t="inlineStr">
        <is>
          <t>EJECUTADO EXITOSO</t>
        </is>
      </c>
      <c r="T53" t="inlineStr">
        <is>
          <t>VISITA TECNICA</t>
        </is>
      </c>
      <c r="U53" t="inlineStr"/>
      <c r="V53" t="inlineStr">
        <is>
          <t>TIPO I</t>
        </is>
      </c>
      <c r="W53" t="inlineStr">
        <is>
          <t>TERRESTRE</t>
        </is>
      </c>
      <c r="X53" t="inlineStr">
        <is>
          <t>QUINTERO SANCHEZ JUAN SEBASTIAN</t>
        </is>
      </c>
      <c r="Y53" t="inlineStr">
        <is>
          <t>1</t>
        </is>
      </c>
      <c r="Z53" t="inlineStr">
        <is>
          <t>0</t>
        </is>
      </c>
      <c r="AA53" s="45" t="n">
        <v>96011</v>
      </c>
      <c r="AB53" t="inlineStr">
        <is>
          <t>0</t>
        </is>
      </c>
      <c r="AC53" s="45" t="n">
        <v>153426</v>
      </c>
      <c r="AD53" s="45" t="n">
        <v>0</v>
      </c>
    </row>
    <row r="54">
      <c r="A54" t="inlineStr">
        <is>
          <t>CUCUTA</t>
        </is>
      </c>
      <c r="B54" t="inlineStr">
        <is>
          <t>SANTANDERES</t>
        </is>
      </c>
      <c r="C54" t="inlineStr">
        <is>
          <t>0004-0008</t>
        </is>
      </c>
      <c r="D54" t="inlineStr">
        <is>
          <t>54001</t>
        </is>
      </c>
      <c r="E54" t="inlineStr">
        <is>
          <t>2584734</t>
        </is>
      </c>
      <c r="F54" t="inlineStr">
        <is>
          <t>3007054891</t>
        </is>
      </c>
      <c r="G54" t="inlineStr">
        <is>
          <t>OC PUBLICIDAD</t>
        </is>
      </c>
      <c r="H54" t="inlineStr">
        <is>
          <t>NORTE DE SANTANDER</t>
        </is>
      </c>
      <c r="I54" t="inlineStr">
        <is>
          <t>CUCUTA</t>
        </is>
      </c>
      <c r="J54" t="inlineStr">
        <is>
          <t>BARRIO CALLEJON CUCUTA 9</t>
        </is>
      </c>
      <c r="K54" t="inlineStr">
        <is>
          <t>BANCOLOMBIA</t>
        </is>
      </c>
      <c r="L54" t="inlineStr">
        <is>
          <t>FO-25-1364784</t>
        </is>
      </c>
      <c r="M54" s="46" t="n">
        <v>45881.42638888889</v>
      </c>
      <c r="N54" s="46" t="n">
        <v>45882.68055555555</v>
      </c>
      <c r="O54" s="45" t="n">
        <v>0</v>
      </c>
      <c r="P54" t="inlineStr">
        <is>
          <t>CB UNO A UNO</t>
        </is>
      </c>
      <c r="Q54" t="inlineStr">
        <is>
          <t>CB UNO A UNO</t>
        </is>
      </c>
      <c r="R54" t="inlineStr">
        <is>
          <t>EJECUTADO</t>
        </is>
      </c>
      <c r="S54" t="inlineStr">
        <is>
          <t>EJECUTADO EXITOSO</t>
        </is>
      </c>
      <c r="T54" t="inlineStr">
        <is>
          <t>VISITA TECNICA</t>
        </is>
      </c>
      <c r="U54" t="inlineStr"/>
      <c r="V54" t="inlineStr">
        <is>
          <t>TIPO I</t>
        </is>
      </c>
      <c r="W54" t="inlineStr">
        <is>
          <t>TERRESTRE</t>
        </is>
      </c>
      <c r="X54" t="inlineStr">
        <is>
          <t>NARANJO AFANADOR RUBEN JESUS</t>
        </is>
      </c>
      <c r="Y54" t="inlineStr">
        <is>
          <t>1</t>
        </is>
      </c>
      <c r="Z54" t="inlineStr">
        <is>
          <t>0</t>
        </is>
      </c>
      <c r="AA54" s="45" t="n">
        <v>96011</v>
      </c>
      <c r="AB54" t="inlineStr">
        <is>
          <t>0</t>
        </is>
      </c>
      <c r="AC54" s="45" t="n">
        <v>153426</v>
      </c>
      <c r="AD54" s="45" t="n">
        <v>0</v>
      </c>
    </row>
    <row r="55">
      <c r="A55" t="inlineStr">
        <is>
          <t>SANTA MARTA</t>
        </is>
      </c>
      <c r="B55" t="inlineStr">
        <is>
          <t>COSTA</t>
        </is>
      </c>
      <c r="C55" t="inlineStr">
        <is>
          <t>0004-0001</t>
        </is>
      </c>
      <c r="D55" t="inlineStr">
        <is>
          <t>47001</t>
        </is>
      </c>
      <c r="E55" t="inlineStr">
        <is>
          <t>2586459</t>
        </is>
      </c>
      <c r="F55" t="inlineStr">
        <is>
          <t>3007061209</t>
        </is>
      </c>
      <c r="G55" t="inlineStr">
        <is>
          <t>OC PUBLICIDAD</t>
        </is>
      </c>
      <c r="H55" t="inlineStr">
        <is>
          <t>MAGDALENA</t>
        </is>
      </c>
      <c r="I55" t="inlineStr">
        <is>
          <t>SANTA MARTA</t>
        </is>
      </c>
      <c r="J55" t="inlineStr">
        <is>
          <t>BARRIO LA LUCHA SANTA MARTA 1</t>
        </is>
      </c>
      <c r="K55" t="inlineStr">
        <is>
          <t>BANCOLOMBIA</t>
        </is>
      </c>
      <c r="L55" t="inlineStr">
        <is>
          <t>FO-25-1366803</t>
        </is>
      </c>
      <c r="M55" s="46" t="n">
        <v>45881.55902777778</v>
      </c>
      <c r="N55" s="46" t="n">
        <v>45882.56527777778</v>
      </c>
      <c r="O55" s="45" t="n">
        <v>0</v>
      </c>
      <c r="P55" t="inlineStr">
        <is>
          <t>CB UNO A UNO</t>
        </is>
      </c>
      <c r="Q55" t="inlineStr">
        <is>
          <t>CB UNO A UNO</t>
        </is>
      </c>
      <c r="R55" t="inlineStr">
        <is>
          <t>EJECUTADO</t>
        </is>
      </c>
      <c r="S55" t="inlineStr">
        <is>
          <t>EJECUTADO EXITOSO</t>
        </is>
      </c>
      <c r="T55" t="inlineStr">
        <is>
          <t>VISITA TECNICA</t>
        </is>
      </c>
      <c r="U55" t="inlineStr"/>
      <c r="V55" t="inlineStr">
        <is>
          <t>TIPO I</t>
        </is>
      </c>
      <c r="W55" t="inlineStr">
        <is>
          <t>TERRESTRE</t>
        </is>
      </c>
      <c r="X55" t="inlineStr">
        <is>
          <t>THOMAS  CAMPO SIGIFREDO SEGUNDO</t>
        </is>
      </c>
      <c r="Y55" t="inlineStr">
        <is>
          <t>1</t>
        </is>
      </c>
      <c r="Z55" t="inlineStr">
        <is>
          <t>0</t>
        </is>
      </c>
      <c r="AA55" s="45" t="n">
        <v>96011</v>
      </c>
      <c r="AB55" t="inlineStr">
        <is>
          <t>0</t>
        </is>
      </c>
      <c r="AC55" s="45" t="n">
        <v>153426</v>
      </c>
      <c r="AD55" s="45" t="n">
        <v>0</v>
      </c>
    </row>
    <row r="56">
      <c r="A56" t="inlineStr">
        <is>
          <t>TUNJA</t>
        </is>
      </c>
      <c r="B56" t="inlineStr">
        <is>
          <t>SANTANDERES</t>
        </is>
      </c>
      <c r="C56" t="inlineStr">
        <is>
          <t>0004-0008</t>
        </is>
      </c>
      <c r="D56" t="inlineStr">
        <is>
          <t>15238</t>
        </is>
      </c>
      <c r="E56" t="inlineStr">
        <is>
          <t>2586687</t>
        </is>
      </c>
      <c r="F56" t="inlineStr">
        <is>
          <t>3007041496</t>
        </is>
      </c>
      <c r="G56" t="inlineStr">
        <is>
          <t>OC PUBLICIDAD</t>
        </is>
      </c>
      <c r="H56" t="inlineStr">
        <is>
          <t>BOYACA</t>
        </is>
      </c>
      <c r="I56" t="inlineStr">
        <is>
          <t>DUITAMA</t>
        </is>
      </c>
      <c r="J56" t="inlineStr">
        <is>
          <t>BARRIO CENTRO DUITAMA 10</t>
        </is>
      </c>
      <c r="K56" t="inlineStr">
        <is>
          <t>BANCOLOMBIA</t>
        </is>
      </c>
      <c r="L56" t="inlineStr">
        <is>
          <t>FO-25-1367166</t>
        </is>
      </c>
      <c r="M56" s="46" t="n">
        <v>45881.59097222222</v>
      </c>
      <c r="N56" s="46" t="n">
        <v>45883.63263888889</v>
      </c>
      <c r="O56" s="45" t="n">
        <v>0</v>
      </c>
      <c r="P56" t="inlineStr">
        <is>
          <t>CB UNO A UNO</t>
        </is>
      </c>
      <c r="Q56" t="inlineStr">
        <is>
          <t>CB UNO A UNO</t>
        </is>
      </c>
      <c r="R56" t="inlineStr">
        <is>
          <t>EJECUTADO</t>
        </is>
      </c>
      <c r="S56" t="inlineStr">
        <is>
          <t>EJECUTADO EXITOSO</t>
        </is>
      </c>
      <c r="T56" t="inlineStr">
        <is>
          <t>VISITA TECNICA</t>
        </is>
      </c>
      <c r="U56" t="inlineStr"/>
      <c r="V56" t="inlineStr">
        <is>
          <t>TIPO II</t>
        </is>
      </c>
      <c r="W56" t="inlineStr">
        <is>
          <t>TERRESTRE</t>
        </is>
      </c>
      <c r="X56" t="inlineStr">
        <is>
          <t>RODRIGUEZ MURCIA YERSON IVAN</t>
        </is>
      </c>
      <c r="Y56" t="inlineStr">
        <is>
          <t>1</t>
        </is>
      </c>
      <c r="Z56" t="inlineStr">
        <is>
          <t>0</t>
        </is>
      </c>
      <c r="AA56" s="45" t="n">
        <v>232859</v>
      </c>
      <c r="AB56" t="inlineStr">
        <is>
          <t>0</t>
        </is>
      </c>
      <c r="AC56" s="45" t="n">
        <v>343667</v>
      </c>
      <c r="AD56" s="45" t="n">
        <v>0</v>
      </c>
    </row>
    <row r="57">
      <c r="A57" t="inlineStr">
        <is>
          <t>VILLAVICENCIO</t>
        </is>
      </c>
      <c r="B57" t="inlineStr">
        <is>
          <t>REMOTAS</t>
        </is>
      </c>
      <c r="C57" t="inlineStr">
        <is>
          <t>0004-0007</t>
        </is>
      </c>
      <c r="D57" t="inlineStr">
        <is>
          <t>50001</t>
        </is>
      </c>
      <c r="E57" t="inlineStr">
        <is>
          <t>2586832</t>
        </is>
      </c>
      <c r="F57" t="inlineStr">
        <is>
          <t>3007053028</t>
        </is>
      </c>
      <c r="G57" t="inlineStr">
        <is>
          <t>OC PUBLICIDAD</t>
        </is>
      </c>
      <c r="H57" t="inlineStr">
        <is>
          <t>META</t>
        </is>
      </c>
      <c r="I57" t="inlineStr">
        <is>
          <t>VILLAVICENCIO</t>
        </is>
      </c>
      <c r="J57" t="inlineStr">
        <is>
          <t>BARRIO CENTRO VILLAVICENCIO 13</t>
        </is>
      </c>
      <c r="K57" t="inlineStr">
        <is>
          <t>BANCOLOMBIA</t>
        </is>
      </c>
      <c r="L57" t="inlineStr">
        <is>
          <t>FO-25-1367127</t>
        </is>
      </c>
      <c r="M57" s="46" t="n">
        <v>45881.58958333333</v>
      </c>
      <c r="N57" s="46" t="n">
        <v>45883.63402777778</v>
      </c>
      <c r="O57" s="45" t="n">
        <v>0</v>
      </c>
      <c r="P57" t="inlineStr">
        <is>
          <t>CB UNO A UNO</t>
        </is>
      </c>
      <c r="Q57" t="inlineStr">
        <is>
          <t>CB UNO A UNO</t>
        </is>
      </c>
      <c r="R57" t="inlineStr">
        <is>
          <t>EJECUTADO</t>
        </is>
      </c>
      <c r="S57" t="inlineStr">
        <is>
          <t>EJECUTADO EXITOSO</t>
        </is>
      </c>
      <c r="T57" t="inlineStr">
        <is>
          <t>VISITA TECNICA</t>
        </is>
      </c>
      <c r="U57" t="inlineStr"/>
      <c r="V57" t="inlineStr">
        <is>
          <t>TIPO I</t>
        </is>
      </c>
      <c r="W57" t="inlineStr">
        <is>
          <t>TERRESTRE</t>
        </is>
      </c>
      <c r="X57" t="inlineStr">
        <is>
          <t>CASTRILLON URREA LONDIER LEANDRO</t>
        </is>
      </c>
      <c r="Y57" t="inlineStr">
        <is>
          <t>1</t>
        </is>
      </c>
      <c r="Z57" t="inlineStr">
        <is>
          <t>0</t>
        </is>
      </c>
      <c r="AA57" s="45" t="n">
        <v>96011</v>
      </c>
      <c r="AB57" t="inlineStr">
        <is>
          <t>0</t>
        </is>
      </c>
      <c r="AC57" s="45" t="n">
        <v>153426</v>
      </c>
      <c r="AD57" s="45" t="n">
        <v>0</v>
      </c>
    </row>
    <row r="58">
      <c r="A58" t="inlineStr">
        <is>
          <t>BOGOTA</t>
        </is>
      </c>
      <c r="B58" t="inlineStr">
        <is>
          <t>CUNDINAMARCA</t>
        </is>
      </c>
      <c r="C58" t="inlineStr">
        <is>
          <t>0004-0004</t>
        </is>
      </c>
      <c r="D58" t="inlineStr">
        <is>
          <t>11001</t>
        </is>
      </c>
      <c r="E58" t="inlineStr">
        <is>
          <t>2592655</t>
        </is>
      </c>
      <c r="F58" t="inlineStr">
        <is>
          <t>3007076787</t>
        </is>
      </c>
      <c r="G58" t="inlineStr">
        <is>
          <t>OC PUBLICIDAD</t>
        </is>
      </c>
      <c r="H58" t="inlineStr">
        <is>
          <t>CUNDINAMARCA</t>
        </is>
      </c>
      <c r="I58" t="inlineStr">
        <is>
          <t>BOGOTA</t>
        </is>
      </c>
      <c r="J58" t="inlineStr">
        <is>
          <t>BARRIO MARCO FIDEL SUAREZ BOGOTA 4</t>
        </is>
      </c>
      <c r="K58" t="inlineStr">
        <is>
          <t>BANCOLOMBIA</t>
        </is>
      </c>
      <c r="L58" t="inlineStr">
        <is>
          <t>FO-25-1371503</t>
        </is>
      </c>
      <c r="M58" s="46" t="n">
        <v>45882.52916666667</v>
      </c>
      <c r="N58" s="46" t="n">
        <v>45884.61388888889</v>
      </c>
      <c r="O58" s="45" t="n">
        <v>0</v>
      </c>
      <c r="P58" t="inlineStr">
        <is>
          <t>UNO A UNO</t>
        </is>
      </c>
      <c r="Q58" t="inlineStr">
        <is>
          <t>UNO A UNO</t>
        </is>
      </c>
      <c r="R58" t="inlineStr">
        <is>
          <t>EJECUTADO</t>
        </is>
      </c>
      <c r="S58" t="inlineStr">
        <is>
          <t>EJECUTADO EXITOSO</t>
        </is>
      </c>
      <c r="T58" t="inlineStr">
        <is>
          <t>VISITA TECNICA</t>
        </is>
      </c>
      <c r="U58" t="inlineStr"/>
      <c r="V58" t="inlineStr">
        <is>
          <t>TIPO I</t>
        </is>
      </c>
      <c r="W58" t="inlineStr">
        <is>
          <t>TERRESTRE</t>
        </is>
      </c>
      <c r="X58" t="inlineStr">
        <is>
          <t>GOMEZ VEGA DAVID SNEYDER</t>
        </is>
      </c>
      <c r="Y58" t="inlineStr">
        <is>
          <t>1</t>
        </is>
      </c>
      <c r="Z58" t="inlineStr">
        <is>
          <t>0</t>
        </is>
      </c>
      <c r="AA58" s="45" t="n">
        <v>96011</v>
      </c>
      <c r="AB58" t="inlineStr">
        <is>
          <t>0</t>
        </is>
      </c>
      <c r="AC58" s="45" t="n">
        <v>153426</v>
      </c>
      <c r="AD58" s="45" t="n">
        <v>0</v>
      </c>
    </row>
    <row r="59">
      <c r="A59" t="inlineStr">
        <is>
          <t>CARTAGENA</t>
        </is>
      </c>
      <c r="B59" t="inlineStr">
        <is>
          <t>COSTA</t>
        </is>
      </c>
      <c r="C59" t="inlineStr">
        <is>
          <t>0004-0001</t>
        </is>
      </c>
      <c r="D59" t="inlineStr">
        <is>
          <t>13657</t>
        </is>
      </c>
      <c r="E59" t="inlineStr">
        <is>
          <t>2592930</t>
        </is>
      </c>
      <c r="F59" t="inlineStr">
        <is>
          <t>3007047080</t>
        </is>
      </c>
      <c r="G59" t="inlineStr">
        <is>
          <t>OC PUBLICIDAD</t>
        </is>
      </c>
      <c r="H59" t="inlineStr">
        <is>
          <t>BOLIVAR</t>
        </is>
      </c>
      <c r="I59" t="inlineStr">
        <is>
          <t>SAN JUAN NEPOMUCENO</t>
        </is>
      </c>
      <c r="J59" t="inlineStr">
        <is>
          <t>PTM  SAN JUAN NEPOMUCENO  LUBR</t>
        </is>
      </c>
      <c r="K59" t="inlineStr">
        <is>
          <t>BANCOLOMBIA</t>
        </is>
      </c>
      <c r="L59" t="inlineStr">
        <is>
          <t>FO-25-1371928</t>
        </is>
      </c>
      <c r="M59" s="46" t="n">
        <v>45882.57291666666</v>
      </c>
      <c r="N59" s="46" t="n">
        <v>45890.35</v>
      </c>
      <c r="O59" s="45" t="n">
        <v>0</v>
      </c>
      <c r="P59" t="inlineStr">
        <is>
          <t>AGREGADOR</t>
        </is>
      </c>
      <c r="Q59" t="inlineStr">
        <is>
          <t>COMCARD - PTM</t>
        </is>
      </c>
      <c r="R59" t="inlineStr">
        <is>
          <t>EJECUTADO</t>
        </is>
      </c>
      <c r="S59" t="inlineStr">
        <is>
          <t>EJECUTADO EXITOSO</t>
        </is>
      </c>
      <c r="T59" t="inlineStr">
        <is>
          <t>VISITA TECNICA</t>
        </is>
      </c>
      <c r="U59" t="inlineStr"/>
      <c r="V59" t="inlineStr">
        <is>
          <t>TIPO II</t>
        </is>
      </c>
      <c r="W59" t="inlineStr">
        <is>
          <t>TERRESTRE</t>
        </is>
      </c>
      <c r="X59" t="inlineStr">
        <is>
          <t>MARTINEZ SALGUEDO ANDRES AUGUSTO</t>
        </is>
      </c>
      <c r="Y59" t="inlineStr">
        <is>
          <t>1</t>
        </is>
      </c>
      <c r="Z59" t="inlineStr">
        <is>
          <t>0</t>
        </is>
      </c>
      <c r="AA59" s="45" t="n">
        <v>232859</v>
      </c>
      <c r="AB59" t="inlineStr">
        <is>
          <t>0</t>
        </is>
      </c>
      <c r="AC59" s="45" t="n">
        <v>343667</v>
      </c>
      <c r="AD59" s="45" t="n">
        <v>0</v>
      </c>
    </row>
    <row r="60">
      <c r="A60" t="inlineStr">
        <is>
          <t>MANIZALES</t>
        </is>
      </c>
      <c r="B60" t="inlineStr">
        <is>
          <t>SUROCCIDENTE Y EJE CAFETERO</t>
        </is>
      </c>
      <c r="C60" t="inlineStr">
        <is>
          <t>0004-0002</t>
        </is>
      </c>
      <c r="D60" t="inlineStr">
        <is>
          <t>17001</t>
        </is>
      </c>
      <c r="E60" t="inlineStr">
        <is>
          <t>2593247</t>
        </is>
      </c>
      <c r="F60" t="inlineStr">
        <is>
          <t>3007055442</t>
        </is>
      </c>
      <c r="G60" t="inlineStr">
        <is>
          <t>OC PUBLICIDAD</t>
        </is>
      </c>
      <c r="H60" t="inlineStr">
        <is>
          <t>CALDAS</t>
        </is>
      </c>
      <c r="I60" t="inlineStr">
        <is>
          <t>MANIZALES</t>
        </is>
      </c>
      <c r="J60" t="inlineStr">
        <is>
          <t>BARRIO CAROLITA MANIZALES</t>
        </is>
      </c>
      <c r="K60" t="inlineStr">
        <is>
          <t>BANCOLOMBIA</t>
        </is>
      </c>
      <c r="L60" t="inlineStr">
        <is>
          <t>FO-25-1372399</t>
        </is>
      </c>
      <c r="M60" s="46" t="n">
        <v>45882.60833333333</v>
      </c>
      <c r="N60" s="46" t="n">
        <v>45884.46597222222</v>
      </c>
      <c r="O60" s="45" t="n">
        <v>0</v>
      </c>
      <c r="P60" t="inlineStr">
        <is>
          <t>CB UNO A UNO</t>
        </is>
      </c>
      <c r="Q60" t="inlineStr">
        <is>
          <t>CB UNO A UNO</t>
        </is>
      </c>
      <c r="R60" t="inlineStr">
        <is>
          <t>EJECUTADO</t>
        </is>
      </c>
      <c r="S60" t="inlineStr">
        <is>
          <t>EJECUTADO EXITOSO</t>
        </is>
      </c>
      <c r="T60" t="inlineStr">
        <is>
          <t>VISITA TECNICA</t>
        </is>
      </c>
      <c r="U60" t="inlineStr"/>
      <c r="V60" t="inlineStr">
        <is>
          <t>TIPO I</t>
        </is>
      </c>
      <c r="W60" t="inlineStr">
        <is>
          <t>TERRESTRE</t>
        </is>
      </c>
      <c r="X60" t="inlineStr">
        <is>
          <t>AGUIRRE HENAO RAUL EDUARDO</t>
        </is>
      </c>
      <c r="Y60" t="inlineStr">
        <is>
          <t>1</t>
        </is>
      </c>
      <c r="Z60" t="inlineStr">
        <is>
          <t>0</t>
        </is>
      </c>
      <c r="AA60" s="45" t="n">
        <v>96011</v>
      </c>
      <c r="AB60" t="inlineStr">
        <is>
          <t>0</t>
        </is>
      </c>
      <c r="AC60" s="45" t="n">
        <v>153426</v>
      </c>
      <c r="AD60" s="45" t="n">
        <v>0</v>
      </c>
    </row>
    <row r="61">
      <c r="A61" t="inlineStr">
        <is>
          <t>MEDELLIN</t>
        </is>
      </c>
      <c r="B61" t="inlineStr">
        <is>
          <t>NOROCCIDENTE</t>
        </is>
      </c>
      <c r="C61" t="inlineStr">
        <is>
          <t>0004-0005</t>
        </is>
      </c>
      <c r="D61" t="inlineStr">
        <is>
          <t>5001</t>
        </is>
      </c>
      <c r="E61" t="inlineStr">
        <is>
          <t>2593460</t>
        </is>
      </c>
      <c r="F61" t="inlineStr">
        <is>
          <t>3007067519</t>
        </is>
      </c>
      <c r="G61" t="inlineStr">
        <is>
          <t>OC PUBLICIDAD</t>
        </is>
      </c>
      <c r="H61" t="inlineStr">
        <is>
          <t>ANTIOQUIA</t>
        </is>
      </c>
      <c r="I61" t="inlineStr">
        <is>
          <t>MEDELLIN</t>
        </is>
      </c>
      <c r="J61" t="inlineStr">
        <is>
          <t>BARRIO CASTILLA MEDELLIN 8</t>
        </is>
      </c>
      <c r="K61" t="inlineStr">
        <is>
          <t>BANCOLOMBIA</t>
        </is>
      </c>
      <c r="L61" t="inlineStr">
        <is>
          <t>FO-25-1372793</t>
        </is>
      </c>
      <c r="M61" s="46" t="n">
        <v>45882.62847222222</v>
      </c>
      <c r="N61" s="46" t="n">
        <v>45888.54444444444</v>
      </c>
      <c r="O61" s="45" t="n">
        <v>0</v>
      </c>
      <c r="P61" t="inlineStr">
        <is>
          <t>CB UNO A UNO</t>
        </is>
      </c>
      <c r="Q61" t="inlineStr">
        <is>
          <t>CB UNO A UNO</t>
        </is>
      </c>
      <c r="R61" t="inlineStr">
        <is>
          <t>EJECUTADO</t>
        </is>
      </c>
      <c r="S61" t="inlineStr">
        <is>
          <t>EJECUTADO EXITOSO</t>
        </is>
      </c>
      <c r="T61" t="inlineStr">
        <is>
          <t>VISITA TECNICA</t>
        </is>
      </c>
      <c r="U61" t="inlineStr"/>
      <c r="V61" t="inlineStr">
        <is>
          <t>TIPO I</t>
        </is>
      </c>
      <c r="W61" t="inlineStr">
        <is>
          <t>TERRESTRE</t>
        </is>
      </c>
      <c r="X61" t="inlineStr">
        <is>
          <t>MARTINEZ TOVAR OSCAR DAVID</t>
        </is>
      </c>
      <c r="Y61" t="inlineStr">
        <is>
          <t>1</t>
        </is>
      </c>
      <c r="Z61" t="inlineStr">
        <is>
          <t>0</t>
        </is>
      </c>
      <c r="AA61" s="45" t="n">
        <v>96011</v>
      </c>
      <c r="AB61" t="inlineStr">
        <is>
          <t>0</t>
        </is>
      </c>
      <c r="AC61" s="45" t="n">
        <v>153426</v>
      </c>
      <c r="AD61" s="45" t="n">
        <v>0</v>
      </c>
    </row>
    <row r="62">
      <c r="A62" t="inlineStr">
        <is>
          <t>BUCARAMANGA</t>
        </is>
      </c>
      <c r="B62" t="inlineStr">
        <is>
          <t>SANTANDERES</t>
        </is>
      </c>
      <c r="C62" t="inlineStr">
        <is>
          <t>0004-0008</t>
        </is>
      </c>
      <c r="D62" t="inlineStr">
        <is>
          <t>68276</t>
        </is>
      </c>
      <c r="E62" t="inlineStr">
        <is>
          <t>2594395</t>
        </is>
      </c>
      <c r="F62" t="inlineStr">
        <is>
          <t>3007062409</t>
        </is>
      </c>
      <c r="G62" t="inlineStr">
        <is>
          <t>OC PUBLICIDAD</t>
        </is>
      </c>
      <c r="H62" t="inlineStr">
        <is>
          <t>SANTANDER</t>
        </is>
      </c>
      <c r="I62" t="inlineStr">
        <is>
          <t>FLORIDABLANCA</t>
        </is>
      </c>
      <c r="J62" t="inlineStr">
        <is>
          <t>BARRIO LA PAZ FLORIDABLANCA 4</t>
        </is>
      </c>
      <c r="K62" t="inlineStr">
        <is>
          <t>BANCOLOMBIA</t>
        </is>
      </c>
      <c r="L62" t="inlineStr">
        <is>
          <t>FO-25-1373038</t>
        </is>
      </c>
      <c r="M62" s="46" t="n">
        <v>45882.69652777778</v>
      </c>
      <c r="N62" s="46" t="n">
        <v>45883.62986111111</v>
      </c>
      <c r="O62" s="45" t="n">
        <v>0</v>
      </c>
      <c r="P62" t="inlineStr">
        <is>
          <t>CB UNO A UNO</t>
        </is>
      </c>
      <c r="Q62" t="inlineStr">
        <is>
          <t>CB UNO A UNO</t>
        </is>
      </c>
      <c r="R62" t="inlineStr">
        <is>
          <t>EJECUTADO</t>
        </is>
      </c>
      <c r="S62" t="inlineStr">
        <is>
          <t>EJECUTADO EXITOSO</t>
        </is>
      </c>
      <c r="T62" t="inlineStr">
        <is>
          <t>VISITA TECNICA</t>
        </is>
      </c>
      <c r="U62" t="inlineStr"/>
      <c r="V62" t="inlineStr">
        <is>
          <t>TIPO I</t>
        </is>
      </c>
      <c r="W62" t="inlineStr">
        <is>
          <t>TERRESTRE</t>
        </is>
      </c>
      <c r="X62" t="inlineStr">
        <is>
          <t>GELVEZ MOGOLLON JOSE ELISEO</t>
        </is>
      </c>
      <c r="Y62" t="inlineStr">
        <is>
          <t>1</t>
        </is>
      </c>
      <c r="Z62" t="inlineStr">
        <is>
          <t>0</t>
        </is>
      </c>
      <c r="AA62" s="45" t="n">
        <v>96011</v>
      </c>
      <c r="AB62" t="inlineStr">
        <is>
          <t>0</t>
        </is>
      </c>
      <c r="AC62" s="45" t="n">
        <v>153426</v>
      </c>
      <c r="AD62" s="45" t="n">
        <v>0</v>
      </c>
    </row>
    <row r="63">
      <c r="A63" t="inlineStr">
        <is>
          <t>MONTERIA</t>
        </is>
      </c>
      <c r="B63" t="inlineStr">
        <is>
          <t>COSTA</t>
        </is>
      </c>
      <c r="C63" t="inlineStr">
        <is>
          <t>0004-0001</t>
        </is>
      </c>
      <c r="D63" t="inlineStr">
        <is>
          <t>23001</t>
        </is>
      </c>
      <c r="E63" t="inlineStr">
        <is>
          <t>2602167</t>
        </is>
      </c>
      <c r="F63" t="inlineStr">
        <is>
          <t>3007065136</t>
        </is>
      </c>
      <c r="G63" t="inlineStr">
        <is>
          <t>OC PUBLICIDAD</t>
        </is>
      </c>
      <c r="H63" t="inlineStr">
        <is>
          <t>CORDOBA</t>
        </is>
      </c>
      <c r="I63" t="inlineStr">
        <is>
          <t>MONTERIA</t>
        </is>
      </c>
      <c r="J63" t="inlineStr">
        <is>
          <t>BARRIO NUEVA ESPERANZA MONTERI</t>
        </is>
      </c>
      <c r="K63" t="inlineStr">
        <is>
          <t>BANCOLOMBIA</t>
        </is>
      </c>
      <c r="L63" t="inlineStr">
        <is>
          <t>FO-25-1379612</t>
        </is>
      </c>
      <c r="M63" s="46" t="n">
        <v>45884.39166666667</v>
      </c>
      <c r="N63" s="46" t="n">
        <v>45889.34583333333</v>
      </c>
      <c r="O63" s="45" t="n">
        <v>0</v>
      </c>
      <c r="P63" t="inlineStr">
        <is>
          <t>CB UNO A UNO</t>
        </is>
      </c>
      <c r="Q63" t="inlineStr">
        <is>
          <t>CB UNO A UNO</t>
        </is>
      </c>
      <c r="R63" t="inlineStr">
        <is>
          <t>EJECUTADO</t>
        </is>
      </c>
      <c r="S63" t="inlineStr">
        <is>
          <t>EJECUTADO EXITOSO</t>
        </is>
      </c>
      <c r="T63" t="inlineStr">
        <is>
          <t>VISITA TECNICA</t>
        </is>
      </c>
      <c r="U63" t="inlineStr"/>
      <c r="V63" t="inlineStr">
        <is>
          <t>TIPO I</t>
        </is>
      </c>
      <c r="W63" t="inlineStr">
        <is>
          <t>TERRESTRE</t>
        </is>
      </c>
      <c r="X63" t="inlineStr">
        <is>
          <t>CASSIANI PEREZ RAUL RAMIRO</t>
        </is>
      </c>
      <c r="Y63" t="inlineStr">
        <is>
          <t>1</t>
        </is>
      </c>
      <c r="Z63" t="inlineStr">
        <is>
          <t>0</t>
        </is>
      </c>
      <c r="AA63" s="45" t="n">
        <v>96011</v>
      </c>
      <c r="AB63" t="inlineStr">
        <is>
          <t>0</t>
        </is>
      </c>
      <c r="AC63" s="45" t="n">
        <v>153426</v>
      </c>
      <c r="AD63" s="45" t="n">
        <v>0</v>
      </c>
    </row>
    <row r="64">
      <c r="A64" t="inlineStr">
        <is>
          <t>BOGOTA</t>
        </is>
      </c>
      <c r="B64" t="inlineStr">
        <is>
          <t>CUNDINAMARCA</t>
        </is>
      </c>
      <c r="C64" t="inlineStr">
        <is>
          <t>0004-0004</t>
        </is>
      </c>
      <c r="D64" t="inlineStr">
        <is>
          <t>11001</t>
        </is>
      </c>
      <c r="E64" t="inlineStr">
        <is>
          <t>2602790</t>
        </is>
      </c>
      <c r="F64" t="inlineStr">
        <is>
          <t>3007047606</t>
        </is>
      </c>
      <c r="G64" t="inlineStr">
        <is>
          <t>OC PUBLICIDAD</t>
        </is>
      </c>
      <c r="H64" t="inlineStr">
        <is>
          <t>CUNDINAMARCA</t>
        </is>
      </c>
      <c r="I64" t="inlineStr">
        <is>
          <t>BOGOTA</t>
        </is>
      </c>
      <c r="J64" t="inlineStr">
        <is>
          <t>BARRIO BOCHICA CENTRAL BOGOTA</t>
        </is>
      </c>
      <c r="K64" t="inlineStr">
        <is>
          <t>BANCOLOMBIA</t>
        </is>
      </c>
      <c r="L64" t="inlineStr">
        <is>
          <t>FO-25-1380054</t>
        </is>
      </c>
      <c r="M64" s="46" t="n">
        <v>45884.43680555555</v>
      </c>
      <c r="N64" s="46" t="n">
        <v>45885.54097222222</v>
      </c>
      <c r="O64" s="45" t="n">
        <v>0</v>
      </c>
      <c r="P64" t="inlineStr">
        <is>
          <t>CB UNO A UNO</t>
        </is>
      </c>
      <c r="Q64" t="inlineStr">
        <is>
          <t>CB UNO A UNO</t>
        </is>
      </c>
      <c r="R64" t="inlineStr">
        <is>
          <t>EJECUTADO</t>
        </is>
      </c>
      <c r="S64" t="inlineStr">
        <is>
          <t>EJECUTADO EXITOSO</t>
        </is>
      </c>
      <c r="T64" t="inlineStr">
        <is>
          <t>VISITA TECNICA</t>
        </is>
      </c>
      <c r="U64" t="inlineStr"/>
      <c r="V64" t="inlineStr">
        <is>
          <t>TIPO I</t>
        </is>
      </c>
      <c r="W64" t="inlineStr">
        <is>
          <t>TERRESTRE</t>
        </is>
      </c>
      <c r="X64" t="inlineStr">
        <is>
          <t>GOMEZ VEGA DAVID SNEYDER</t>
        </is>
      </c>
      <c r="Y64" t="inlineStr">
        <is>
          <t>1</t>
        </is>
      </c>
      <c r="Z64" t="inlineStr">
        <is>
          <t>0</t>
        </is>
      </c>
      <c r="AA64" s="45" t="n">
        <v>96011</v>
      </c>
      <c r="AB64" t="inlineStr">
        <is>
          <t>0</t>
        </is>
      </c>
      <c r="AC64" s="45" t="n">
        <v>153426</v>
      </c>
      <c r="AD64" s="45" t="n">
        <v>0</v>
      </c>
    </row>
    <row r="65">
      <c r="A65" t="inlineStr">
        <is>
          <t>BOGOTA</t>
        </is>
      </c>
      <c r="B65" t="inlineStr">
        <is>
          <t>CUNDINAMARCA</t>
        </is>
      </c>
      <c r="C65" t="inlineStr">
        <is>
          <t>0004-0004</t>
        </is>
      </c>
      <c r="D65" t="inlineStr">
        <is>
          <t>11001</t>
        </is>
      </c>
      <c r="E65" t="inlineStr">
        <is>
          <t>2602920</t>
        </is>
      </c>
      <c r="F65" t="inlineStr">
        <is>
          <t>3007076878</t>
        </is>
      </c>
      <c r="G65" t="inlineStr">
        <is>
          <t>OC PUBLICIDAD</t>
        </is>
      </c>
      <c r="H65" t="inlineStr">
        <is>
          <t>CUNDINAMARCA</t>
        </is>
      </c>
      <c r="I65" t="inlineStr">
        <is>
          <t>BOGOTA</t>
        </is>
      </c>
      <c r="J65" t="inlineStr">
        <is>
          <t>BARRIO SUBA RINCON BOGOTA 16</t>
        </is>
      </c>
      <c r="K65" t="inlineStr">
        <is>
          <t>BANCOLOMBIA</t>
        </is>
      </c>
      <c r="L65" t="inlineStr">
        <is>
          <t>FO-25-1380058</t>
        </is>
      </c>
      <c r="M65" s="46" t="n">
        <v>45884.43055555555</v>
      </c>
      <c r="N65" s="46" t="n">
        <v>45885.54652777778</v>
      </c>
      <c r="O65" s="45" t="n">
        <v>0</v>
      </c>
      <c r="P65" t="inlineStr">
        <is>
          <t>CB UNO A UNO</t>
        </is>
      </c>
      <c r="Q65" t="inlineStr">
        <is>
          <t>CB UNO A UNO</t>
        </is>
      </c>
      <c r="R65" t="inlineStr">
        <is>
          <t>EJECUTADO</t>
        </is>
      </c>
      <c r="S65" t="inlineStr">
        <is>
          <t>EJECUTADO EXITOSO</t>
        </is>
      </c>
      <c r="T65" t="inlineStr">
        <is>
          <t>VISITA TECNICA</t>
        </is>
      </c>
      <c r="U65" t="inlineStr"/>
      <c r="V65" t="inlineStr">
        <is>
          <t>TIPO I</t>
        </is>
      </c>
      <c r="W65" t="inlineStr">
        <is>
          <t>TERRESTRE</t>
        </is>
      </c>
      <c r="X65" t="inlineStr">
        <is>
          <t>VEGA MANRIQUE JONATAN MAURICIO</t>
        </is>
      </c>
      <c r="Y65" t="inlineStr">
        <is>
          <t>1</t>
        </is>
      </c>
      <c r="Z65" t="inlineStr">
        <is>
          <t>0</t>
        </is>
      </c>
      <c r="AA65" s="45" t="n">
        <v>96011</v>
      </c>
      <c r="AB65" t="inlineStr">
        <is>
          <t>0</t>
        </is>
      </c>
      <c r="AC65" s="45" t="n">
        <v>153426</v>
      </c>
      <c r="AD65" s="45" t="n">
        <v>0</v>
      </c>
    </row>
    <row r="66">
      <c r="A66" t="inlineStr">
        <is>
          <t>BOGOTA</t>
        </is>
      </c>
      <c r="B66" t="inlineStr">
        <is>
          <t>CUNDINAMARCA</t>
        </is>
      </c>
      <c r="C66" t="inlineStr">
        <is>
          <t>0004-0004</t>
        </is>
      </c>
      <c r="D66" t="inlineStr">
        <is>
          <t>25290</t>
        </is>
      </c>
      <c r="E66" t="inlineStr">
        <is>
          <t>2603836</t>
        </is>
      </c>
      <c r="F66" t="inlineStr">
        <is>
          <t>3007076196</t>
        </is>
      </c>
      <c r="G66" t="inlineStr">
        <is>
          <t>OC PUBLICIDAD</t>
        </is>
      </c>
      <c r="H66" t="inlineStr">
        <is>
          <t>CUNDINAMARCA</t>
        </is>
      </c>
      <c r="I66" t="inlineStr">
        <is>
          <t>FUSAGASUGA</t>
        </is>
      </c>
      <c r="J66" t="inlineStr">
        <is>
          <t>BARRIO VERGEL FUSAGASUGA 1</t>
        </is>
      </c>
      <c r="K66" t="inlineStr">
        <is>
          <t>BANCOLOMBIA</t>
        </is>
      </c>
      <c r="L66" t="inlineStr">
        <is>
          <t>FO-25-1380639</t>
        </is>
      </c>
      <c r="M66" s="46" t="n">
        <v>45884.49652777778</v>
      </c>
      <c r="N66" s="46" t="n">
        <v>45889.68541666667</v>
      </c>
      <c r="O66" s="45" t="n">
        <v>0</v>
      </c>
      <c r="P66" t="inlineStr">
        <is>
          <t>UNO A UNO</t>
        </is>
      </c>
      <c r="Q66" t="inlineStr">
        <is>
          <t>UNO A UNO</t>
        </is>
      </c>
      <c r="R66" t="inlineStr">
        <is>
          <t>EJECUTADO</t>
        </is>
      </c>
      <c r="S66" t="inlineStr">
        <is>
          <t>EJECUTADO EXITOSO</t>
        </is>
      </c>
      <c r="T66" t="inlineStr">
        <is>
          <t>VISITA TECNICA</t>
        </is>
      </c>
      <c r="U66" t="inlineStr"/>
      <c r="V66" t="inlineStr">
        <is>
          <t>TIPO II</t>
        </is>
      </c>
      <c r="W66" t="inlineStr">
        <is>
          <t>TERRESTRE</t>
        </is>
      </c>
      <c r="X66" t="inlineStr">
        <is>
          <t>LOZADA ROJAS CHRISTIAN ANDRES</t>
        </is>
      </c>
      <c r="Y66" t="inlineStr">
        <is>
          <t>1</t>
        </is>
      </c>
      <c r="Z66" t="inlineStr">
        <is>
          <t>0</t>
        </is>
      </c>
      <c r="AA66" s="45" t="n">
        <v>232859</v>
      </c>
      <c r="AB66" t="inlineStr">
        <is>
          <t>0</t>
        </is>
      </c>
      <c r="AC66" s="45" t="n">
        <v>343667</v>
      </c>
      <c r="AD66" s="45" t="n">
        <v>0</v>
      </c>
    </row>
    <row r="67">
      <c r="A67" t="inlineStr">
        <is>
          <t>CALI</t>
        </is>
      </c>
      <c r="B67" t="inlineStr">
        <is>
          <t>SUROCCIDENTE Y EJE CAFETERO</t>
        </is>
      </c>
      <c r="C67" t="inlineStr">
        <is>
          <t>0004-0003</t>
        </is>
      </c>
      <c r="D67" t="inlineStr">
        <is>
          <t>76001</t>
        </is>
      </c>
      <c r="E67" t="inlineStr">
        <is>
          <t>2604136</t>
        </is>
      </c>
      <c r="F67" t="inlineStr">
        <is>
          <t>3007046965</t>
        </is>
      </c>
      <c r="G67" t="inlineStr">
        <is>
          <t>OC PUBLICIDAD</t>
        </is>
      </c>
      <c r="H67" t="inlineStr">
        <is>
          <t>VALLE DEL CAUCA</t>
        </is>
      </c>
      <c r="I67" t="inlineStr">
        <is>
          <t>CALI</t>
        </is>
      </c>
      <c r="J67" t="inlineStr">
        <is>
          <t>BARRIO OBRERO CALI 4</t>
        </is>
      </c>
      <c r="K67" t="inlineStr">
        <is>
          <t>BANCOLOMBIA</t>
        </is>
      </c>
      <c r="L67" t="inlineStr">
        <is>
          <t>FO-25-1381040</t>
        </is>
      </c>
      <c r="M67" s="46" t="n">
        <v>45884.54583333333</v>
      </c>
      <c r="N67" s="46" t="n">
        <v>45888.48819444444</v>
      </c>
      <c r="O67" s="45" t="n">
        <v>0</v>
      </c>
      <c r="P67" t="inlineStr">
        <is>
          <t>UNO A UNO</t>
        </is>
      </c>
      <c r="Q67" t="inlineStr">
        <is>
          <t>CB UNO A UNO</t>
        </is>
      </c>
      <c r="R67" t="inlineStr">
        <is>
          <t>EJECUTADO</t>
        </is>
      </c>
      <c r="S67" t="inlineStr">
        <is>
          <t>EJECUTADO EXITOSO</t>
        </is>
      </c>
      <c r="T67" t="inlineStr">
        <is>
          <t>VISITA TECNICA</t>
        </is>
      </c>
      <c r="U67" t="inlineStr"/>
      <c r="V67" t="inlineStr">
        <is>
          <t>TIPO I</t>
        </is>
      </c>
      <c r="W67" t="inlineStr">
        <is>
          <t>TERRESTRE</t>
        </is>
      </c>
      <c r="X67" t="inlineStr">
        <is>
          <t>CUERO RUIZ JHONNY</t>
        </is>
      </c>
      <c r="Y67" t="inlineStr">
        <is>
          <t>1</t>
        </is>
      </c>
      <c r="Z67" t="inlineStr">
        <is>
          <t>0</t>
        </is>
      </c>
      <c r="AA67" s="45" t="n">
        <v>96011</v>
      </c>
      <c r="AB67" t="inlineStr">
        <is>
          <t>0</t>
        </is>
      </c>
      <c r="AC67" s="45" t="n">
        <v>153426</v>
      </c>
      <c r="AD67" s="45" t="n">
        <v>0</v>
      </c>
    </row>
    <row r="68">
      <c r="A68" t="inlineStr">
        <is>
          <t>MEDELLIN</t>
        </is>
      </c>
      <c r="B68" t="inlineStr">
        <is>
          <t>NOROCCIDENTE</t>
        </is>
      </c>
      <c r="C68" t="inlineStr">
        <is>
          <t>0004-0005</t>
        </is>
      </c>
      <c r="D68" t="inlineStr">
        <is>
          <t>5001</t>
        </is>
      </c>
      <c r="E68" t="inlineStr">
        <is>
          <t>2606554</t>
        </is>
      </c>
      <c r="F68" t="inlineStr">
        <is>
          <t>3007048794</t>
        </is>
      </c>
      <c r="G68" t="inlineStr">
        <is>
          <t>OC PUBLICIDAD</t>
        </is>
      </c>
      <c r="H68" t="inlineStr">
        <is>
          <t>ANTIOQUIA</t>
        </is>
      </c>
      <c r="I68" t="inlineStr">
        <is>
          <t>MEDELLIN</t>
        </is>
      </c>
      <c r="J68" t="inlineStr">
        <is>
          <t>PTM MEDELLIN SERVICIO ELECTRIC</t>
        </is>
      </c>
      <c r="K68" t="inlineStr">
        <is>
          <t>BANCOLOMBIA</t>
        </is>
      </c>
      <c r="L68" t="inlineStr">
        <is>
          <t>FO-25-1383949</t>
        </is>
      </c>
      <c r="M68" s="46" t="n">
        <v>45885.44513888889</v>
      </c>
      <c r="N68" s="46" t="n">
        <v>45889.31388888889</v>
      </c>
      <c r="O68" s="45" t="n">
        <v>0</v>
      </c>
      <c r="P68" t="inlineStr">
        <is>
          <t>AGREGADOR</t>
        </is>
      </c>
      <c r="Q68" t="inlineStr">
        <is>
          <t>COMCARD - PTM</t>
        </is>
      </c>
      <c r="R68" t="inlineStr">
        <is>
          <t>EJECUTADO</t>
        </is>
      </c>
      <c r="S68" t="inlineStr">
        <is>
          <t>EJECUTADO EXITOSO</t>
        </is>
      </c>
      <c r="T68" t="inlineStr">
        <is>
          <t>VISITA TECNICA</t>
        </is>
      </c>
      <c r="U68" t="inlineStr"/>
      <c r="V68" t="inlineStr">
        <is>
          <t>TIPO I</t>
        </is>
      </c>
      <c r="W68" t="inlineStr">
        <is>
          <t>TERRESTRE</t>
        </is>
      </c>
      <c r="X68" t="inlineStr">
        <is>
          <t>BADEL ACUÑA LUIS ALBERTO</t>
        </is>
      </c>
      <c r="Y68" t="inlineStr">
        <is>
          <t>1</t>
        </is>
      </c>
      <c r="Z68" t="inlineStr">
        <is>
          <t>0</t>
        </is>
      </c>
      <c r="AA68" s="45" t="n">
        <v>96011</v>
      </c>
      <c r="AB68" t="inlineStr">
        <is>
          <t>0</t>
        </is>
      </c>
      <c r="AC68" s="45" t="n">
        <v>153426</v>
      </c>
      <c r="AD68" s="45" t="n">
        <v>0</v>
      </c>
    </row>
    <row r="69">
      <c r="A69" t="inlineStr">
        <is>
          <t>BOGOTA</t>
        </is>
      </c>
      <c r="B69" t="inlineStr">
        <is>
          <t>CUNDINAMARCA</t>
        </is>
      </c>
      <c r="C69" t="inlineStr">
        <is>
          <t>0004-0004</t>
        </is>
      </c>
      <c r="D69" t="inlineStr">
        <is>
          <t>11001</t>
        </is>
      </c>
      <c r="E69" t="inlineStr">
        <is>
          <t>2608563</t>
        </is>
      </c>
      <c r="F69" t="inlineStr">
        <is>
          <t>3007046879</t>
        </is>
      </c>
      <c r="G69" t="inlineStr">
        <is>
          <t>OC PUBLICIDAD</t>
        </is>
      </c>
      <c r="H69" t="inlineStr">
        <is>
          <t>CUNDINAMARCA</t>
        </is>
      </c>
      <c r="I69" t="inlineStr">
        <is>
          <t>BOGOTA</t>
        </is>
      </c>
      <c r="J69" t="inlineStr">
        <is>
          <t>BARRIO PASTRANITA BOGOTA 1</t>
        </is>
      </c>
      <c r="K69" t="inlineStr">
        <is>
          <t>BANCOLOMBIA</t>
        </is>
      </c>
      <c r="L69" t="inlineStr">
        <is>
          <t>FO-25-1388004</t>
        </is>
      </c>
      <c r="M69" s="46" t="n">
        <v>45887.54791666667</v>
      </c>
      <c r="N69" s="46" t="n">
        <v>45888.52152777778</v>
      </c>
      <c r="O69" s="45" t="n">
        <v>0</v>
      </c>
      <c r="P69" t="inlineStr">
        <is>
          <t>CB UNO A UNO</t>
        </is>
      </c>
      <c r="Q69" t="inlineStr">
        <is>
          <t>CB UNO A UNO</t>
        </is>
      </c>
      <c r="R69" t="inlineStr">
        <is>
          <t>EJECUTADO</t>
        </is>
      </c>
      <c r="S69" t="inlineStr">
        <is>
          <t>EJECUTADO EXITOSO</t>
        </is>
      </c>
      <c r="T69" t="inlineStr">
        <is>
          <t>VISITA TECNICA</t>
        </is>
      </c>
      <c r="U69" t="inlineStr"/>
      <c r="V69" t="inlineStr">
        <is>
          <t>TIPO I</t>
        </is>
      </c>
      <c r="W69" t="inlineStr">
        <is>
          <t>TERRESTRE</t>
        </is>
      </c>
      <c r="X69" t="inlineStr">
        <is>
          <t>HERNANDEZ NARANJO OSCAR EDUARDO</t>
        </is>
      </c>
      <c r="Y69" t="inlineStr">
        <is>
          <t>1</t>
        </is>
      </c>
      <c r="Z69" t="inlineStr">
        <is>
          <t>0</t>
        </is>
      </c>
      <c r="AA69" s="45" t="n">
        <v>96011</v>
      </c>
      <c r="AB69" t="inlineStr">
        <is>
          <t>0</t>
        </is>
      </c>
      <c r="AC69" s="45" t="n">
        <v>153426</v>
      </c>
      <c r="AD69" s="45" t="n">
        <v>0</v>
      </c>
    </row>
    <row r="70">
      <c r="A70" t="inlineStr">
        <is>
          <t>BOGOTA</t>
        </is>
      </c>
      <c r="B70" t="inlineStr">
        <is>
          <t>CUNDINAMARCA</t>
        </is>
      </c>
      <c r="C70" t="inlineStr">
        <is>
          <t>0004-0004</t>
        </is>
      </c>
      <c r="D70" t="inlineStr">
        <is>
          <t>11001</t>
        </is>
      </c>
      <c r="E70" t="inlineStr">
        <is>
          <t>2611858</t>
        </is>
      </c>
      <c r="F70" t="inlineStr">
        <is>
          <t>3007074971</t>
        </is>
      </c>
      <c r="G70" t="inlineStr">
        <is>
          <t>OC PUBLICIDAD</t>
        </is>
      </c>
      <c r="H70" t="inlineStr">
        <is>
          <t>CUNDINAMARCA</t>
        </is>
      </c>
      <c r="I70" t="inlineStr">
        <is>
          <t>BOGOTA</t>
        </is>
      </c>
      <c r="J70" t="inlineStr">
        <is>
          <t>BARRIO ALAMOS BOGOTA 10</t>
        </is>
      </c>
      <c r="K70" t="inlineStr">
        <is>
          <t>BANCOLOMBIA</t>
        </is>
      </c>
      <c r="L70" t="inlineStr">
        <is>
          <t>FO-25-1391085</t>
        </is>
      </c>
      <c r="M70" s="46" t="n">
        <v>45888.46736111111</v>
      </c>
      <c r="N70" s="46" t="n">
        <v>45892.52986111111</v>
      </c>
      <c r="O70" s="45" t="n">
        <v>0</v>
      </c>
      <c r="P70" t="inlineStr">
        <is>
          <t>CB UNO A UNO</t>
        </is>
      </c>
      <c r="Q70" t="inlineStr">
        <is>
          <t>CB UNO A UNO</t>
        </is>
      </c>
      <c r="R70" t="inlineStr">
        <is>
          <t>EJECUTADO</t>
        </is>
      </c>
      <c r="S70" t="inlineStr">
        <is>
          <t>EJECUTADO EXITOSO</t>
        </is>
      </c>
      <c r="T70" t="inlineStr">
        <is>
          <t>VISITA TECNICA</t>
        </is>
      </c>
      <c r="U70" t="inlineStr"/>
      <c r="V70" t="inlineStr">
        <is>
          <t>TIPO I</t>
        </is>
      </c>
      <c r="W70" t="inlineStr">
        <is>
          <t>TERRESTRE</t>
        </is>
      </c>
      <c r="X70" t="inlineStr">
        <is>
          <t>MURCIA HERNANDEZ HARVEY IGNACIO</t>
        </is>
      </c>
      <c r="Y70" t="inlineStr">
        <is>
          <t>1</t>
        </is>
      </c>
      <c r="Z70" t="inlineStr">
        <is>
          <t>0</t>
        </is>
      </c>
      <c r="AA70" s="45" t="n">
        <v>96011</v>
      </c>
      <c r="AB70" t="inlineStr">
        <is>
          <t>0</t>
        </is>
      </c>
      <c r="AC70" s="45" t="n">
        <v>153426</v>
      </c>
      <c r="AD70" s="45" t="n">
        <v>0</v>
      </c>
    </row>
    <row r="71">
      <c r="A71" t="inlineStr">
        <is>
          <t>APARTADO</t>
        </is>
      </c>
      <c r="B71" t="inlineStr">
        <is>
          <t>NOROCCIDENTE</t>
        </is>
      </c>
      <c r="C71" t="inlineStr">
        <is>
          <t>0004-0005</t>
        </is>
      </c>
      <c r="D71" t="inlineStr">
        <is>
          <t>5665</t>
        </is>
      </c>
      <c r="E71" t="inlineStr">
        <is>
          <t>2612815</t>
        </is>
      </c>
      <c r="F71" t="inlineStr">
        <is>
          <t>3007036945</t>
        </is>
      </c>
      <c r="G71" t="inlineStr">
        <is>
          <t>OC PUBLICIDAD</t>
        </is>
      </c>
      <c r="H71" t="inlineStr">
        <is>
          <t>ANTIOQUIA</t>
        </is>
      </c>
      <c r="I71" t="inlineStr">
        <is>
          <t>SAN PEDRO DE URABA</t>
        </is>
      </c>
      <c r="J71" t="inlineStr">
        <is>
          <t>DISTRICOL DISTRIBUCIONES JSOIS</t>
        </is>
      </c>
      <c r="K71" t="inlineStr">
        <is>
          <t>BANCOLOMBIA</t>
        </is>
      </c>
      <c r="L71" t="inlineStr">
        <is>
          <t>FO-25-1392102</t>
        </is>
      </c>
      <c r="M71" s="46" t="n">
        <v>45888.53055555555</v>
      </c>
      <c r="N71" s="46" t="n">
        <v>45889.6875</v>
      </c>
      <c r="O71" s="45" t="n">
        <v>0</v>
      </c>
      <c r="P71" t="inlineStr">
        <is>
          <t>AGREGADOR</t>
        </is>
      </c>
      <c r="Q71" t="inlineStr">
        <is>
          <t>DISTRICOL</t>
        </is>
      </c>
      <c r="R71" t="inlineStr">
        <is>
          <t>EJECUTADO</t>
        </is>
      </c>
      <c r="S71" t="inlineStr">
        <is>
          <t>EJECUTADO EXITOSO</t>
        </is>
      </c>
      <c r="T71" t="inlineStr">
        <is>
          <t>VISITA TECNICA</t>
        </is>
      </c>
      <c r="U71" t="inlineStr"/>
      <c r="V71" t="inlineStr">
        <is>
          <t>TIPO III</t>
        </is>
      </c>
      <c r="W71" t="inlineStr">
        <is>
          <t>TERRESTRE</t>
        </is>
      </c>
      <c r="X71" t="inlineStr">
        <is>
          <t>SALDARRIAGA MIRANDA SANTIAGO</t>
        </is>
      </c>
      <c r="Y71" t="inlineStr">
        <is>
          <t>1</t>
        </is>
      </c>
      <c r="Z71" t="inlineStr">
        <is>
          <t>0</t>
        </is>
      </c>
      <c r="AA71" s="45" t="n">
        <v>344775</v>
      </c>
      <c r="AB71" t="inlineStr">
        <is>
          <t>0</t>
        </is>
      </c>
      <c r="AC71" s="45" t="n">
        <v>455583</v>
      </c>
      <c r="AD71" s="45" t="n">
        <v>0</v>
      </c>
    </row>
    <row r="72">
      <c r="A72" t="inlineStr">
        <is>
          <t>IBAGUE</t>
        </is>
      </c>
      <c r="B72" t="inlineStr">
        <is>
          <t>REMOTAS</t>
        </is>
      </c>
      <c r="C72" t="inlineStr">
        <is>
          <t>0004-0007</t>
        </is>
      </c>
      <c r="D72" t="inlineStr">
        <is>
          <t>17380</t>
        </is>
      </c>
      <c r="E72" t="inlineStr">
        <is>
          <t>2613571</t>
        </is>
      </c>
      <c r="F72" t="inlineStr">
        <is>
          <t>3007047806</t>
        </is>
      </c>
      <c r="G72" t="inlineStr">
        <is>
          <t>OC PUBLICIDAD</t>
        </is>
      </c>
      <c r="H72" t="inlineStr">
        <is>
          <t>CALDAS</t>
        </is>
      </c>
      <c r="I72" t="inlineStr">
        <is>
          <t>LA DORADA</t>
        </is>
      </c>
      <c r="J72" t="inlineStr">
        <is>
          <t>BARRIO EL CENTRO LA DORADA</t>
        </is>
      </c>
      <c r="K72" t="inlineStr">
        <is>
          <t>BANCOLOMBIA</t>
        </is>
      </c>
      <c r="L72" t="inlineStr">
        <is>
          <t>FO-25-1393632</t>
        </is>
      </c>
      <c r="M72" s="46" t="n">
        <v>45888.62083333333</v>
      </c>
      <c r="N72" s="46" t="n">
        <v>45890.33888888889</v>
      </c>
      <c r="O72" s="45" t="n">
        <v>0</v>
      </c>
      <c r="P72" t="inlineStr">
        <is>
          <t>CB UNO A UNO</t>
        </is>
      </c>
      <c r="Q72" t="inlineStr">
        <is>
          <t>CB UNO A UNO</t>
        </is>
      </c>
      <c r="R72" t="inlineStr">
        <is>
          <t>EJECUTADO</t>
        </is>
      </c>
      <c r="S72" t="inlineStr">
        <is>
          <t>EJECUTADO EXITOSO</t>
        </is>
      </c>
      <c r="T72" t="inlineStr">
        <is>
          <t>VISITA TECNICA</t>
        </is>
      </c>
      <c r="U72" t="inlineStr"/>
      <c r="V72" t="inlineStr">
        <is>
          <t>TIPO III</t>
        </is>
      </c>
      <c r="W72" t="inlineStr">
        <is>
          <t>TERRESTRE</t>
        </is>
      </c>
      <c r="X72" t="inlineStr">
        <is>
          <t>GUTIERREZ  CAMILO ANDRES</t>
        </is>
      </c>
      <c r="Y72" t="inlineStr">
        <is>
          <t>1</t>
        </is>
      </c>
      <c r="Z72" t="inlineStr">
        <is>
          <t>0</t>
        </is>
      </c>
      <c r="AA72" s="45" t="n">
        <v>344775</v>
      </c>
      <c r="AB72" t="inlineStr">
        <is>
          <t>0</t>
        </is>
      </c>
      <c r="AC72" s="45" t="n">
        <v>455583</v>
      </c>
      <c r="AD72" s="45" t="n">
        <v>0</v>
      </c>
    </row>
    <row r="73">
      <c r="A73" t="inlineStr">
        <is>
          <t>MONTERIA</t>
        </is>
      </c>
      <c r="B73" t="inlineStr">
        <is>
          <t>COSTA</t>
        </is>
      </c>
      <c r="C73" t="inlineStr">
        <is>
          <t>0004-0001</t>
        </is>
      </c>
      <c r="D73" t="inlineStr">
        <is>
          <t>5250</t>
        </is>
      </c>
      <c r="E73" t="inlineStr">
        <is>
          <t>2614339</t>
        </is>
      </c>
      <c r="F73" t="inlineStr">
        <is>
          <t>3007037661</t>
        </is>
      </c>
      <c r="G73" t="inlineStr">
        <is>
          <t>OC PUBLICIDAD</t>
        </is>
      </c>
      <c r="H73" t="inlineStr">
        <is>
          <t>ANTIOQUIA</t>
        </is>
      </c>
      <c r="I73" t="inlineStr">
        <is>
          <t>EL BAGRE</t>
        </is>
      </c>
      <c r="J73" t="inlineStr">
        <is>
          <t>DISTRICOL ASECONTRY</t>
        </is>
      </c>
      <c r="K73" t="inlineStr">
        <is>
          <t>BANCOLOMBIA</t>
        </is>
      </c>
      <c r="L73" t="inlineStr">
        <is>
          <t>FO-25-1393631</t>
        </is>
      </c>
      <c r="M73" s="46" t="n">
        <v>45888.65486111111</v>
      </c>
      <c r="N73" s="46" t="n">
        <v>45894.67291666667</v>
      </c>
      <c r="O73" s="45" t="n">
        <v>0</v>
      </c>
      <c r="P73" t="inlineStr">
        <is>
          <t>AGREGADOR</t>
        </is>
      </c>
      <c r="Q73" t="inlineStr">
        <is>
          <t>DISTRICOL</t>
        </is>
      </c>
      <c r="R73" t="inlineStr">
        <is>
          <t>EJECUTADO</t>
        </is>
      </c>
      <c r="S73" t="inlineStr">
        <is>
          <t>EJECUTADO EXITOSO</t>
        </is>
      </c>
      <c r="T73" t="inlineStr">
        <is>
          <t>VISITA TECNICA</t>
        </is>
      </c>
      <c r="U73" t="inlineStr"/>
      <c r="V73" t="inlineStr">
        <is>
          <t>TIPO IV</t>
        </is>
      </c>
      <c r="W73" t="inlineStr">
        <is>
          <t>TERRESTRE</t>
        </is>
      </c>
      <c r="X73" t="inlineStr">
        <is>
          <t>CALDERA SALCEDO CARLOS JULIO</t>
        </is>
      </c>
      <c r="Y73" t="inlineStr">
        <is>
          <t>1</t>
        </is>
      </c>
      <c r="Z73" t="inlineStr">
        <is>
          <t>0</t>
        </is>
      </c>
      <c r="AA73" s="45" t="n">
        <v>548634</v>
      </c>
      <c r="AB73" t="inlineStr">
        <is>
          <t>0</t>
        </is>
      </c>
      <c r="AC73" s="45" t="n">
        <v>659442</v>
      </c>
      <c r="AD73" s="45" t="n">
        <v>0</v>
      </c>
    </row>
    <row r="74">
      <c r="A74" t="inlineStr">
        <is>
          <t>VILLAVICENCIO</t>
        </is>
      </c>
      <c r="B74" t="inlineStr">
        <is>
          <t>REMOTAS</t>
        </is>
      </c>
      <c r="C74" t="inlineStr">
        <is>
          <t>0004-0007</t>
        </is>
      </c>
      <c r="D74" t="inlineStr">
        <is>
          <t>50001</t>
        </is>
      </c>
      <c r="E74" t="inlineStr">
        <is>
          <t>2616603</t>
        </is>
      </c>
      <c r="F74" t="inlineStr">
        <is>
          <t>3007065244</t>
        </is>
      </c>
      <c r="G74" t="inlineStr">
        <is>
          <t>OC PUBLICIDAD</t>
        </is>
      </c>
      <c r="H74" t="inlineStr">
        <is>
          <t>META</t>
        </is>
      </c>
      <c r="I74" t="inlineStr">
        <is>
          <t>VILLAVICENCIO</t>
        </is>
      </c>
      <c r="J74" t="inlineStr">
        <is>
          <t>BARRIO AY MI LLANURA VILLAVICE</t>
        </is>
      </c>
      <c r="K74" t="inlineStr">
        <is>
          <t>BANCOLOMBIA</t>
        </is>
      </c>
      <c r="L74" t="inlineStr">
        <is>
          <t>FO-25-1394997</t>
        </is>
      </c>
      <c r="M74" s="46" t="n">
        <v>45889.35763888889</v>
      </c>
      <c r="N74" s="46" t="n">
        <v>45891.65902777778</v>
      </c>
      <c r="O74" s="45" t="n">
        <v>0</v>
      </c>
      <c r="P74" t="inlineStr">
        <is>
          <t>CB UNO A UNO</t>
        </is>
      </c>
      <c r="Q74" t="inlineStr">
        <is>
          <t>CB UNO A UNO</t>
        </is>
      </c>
      <c r="R74" t="inlineStr">
        <is>
          <t>EJECUTADO</t>
        </is>
      </c>
      <c r="S74" t="inlineStr">
        <is>
          <t>EJECUTADO EXITOSO</t>
        </is>
      </c>
      <c r="T74" t="inlineStr">
        <is>
          <t>VISITA TECNICA</t>
        </is>
      </c>
      <c r="U74" t="inlineStr"/>
      <c r="V74" t="inlineStr">
        <is>
          <t>TIPO I</t>
        </is>
      </c>
      <c r="W74" t="inlineStr">
        <is>
          <t>TERRESTRE</t>
        </is>
      </c>
      <c r="X74" t="inlineStr">
        <is>
          <t>ROZO JIMENEZ EDGAR ARMANDO</t>
        </is>
      </c>
      <c r="Y74" t="inlineStr">
        <is>
          <t>1</t>
        </is>
      </c>
      <c r="Z74" t="inlineStr">
        <is>
          <t>0</t>
        </is>
      </c>
      <c r="AA74" s="45" t="n">
        <v>96011</v>
      </c>
      <c r="AB74" t="inlineStr">
        <is>
          <t>0</t>
        </is>
      </c>
      <c r="AC74" s="45" t="n">
        <v>153426</v>
      </c>
      <c r="AD74" s="45" t="n">
        <v>0</v>
      </c>
    </row>
    <row r="75">
      <c r="A75" t="inlineStr">
        <is>
          <t>MEDELLIN</t>
        </is>
      </c>
      <c r="B75" t="inlineStr">
        <is>
          <t>NOROCCIDENTE</t>
        </is>
      </c>
      <c r="C75" t="inlineStr">
        <is>
          <t>0004-0005</t>
        </is>
      </c>
      <c r="D75" t="inlineStr">
        <is>
          <t>5266</t>
        </is>
      </c>
      <c r="E75" t="inlineStr">
        <is>
          <t>2617165</t>
        </is>
      </c>
      <c r="F75" t="inlineStr">
        <is>
          <t>3007037602</t>
        </is>
      </c>
      <c r="G75" t="inlineStr">
        <is>
          <t>OC PUBLICIDAD</t>
        </is>
      </c>
      <c r="H75" t="inlineStr">
        <is>
          <t>ANTIOQUIA</t>
        </is>
      </c>
      <c r="I75" t="inlineStr">
        <is>
          <t>ENVIGADO</t>
        </is>
      </c>
      <c r="J75" t="inlineStr">
        <is>
          <t>DISTRICOL EL MINI DE ANNY</t>
        </is>
      </c>
      <c r="K75" t="inlineStr">
        <is>
          <t>BANCOLOMBIA</t>
        </is>
      </c>
      <c r="L75" t="inlineStr">
        <is>
          <t>FO-25-1395721</t>
        </is>
      </c>
      <c r="M75" s="46" t="n">
        <v>45889.39513888889</v>
      </c>
      <c r="N75" s="46" t="n">
        <v>45892.64305555556</v>
      </c>
      <c r="O75" s="45" t="n">
        <v>0</v>
      </c>
      <c r="P75" t="inlineStr">
        <is>
          <t>AGREGADOR</t>
        </is>
      </c>
      <c r="Q75" t="inlineStr">
        <is>
          <t>DISTRICOL</t>
        </is>
      </c>
      <c r="R75" t="inlineStr">
        <is>
          <t>EJECUTADO</t>
        </is>
      </c>
      <c r="S75" t="inlineStr">
        <is>
          <t>EJECUTADO EXITOSO</t>
        </is>
      </c>
      <c r="T75" t="inlineStr">
        <is>
          <t>VISITA TECNICA</t>
        </is>
      </c>
      <c r="U75" t="inlineStr"/>
      <c r="V75" t="inlineStr">
        <is>
          <t>TIPO I</t>
        </is>
      </c>
      <c r="W75" t="inlineStr">
        <is>
          <t>TERRESTRE</t>
        </is>
      </c>
      <c r="X75" t="inlineStr">
        <is>
          <t>BADEL ACUÑA LUIS ALBERTO</t>
        </is>
      </c>
      <c r="Y75" t="inlineStr">
        <is>
          <t>1</t>
        </is>
      </c>
      <c r="Z75" t="inlineStr">
        <is>
          <t>0</t>
        </is>
      </c>
      <c r="AA75" s="45" t="n">
        <v>96011</v>
      </c>
      <c r="AB75" t="inlineStr">
        <is>
          <t>0</t>
        </is>
      </c>
      <c r="AC75" s="45" t="n">
        <v>153426</v>
      </c>
      <c r="AD75" s="45" t="n">
        <v>0</v>
      </c>
    </row>
    <row r="76">
      <c r="A76" t="inlineStr">
        <is>
          <t>BUCARAMANGA</t>
        </is>
      </c>
      <c r="B76" t="inlineStr">
        <is>
          <t>SANTANDERES</t>
        </is>
      </c>
      <c r="C76" t="inlineStr">
        <is>
          <t>0004-0008</t>
        </is>
      </c>
      <c r="D76" t="inlineStr">
        <is>
          <t>81300</t>
        </is>
      </c>
      <c r="E76" t="inlineStr">
        <is>
          <t>2618760</t>
        </is>
      </c>
      <c r="F76" t="inlineStr">
        <is>
          <t>3007047764</t>
        </is>
      </c>
      <c r="G76" t="inlineStr">
        <is>
          <t>OC PUBLICIDAD</t>
        </is>
      </c>
      <c r="H76" t="inlineStr">
        <is>
          <t>ARAUCA</t>
        </is>
      </c>
      <c r="I76" t="inlineStr">
        <is>
          <t>FORTUL</t>
        </is>
      </c>
      <c r="J76" t="inlineStr">
        <is>
          <t>BARRIO CENTRO FORTUL 2</t>
        </is>
      </c>
      <c r="K76" t="inlineStr">
        <is>
          <t>BANCOLOMBIA</t>
        </is>
      </c>
      <c r="L76" t="inlineStr">
        <is>
          <t>FO-25-1397125</t>
        </is>
      </c>
      <c r="M76" s="46" t="n">
        <v>45889.48958333334</v>
      </c>
      <c r="N76" s="46" t="n">
        <v>45895.42361111111</v>
      </c>
      <c r="O76" s="45" t="n">
        <v>0</v>
      </c>
      <c r="P76" t="inlineStr">
        <is>
          <t>CB UNO A UNO</t>
        </is>
      </c>
      <c r="Q76" t="inlineStr">
        <is>
          <t>CB UNO A UNO</t>
        </is>
      </c>
      <c r="R76" t="inlineStr">
        <is>
          <t>EJECUTADO</t>
        </is>
      </c>
      <c r="S76" t="inlineStr">
        <is>
          <t>EJECUTADO EXITOSO</t>
        </is>
      </c>
      <c r="T76" t="inlineStr">
        <is>
          <t>VISITA TECNICA</t>
        </is>
      </c>
      <c r="U76" t="inlineStr"/>
      <c r="V76" t="inlineStr">
        <is>
          <t>TIPO IV ESPECIAL</t>
        </is>
      </c>
      <c r="W76" t="inlineStr">
        <is>
          <t>AEREO</t>
        </is>
      </c>
      <c r="X76" t="inlineStr">
        <is>
          <t>REYES RAMIREZ DIEGO ALEXANDER</t>
        </is>
      </c>
      <c r="Y76" t="inlineStr">
        <is>
          <t>1</t>
        </is>
      </c>
      <c r="Z76" t="inlineStr">
        <is>
          <t>0</t>
        </is>
      </c>
      <c r="AA76" s="45" t="n">
        <v>988463</v>
      </c>
      <c r="AB76" t="inlineStr">
        <is>
          <t>0</t>
        </is>
      </c>
      <c r="AC76" s="45" t="n">
        <v>1099271</v>
      </c>
      <c r="AD76" s="45" t="n">
        <v>0</v>
      </c>
    </row>
    <row r="77">
      <c r="A77" t="inlineStr">
        <is>
          <t>BUCARAMANGA</t>
        </is>
      </c>
      <c r="B77" t="inlineStr">
        <is>
          <t>SANTANDERES</t>
        </is>
      </c>
      <c r="C77" t="inlineStr">
        <is>
          <t>0004-0008</t>
        </is>
      </c>
      <c r="D77" t="inlineStr">
        <is>
          <t>81736</t>
        </is>
      </c>
      <c r="E77" t="inlineStr">
        <is>
          <t>2621442</t>
        </is>
      </c>
      <c r="F77" t="inlineStr">
        <is>
          <t>3007041254</t>
        </is>
      </c>
      <c r="G77" t="inlineStr">
        <is>
          <t>OC PUBLICIDAD</t>
        </is>
      </c>
      <c r="H77" t="inlineStr">
        <is>
          <t>ARAUCA</t>
        </is>
      </c>
      <c r="I77" t="inlineStr">
        <is>
          <t>SARAVENA</t>
        </is>
      </c>
      <c r="J77" t="inlineStr">
        <is>
          <t>BARRIO SARAVENA SARAVENA</t>
        </is>
      </c>
      <c r="K77" t="inlineStr">
        <is>
          <t>BANCOLOMBIA</t>
        </is>
      </c>
      <c r="L77" t="inlineStr">
        <is>
          <t>FO-25-1398931</t>
        </is>
      </c>
      <c r="M77" s="46" t="n">
        <v>45889.67986111111</v>
      </c>
      <c r="N77" s="46" t="n">
        <v>45894.66458333333</v>
      </c>
      <c r="O77" s="45" t="n">
        <v>0</v>
      </c>
      <c r="P77" t="inlineStr">
        <is>
          <t>CB UNO A UNO</t>
        </is>
      </c>
      <c r="Q77" t="inlineStr">
        <is>
          <t>CB UNO A UNO</t>
        </is>
      </c>
      <c r="R77" t="inlineStr">
        <is>
          <t>EJECUTADO</t>
        </is>
      </c>
      <c r="S77" t="inlineStr">
        <is>
          <t>EJECUTADO EXITOSO</t>
        </is>
      </c>
      <c r="T77" t="inlineStr">
        <is>
          <t>VISITA TECNICA</t>
        </is>
      </c>
      <c r="U77" t="inlineStr"/>
      <c r="V77" t="inlineStr">
        <is>
          <t>TIPO IV ESPECIAL</t>
        </is>
      </c>
      <c r="W77" t="inlineStr">
        <is>
          <t>AEREO</t>
        </is>
      </c>
      <c r="X77" t="inlineStr">
        <is>
          <t>REYES RAMIREZ DIEGO ALEXANDER</t>
        </is>
      </c>
      <c r="Y77" t="inlineStr">
        <is>
          <t>1</t>
        </is>
      </c>
      <c r="Z77" t="inlineStr">
        <is>
          <t>0</t>
        </is>
      </c>
      <c r="AA77" s="45" t="n">
        <v>988463</v>
      </c>
      <c r="AB77" t="inlineStr">
        <is>
          <t>0</t>
        </is>
      </c>
      <c r="AC77" s="45" t="n">
        <v>1099271</v>
      </c>
      <c r="AD77" s="45" t="n">
        <v>0</v>
      </c>
    </row>
    <row r="78">
      <c r="A78" t="inlineStr">
        <is>
          <t>VILLAVICENCIO</t>
        </is>
      </c>
      <c r="B78" t="inlineStr">
        <is>
          <t>REMOTAS</t>
        </is>
      </c>
      <c r="C78" t="inlineStr">
        <is>
          <t>0004-0007</t>
        </is>
      </c>
      <c r="D78" t="inlineStr">
        <is>
          <t>50001</t>
        </is>
      </c>
      <c r="E78" t="inlineStr">
        <is>
          <t>2624601</t>
        </is>
      </c>
      <c r="F78" t="inlineStr">
        <is>
          <t>3007074216</t>
        </is>
      </c>
      <c r="G78" t="inlineStr">
        <is>
          <t>OC PUBLICIDAD</t>
        </is>
      </c>
      <c r="H78" t="inlineStr">
        <is>
          <t>META</t>
        </is>
      </c>
      <c r="I78" t="inlineStr">
        <is>
          <t>VILLAVICENCIO</t>
        </is>
      </c>
      <c r="J78" t="inlineStr">
        <is>
          <t>BARRIO HACARITAMA VILLAVICENCI</t>
        </is>
      </c>
      <c r="K78" t="inlineStr">
        <is>
          <t>BANCOLOMBIA</t>
        </is>
      </c>
      <c r="L78" t="inlineStr">
        <is>
          <t>FO-25-1403328</t>
        </is>
      </c>
      <c r="M78" s="46" t="n">
        <v>45890.43194444444</v>
      </c>
      <c r="N78" s="46" t="n">
        <v>45892.53541666667</v>
      </c>
      <c r="O78" s="45" t="n">
        <v>0</v>
      </c>
      <c r="P78" t="inlineStr">
        <is>
          <t>CB UNO A UNO</t>
        </is>
      </c>
      <c r="Q78" t="inlineStr">
        <is>
          <t>CB UNO A UNO</t>
        </is>
      </c>
      <c r="R78" t="inlineStr">
        <is>
          <t>EJECUTADO</t>
        </is>
      </c>
      <c r="S78" t="inlineStr">
        <is>
          <t>EJECUTADO EXITOSO</t>
        </is>
      </c>
      <c r="T78" t="inlineStr">
        <is>
          <t>VISITA TECNICA</t>
        </is>
      </c>
      <c r="U78" t="inlineStr"/>
      <c r="V78" t="inlineStr">
        <is>
          <t>TIPO I</t>
        </is>
      </c>
      <c r="W78" t="inlineStr">
        <is>
          <t>TERRESTRE</t>
        </is>
      </c>
      <c r="X78" t="inlineStr">
        <is>
          <t>PEDREROS CONTRERAS MICHAEL STEVENS</t>
        </is>
      </c>
      <c r="Y78" t="inlineStr">
        <is>
          <t>1</t>
        </is>
      </c>
      <c r="Z78" t="inlineStr">
        <is>
          <t>0</t>
        </is>
      </c>
      <c r="AA78" s="45" t="n">
        <v>96011</v>
      </c>
      <c r="AB78" t="inlineStr">
        <is>
          <t>0</t>
        </is>
      </c>
      <c r="AC78" s="45" t="n">
        <v>153426</v>
      </c>
      <c r="AD78" s="45" t="n">
        <v>0</v>
      </c>
    </row>
    <row r="79">
      <c r="A79" t="inlineStr">
        <is>
          <t>CALI</t>
        </is>
      </c>
      <c r="B79" t="inlineStr">
        <is>
          <t>SUROCCIDENTE Y EJE CAFETERO</t>
        </is>
      </c>
      <c r="C79" t="inlineStr">
        <is>
          <t>0004-0003</t>
        </is>
      </c>
      <c r="D79" t="inlineStr">
        <is>
          <t>76834</t>
        </is>
      </c>
      <c r="E79" t="inlineStr">
        <is>
          <t>2624986</t>
        </is>
      </c>
      <c r="F79" t="inlineStr">
        <is>
          <t>3007060012</t>
        </is>
      </c>
      <c r="G79" t="inlineStr">
        <is>
          <t>OC PUBLICIDAD</t>
        </is>
      </c>
      <c r="H79" t="inlineStr">
        <is>
          <t>VALLE DEL CAUCA</t>
        </is>
      </c>
      <c r="I79" t="inlineStr">
        <is>
          <t>TULUA</t>
        </is>
      </c>
      <c r="J79" t="inlineStr">
        <is>
          <t>PTM TULUA COMERCIALIZADORA DM</t>
        </is>
      </c>
      <c r="K79" t="inlineStr">
        <is>
          <t>BANCOLOMBIA</t>
        </is>
      </c>
      <c r="L79" t="inlineStr">
        <is>
          <t>FO-25-1403875</t>
        </is>
      </c>
      <c r="M79" s="46" t="n">
        <v>45890.47013888889</v>
      </c>
      <c r="N79" s="46" t="n">
        <v>45891.56666666667</v>
      </c>
      <c r="O79" s="45" t="n">
        <v>0</v>
      </c>
      <c r="P79" t="inlineStr">
        <is>
          <t>AGREGADOR</t>
        </is>
      </c>
      <c r="Q79" t="inlineStr">
        <is>
          <t>COMCARD - PTM</t>
        </is>
      </c>
      <c r="R79" t="inlineStr">
        <is>
          <t>EJECUTADO</t>
        </is>
      </c>
      <c r="S79" t="inlineStr">
        <is>
          <t>EJECUTADO EXITOSO</t>
        </is>
      </c>
      <c r="T79" t="inlineStr">
        <is>
          <t>VISITA TECNICA</t>
        </is>
      </c>
      <c r="U79" t="inlineStr"/>
      <c r="V79" t="inlineStr">
        <is>
          <t>TIPO II</t>
        </is>
      </c>
      <c r="W79" t="inlineStr">
        <is>
          <t>TERRESTRE</t>
        </is>
      </c>
      <c r="X79" t="inlineStr">
        <is>
          <t>TORRES GARCIA JENDRY JOSE</t>
        </is>
      </c>
      <c r="Y79" t="inlineStr">
        <is>
          <t>1</t>
        </is>
      </c>
      <c r="Z79" t="inlineStr">
        <is>
          <t>0</t>
        </is>
      </c>
      <c r="AA79" s="45" t="n">
        <v>232859</v>
      </c>
      <c r="AB79" t="inlineStr">
        <is>
          <t>0</t>
        </is>
      </c>
      <c r="AC79" s="45" t="n">
        <v>343667</v>
      </c>
      <c r="AD79" s="45" t="n">
        <v>0</v>
      </c>
    </row>
    <row r="80">
      <c r="A80" t="inlineStr">
        <is>
          <t>MANIZALES</t>
        </is>
      </c>
      <c r="B80" t="inlineStr">
        <is>
          <t>SUROCCIDENTE Y EJE CAFETERO</t>
        </is>
      </c>
      <c r="C80" t="inlineStr">
        <is>
          <t>0004-0002</t>
        </is>
      </c>
      <c r="D80" t="inlineStr">
        <is>
          <t>17001</t>
        </is>
      </c>
      <c r="E80" t="inlineStr">
        <is>
          <t>2626235</t>
        </is>
      </c>
      <c r="F80" t="inlineStr">
        <is>
          <t>3007055715</t>
        </is>
      </c>
      <c r="G80" t="inlineStr">
        <is>
          <t>OC PUBLICIDAD</t>
        </is>
      </c>
      <c r="H80" t="inlineStr">
        <is>
          <t>CALDAS</t>
        </is>
      </c>
      <c r="I80" t="inlineStr">
        <is>
          <t>MANIZALES</t>
        </is>
      </c>
      <c r="J80" t="inlineStr">
        <is>
          <t>BARRIO CENTRO MANIZALES 15</t>
        </is>
      </c>
      <c r="K80" t="inlineStr">
        <is>
          <t>BANCOLOMBIA</t>
        </is>
      </c>
      <c r="L80" t="inlineStr">
        <is>
          <t>FO-25-1404734</t>
        </is>
      </c>
      <c r="M80" s="46" t="n">
        <v>45890.56805555556</v>
      </c>
      <c r="N80" s="46" t="n">
        <v>45892.51319444444</v>
      </c>
      <c r="O80" s="45" t="n">
        <v>0</v>
      </c>
      <c r="P80" t="inlineStr">
        <is>
          <t>CB UNO A UNO</t>
        </is>
      </c>
      <c r="Q80" t="inlineStr">
        <is>
          <t>CB UNO A UNO</t>
        </is>
      </c>
      <c r="R80" t="inlineStr">
        <is>
          <t>EJECUTADO</t>
        </is>
      </c>
      <c r="S80" t="inlineStr">
        <is>
          <t>EJECUTADO EXITOSO</t>
        </is>
      </c>
      <c r="T80" t="inlineStr">
        <is>
          <t>VISITA TECNICA</t>
        </is>
      </c>
      <c r="U80" t="inlineStr"/>
      <c r="V80" t="inlineStr">
        <is>
          <t>TIPO I</t>
        </is>
      </c>
      <c r="W80" t="inlineStr">
        <is>
          <t>TERRESTRE</t>
        </is>
      </c>
      <c r="X80" t="inlineStr">
        <is>
          <t>AGUIRRE HENAO RAUL EDUARDO</t>
        </is>
      </c>
      <c r="Y80" t="inlineStr">
        <is>
          <t>1</t>
        </is>
      </c>
      <c r="Z80" t="inlineStr">
        <is>
          <t>0</t>
        </is>
      </c>
      <c r="AA80" s="45" t="n">
        <v>96011</v>
      </c>
      <c r="AB80" t="inlineStr">
        <is>
          <t>0</t>
        </is>
      </c>
      <c r="AC80" s="45" t="n">
        <v>153426</v>
      </c>
      <c r="AD80" s="45" t="n">
        <v>0</v>
      </c>
    </row>
    <row r="81">
      <c r="A81" t="inlineStr">
        <is>
          <t>MEDELLIN</t>
        </is>
      </c>
      <c r="B81" t="inlineStr">
        <is>
          <t>NOROCCIDENTE</t>
        </is>
      </c>
      <c r="C81" t="inlineStr">
        <is>
          <t>0004-0005</t>
        </is>
      </c>
      <c r="D81" t="inlineStr">
        <is>
          <t>5079</t>
        </is>
      </c>
      <c r="E81" t="inlineStr">
        <is>
          <t>2626806</t>
        </is>
      </c>
      <c r="F81" t="inlineStr">
        <is>
          <t>3007056826</t>
        </is>
      </c>
      <c r="G81" t="inlineStr">
        <is>
          <t>OC PUBLICIDAD</t>
        </is>
      </c>
      <c r="H81" t="inlineStr">
        <is>
          <t>ANTIOQUIA</t>
        </is>
      </c>
      <c r="I81" t="inlineStr">
        <is>
          <t>BARBOSA</t>
        </is>
      </c>
      <c r="J81" t="inlineStr">
        <is>
          <t>BARRIO BARBOSA BARBOSA 3</t>
        </is>
      </c>
      <c r="K81" t="inlineStr">
        <is>
          <t>BANCOLOMBIA</t>
        </is>
      </c>
      <c r="L81" t="inlineStr">
        <is>
          <t>FO-25-1405472</t>
        </is>
      </c>
      <c r="M81" s="46" t="n">
        <v>45890.61388888889</v>
      </c>
      <c r="N81" s="46" t="n">
        <v>45892.55763888889</v>
      </c>
      <c r="O81" s="45" t="n">
        <v>0</v>
      </c>
      <c r="P81" t="inlineStr">
        <is>
          <t>CB UNO A UNO</t>
        </is>
      </c>
      <c r="Q81" t="inlineStr">
        <is>
          <t>CB UNO A UNO</t>
        </is>
      </c>
      <c r="R81" t="inlineStr">
        <is>
          <t>EJECUTADO</t>
        </is>
      </c>
      <c r="S81" t="inlineStr">
        <is>
          <t>EJECUTADO EXITOSO</t>
        </is>
      </c>
      <c r="T81" t="inlineStr">
        <is>
          <t>VISITA TECNICA</t>
        </is>
      </c>
      <c r="U81" t="inlineStr"/>
      <c r="V81" t="inlineStr">
        <is>
          <t>TIPO II</t>
        </is>
      </c>
      <c r="W81" t="inlineStr">
        <is>
          <t>TERRESTRE</t>
        </is>
      </c>
      <c r="X81" t="inlineStr">
        <is>
          <t>BARRIENTOS HERNANDEZ CRISTIAN HORACIO</t>
        </is>
      </c>
      <c r="Y81" t="inlineStr">
        <is>
          <t>1</t>
        </is>
      </c>
      <c r="Z81" t="inlineStr">
        <is>
          <t>0</t>
        </is>
      </c>
      <c r="AA81" s="45" t="n">
        <v>232859</v>
      </c>
      <c r="AB81" t="inlineStr">
        <is>
          <t>0</t>
        </is>
      </c>
      <c r="AC81" s="45" t="n">
        <v>343667</v>
      </c>
      <c r="AD81" s="45" t="n">
        <v>0</v>
      </c>
    </row>
    <row r="82">
      <c r="A82" t="inlineStr">
        <is>
          <t>MEDELLIN</t>
        </is>
      </c>
      <c r="B82" t="inlineStr">
        <is>
          <t>NOROCCIDENTE</t>
        </is>
      </c>
      <c r="C82" t="inlineStr">
        <is>
          <t>0004-0005</t>
        </is>
      </c>
      <c r="D82" t="inlineStr">
        <is>
          <t>5360</t>
        </is>
      </c>
      <c r="E82" t="inlineStr">
        <is>
          <t>2629294</t>
        </is>
      </c>
      <c r="F82" t="inlineStr">
        <is>
          <t>3007043649</t>
        </is>
      </c>
      <c r="G82" t="inlineStr">
        <is>
          <t>OC PUBLICIDAD</t>
        </is>
      </c>
      <c r="H82" t="inlineStr">
        <is>
          <t>ANTIOQUIA</t>
        </is>
      </c>
      <c r="I82" t="inlineStr">
        <is>
          <t>ITAGUI</t>
        </is>
      </c>
      <c r="J82" t="inlineStr">
        <is>
          <t>BARRIO SANTA MARIA ITAGUI 5</t>
        </is>
      </c>
      <c r="K82" t="inlineStr">
        <is>
          <t>BANCOLOMBIA</t>
        </is>
      </c>
      <c r="L82" t="inlineStr">
        <is>
          <t>FO-25-1407637</t>
        </is>
      </c>
      <c r="M82" s="46" t="n">
        <v>45891.36805555555</v>
      </c>
      <c r="N82" s="46" t="n">
        <v>45892.52777777778</v>
      </c>
      <c r="O82" s="45" t="n">
        <v>0</v>
      </c>
      <c r="P82" t="inlineStr">
        <is>
          <t>CB UNO A UNO</t>
        </is>
      </c>
      <c r="Q82" t="inlineStr">
        <is>
          <t>CB UNO A UNO</t>
        </is>
      </c>
      <c r="R82" t="inlineStr">
        <is>
          <t>EJECUTADO</t>
        </is>
      </c>
      <c r="S82" t="inlineStr">
        <is>
          <t>EJECUTADO EXITOSO</t>
        </is>
      </c>
      <c r="T82" t="inlineStr">
        <is>
          <t>VISITA TECNICA</t>
        </is>
      </c>
      <c r="U82" t="inlineStr"/>
      <c r="V82" t="inlineStr">
        <is>
          <t>TIPO I</t>
        </is>
      </c>
      <c r="W82" t="inlineStr">
        <is>
          <t>TERRESTRE</t>
        </is>
      </c>
      <c r="X82" t="inlineStr">
        <is>
          <t>BADEL ACUÑA LUIS ALBERTO</t>
        </is>
      </c>
      <c r="Y82" t="inlineStr">
        <is>
          <t>1</t>
        </is>
      </c>
      <c r="Z82" t="inlineStr">
        <is>
          <t>0</t>
        </is>
      </c>
      <c r="AA82" s="45" t="n">
        <v>96011</v>
      </c>
      <c r="AB82" t="inlineStr">
        <is>
          <t>0</t>
        </is>
      </c>
      <c r="AC82" s="45" t="n">
        <v>153426</v>
      </c>
      <c r="AD82" s="45" t="n">
        <v>0</v>
      </c>
    </row>
    <row r="83">
      <c r="A83" t="inlineStr">
        <is>
          <t>IBAGUE</t>
        </is>
      </c>
      <c r="B83" t="inlineStr">
        <is>
          <t>REMOTAS</t>
        </is>
      </c>
      <c r="C83" t="inlineStr">
        <is>
          <t>0004-0007</t>
        </is>
      </c>
      <c r="D83" t="inlineStr">
        <is>
          <t>73001</t>
        </is>
      </c>
      <c r="E83" t="inlineStr">
        <is>
          <t>2629433</t>
        </is>
      </c>
      <c r="F83" t="inlineStr">
        <is>
          <t>3007080022</t>
        </is>
      </c>
      <c r="G83" t="inlineStr">
        <is>
          <t>OC PUBLICIDAD</t>
        </is>
      </c>
      <c r="H83" t="inlineStr">
        <is>
          <t>TOLIMA</t>
        </is>
      </c>
      <c r="I83" t="inlineStr">
        <is>
          <t>IBAGUE</t>
        </is>
      </c>
      <c r="J83" t="inlineStr">
        <is>
          <t>BARRIO MACARENA PARTE BAJA IBAGUE</t>
        </is>
      </c>
      <c r="K83" t="inlineStr">
        <is>
          <t>BANCOLOMBIA</t>
        </is>
      </c>
      <c r="L83" t="inlineStr">
        <is>
          <t>FO-25-1407572</t>
        </is>
      </c>
      <c r="M83" s="46" t="n">
        <v>45891.35972222222</v>
      </c>
      <c r="N83" s="46" t="n">
        <v>45891.47013888889</v>
      </c>
      <c r="O83" s="45" t="n">
        <v>0</v>
      </c>
      <c r="P83" t="inlineStr">
        <is>
          <t>UNO A UNO</t>
        </is>
      </c>
      <c r="Q83" t="inlineStr">
        <is>
          <t>UNO A UNO</t>
        </is>
      </c>
      <c r="R83" t="inlineStr">
        <is>
          <t>EJECUTADO</t>
        </is>
      </c>
      <c r="S83" t="inlineStr">
        <is>
          <t>EJECUTADO EXITOSO</t>
        </is>
      </c>
      <c r="T83" t="inlineStr">
        <is>
          <t>VISITA TECNICA</t>
        </is>
      </c>
      <c r="U83" t="inlineStr"/>
      <c r="V83" t="inlineStr">
        <is>
          <t>TIPO I</t>
        </is>
      </c>
      <c r="W83" t="inlineStr">
        <is>
          <t>TERRESTRE</t>
        </is>
      </c>
      <c r="X83" t="inlineStr">
        <is>
          <t>VARGAS HERRERA JHON JAIRO</t>
        </is>
      </c>
      <c r="Y83" t="inlineStr">
        <is>
          <t>1</t>
        </is>
      </c>
      <c r="Z83" t="inlineStr">
        <is>
          <t>0</t>
        </is>
      </c>
      <c r="AA83" s="45" t="n">
        <v>96011</v>
      </c>
      <c r="AB83" t="inlineStr">
        <is>
          <t>0</t>
        </is>
      </c>
      <c r="AC83" s="45" t="n">
        <v>153426</v>
      </c>
      <c r="AD83" s="45" t="n">
        <v>0</v>
      </c>
    </row>
    <row r="84">
      <c r="A84" t="inlineStr">
        <is>
          <t>VILLAVICENCIO</t>
        </is>
      </c>
      <c r="B84" t="inlineStr">
        <is>
          <t>REMOTAS</t>
        </is>
      </c>
      <c r="C84" t="inlineStr">
        <is>
          <t>0004-0007</t>
        </is>
      </c>
      <c r="D84" t="inlineStr">
        <is>
          <t>50001</t>
        </is>
      </c>
      <c r="E84" t="inlineStr">
        <is>
          <t>2629892</t>
        </is>
      </c>
      <c r="F84" t="inlineStr">
        <is>
          <t>3007074111</t>
        </is>
      </c>
      <c r="G84" t="inlineStr">
        <is>
          <t>OC PUBLICIDAD</t>
        </is>
      </c>
      <c r="H84" t="inlineStr">
        <is>
          <t>META</t>
        </is>
      </c>
      <c r="I84" t="inlineStr">
        <is>
          <t>VILLAVICENCIO</t>
        </is>
      </c>
      <c r="J84" t="inlineStr">
        <is>
          <t>BARRIO ESTERO VILLAVICENCIO 15</t>
        </is>
      </c>
      <c r="K84" t="inlineStr">
        <is>
          <t>BANCOLOMBIA</t>
        </is>
      </c>
      <c r="L84" t="inlineStr">
        <is>
          <t>FO-25-1408112</t>
        </is>
      </c>
      <c r="M84" s="46" t="n">
        <v>45891.40138888889</v>
      </c>
      <c r="N84" s="46" t="n">
        <v>45894.70069444444</v>
      </c>
      <c r="O84" s="45" t="n">
        <v>0</v>
      </c>
      <c r="P84" t="inlineStr">
        <is>
          <t>CB UNO A UNO</t>
        </is>
      </c>
      <c r="Q84" t="inlineStr">
        <is>
          <t>CB UNO A UNO</t>
        </is>
      </c>
      <c r="R84" t="inlineStr">
        <is>
          <t>EJECUTADO</t>
        </is>
      </c>
      <c r="S84" t="inlineStr">
        <is>
          <t>EJECUTADO EXITOSO</t>
        </is>
      </c>
      <c r="T84" t="inlineStr">
        <is>
          <t>VISITA TECNICA</t>
        </is>
      </c>
      <c r="U84" t="inlineStr"/>
      <c r="V84" t="inlineStr">
        <is>
          <t>TIPO I</t>
        </is>
      </c>
      <c r="W84" t="inlineStr">
        <is>
          <t>TERRESTRE</t>
        </is>
      </c>
      <c r="X84" t="inlineStr">
        <is>
          <t>PEDREROS CONTRERAS MICHAEL STEVENS</t>
        </is>
      </c>
      <c r="Y84" t="inlineStr">
        <is>
          <t>1</t>
        </is>
      </c>
      <c r="Z84" t="inlineStr">
        <is>
          <t>0</t>
        </is>
      </c>
      <c r="AA84" s="45" t="n">
        <v>96011</v>
      </c>
      <c r="AB84" t="inlineStr">
        <is>
          <t>0</t>
        </is>
      </c>
      <c r="AC84" s="45" t="n">
        <v>153426</v>
      </c>
      <c r="AD84" s="45" t="n">
        <v>0</v>
      </c>
    </row>
    <row r="85">
      <c r="A85" t="inlineStr">
        <is>
          <t>IBAGUE</t>
        </is>
      </c>
      <c r="B85" t="inlineStr">
        <is>
          <t>REMOTAS</t>
        </is>
      </c>
      <c r="C85" t="inlineStr">
        <is>
          <t>0004-0007</t>
        </is>
      </c>
      <c r="D85" t="inlineStr">
        <is>
          <t>73001</t>
        </is>
      </c>
      <c r="E85" t="inlineStr">
        <is>
          <t>2630362</t>
        </is>
      </c>
      <c r="F85" t="inlineStr">
        <is>
          <t>3007075098</t>
        </is>
      </c>
      <c r="G85" t="inlineStr">
        <is>
          <t>OC PUBLICIDAD</t>
        </is>
      </c>
      <c r="H85" t="inlineStr">
        <is>
          <t>TOLIMA</t>
        </is>
      </c>
      <c r="I85" t="inlineStr">
        <is>
          <t>IBAGUE</t>
        </is>
      </c>
      <c r="J85" t="inlineStr">
        <is>
          <t>BARRIO LA CASTELLANA IBAGUE</t>
        </is>
      </c>
      <c r="K85" t="inlineStr">
        <is>
          <t>BANCOLOMBIA</t>
        </is>
      </c>
      <c r="L85" t="inlineStr">
        <is>
          <t>FO-25-1408584</t>
        </is>
      </c>
      <c r="M85" s="46" t="n">
        <v>45891.41805555556</v>
      </c>
      <c r="N85" s="46" t="n">
        <v>45892.50972222222</v>
      </c>
      <c r="O85" s="45" t="n">
        <v>0</v>
      </c>
      <c r="P85" t="inlineStr">
        <is>
          <t>CB UNO A UNO</t>
        </is>
      </c>
      <c r="Q85" t="inlineStr">
        <is>
          <t>CB UNO A UNO</t>
        </is>
      </c>
      <c r="R85" t="inlineStr">
        <is>
          <t>EJECUTADO</t>
        </is>
      </c>
      <c r="S85" t="inlineStr">
        <is>
          <t>EJECUTADO EXITOSO</t>
        </is>
      </c>
      <c r="T85" t="inlineStr">
        <is>
          <t>VISITA TECNICA</t>
        </is>
      </c>
      <c r="U85" t="inlineStr"/>
      <c r="V85" t="inlineStr">
        <is>
          <t>TIPO I</t>
        </is>
      </c>
      <c r="W85" t="inlineStr">
        <is>
          <t>TERRESTRE</t>
        </is>
      </c>
      <c r="X85" t="inlineStr">
        <is>
          <t>GUTIERREZ  CAMILO ANDRES</t>
        </is>
      </c>
      <c r="Y85" t="inlineStr">
        <is>
          <t>1</t>
        </is>
      </c>
      <c r="Z85" t="inlineStr">
        <is>
          <t>0</t>
        </is>
      </c>
      <c r="AA85" s="45" t="n">
        <v>96011</v>
      </c>
      <c r="AB85" t="inlineStr">
        <is>
          <t>0</t>
        </is>
      </c>
      <c r="AC85" s="45" t="n">
        <v>153426</v>
      </c>
      <c r="AD85" s="45" t="n">
        <v>0</v>
      </c>
    </row>
    <row r="86">
      <c r="A86" t="inlineStr">
        <is>
          <t>VILLAVICENCIO</t>
        </is>
      </c>
      <c r="B86" t="inlineStr">
        <is>
          <t>REMOTAS</t>
        </is>
      </c>
      <c r="C86" t="inlineStr">
        <is>
          <t>0004-0007</t>
        </is>
      </c>
      <c r="D86" t="inlineStr">
        <is>
          <t>50001</t>
        </is>
      </c>
      <c r="E86" t="inlineStr">
        <is>
          <t>2630414</t>
        </is>
      </c>
      <c r="F86" t="inlineStr">
        <is>
          <t>3007050253</t>
        </is>
      </c>
      <c r="G86" t="inlineStr">
        <is>
          <t>OC PUBLICIDAD</t>
        </is>
      </c>
      <c r="H86" t="inlineStr">
        <is>
          <t>META</t>
        </is>
      </c>
      <c r="I86" t="inlineStr">
        <is>
          <t>VILLAVICENCIO</t>
        </is>
      </c>
      <c r="J86" t="inlineStr">
        <is>
          <t>BARRIO VILLA ORTIZ VILLAVICENC</t>
        </is>
      </c>
      <c r="K86" t="inlineStr">
        <is>
          <t>BANCOLOMBIA</t>
        </is>
      </c>
      <c r="L86" t="inlineStr">
        <is>
          <t>FO-25-1408582</t>
        </is>
      </c>
      <c r="M86" s="46" t="n">
        <v>45891.42777777778</v>
      </c>
      <c r="N86" s="46" t="n">
        <v>45892.63888888889</v>
      </c>
      <c r="O86" s="45" t="n">
        <v>0</v>
      </c>
      <c r="P86" t="inlineStr">
        <is>
          <t>CB UNO A UNO</t>
        </is>
      </c>
      <c r="Q86" t="inlineStr">
        <is>
          <t>CB UNO A UNO</t>
        </is>
      </c>
      <c r="R86" t="inlineStr">
        <is>
          <t>EJECUTADO</t>
        </is>
      </c>
      <c r="S86" t="inlineStr">
        <is>
          <t>EJECUTADO EXITOSO</t>
        </is>
      </c>
      <c r="T86" t="inlineStr">
        <is>
          <t>VISITA TECNICA</t>
        </is>
      </c>
      <c r="U86" t="inlineStr"/>
      <c r="V86" t="inlineStr">
        <is>
          <t>TIPO I</t>
        </is>
      </c>
      <c r="W86" t="inlineStr">
        <is>
          <t>TERRESTRE</t>
        </is>
      </c>
      <c r="X86" t="inlineStr">
        <is>
          <t>PEDREROS CONTRERAS MICHAEL STEVENS</t>
        </is>
      </c>
      <c r="Y86" t="inlineStr">
        <is>
          <t>1</t>
        </is>
      </c>
      <c r="Z86" t="inlineStr">
        <is>
          <t>0</t>
        </is>
      </c>
      <c r="AA86" s="45" t="n">
        <v>96011</v>
      </c>
      <c r="AB86" t="inlineStr">
        <is>
          <t>0</t>
        </is>
      </c>
      <c r="AC86" s="45" t="n">
        <v>153426</v>
      </c>
      <c r="AD86" s="45" t="n">
        <v>0</v>
      </c>
    </row>
    <row r="87">
      <c r="A87" t="inlineStr">
        <is>
          <t>MEDELLIN</t>
        </is>
      </c>
      <c r="B87" t="inlineStr">
        <is>
          <t>NOROCCIDENTE</t>
        </is>
      </c>
      <c r="C87" t="inlineStr">
        <is>
          <t>0004-0005</t>
        </is>
      </c>
      <c r="D87" t="inlineStr">
        <is>
          <t>5001</t>
        </is>
      </c>
      <c r="E87" t="inlineStr">
        <is>
          <t>2630708</t>
        </is>
      </c>
      <c r="F87" t="inlineStr">
        <is>
          <t>3007023781</t>
        </is>
      </c>
      <c r="G87" t="inlineStr">
        <is>
          <t>OC PUBLICIDAD</t>
        </is>
      </c>
      <c r="H87" t="inlineStr">
        <is>
          <t>ANTIOQUIA</t>
        </is>
      </c>
      <c r="I87" t="inlineStr">
        <is>
          <t>MEDELLIN</t>
        </is>
      </c>
      <c r="J87" t="inlineStr">
        <is>
          <t>BARRIO MANRIQUE GUADALUPE MEDE</t>
        </is>
      </c>
      <c r="K87" t="inlineStr">
        <is>
          <t>BANCOLOMBIA</t>
        </is>
      </c>
      <c r="L87" t="inlineStr">
        <is>
          <t>FO-25-1408861</t>
        </is>
      </c>
      <c r="M87" s="46" t="n">
        <v>45891.44652777778</v>
      </c>
      <c r="N87" s="46" t="n">
        <v>45894.65486111111</v>
      </c>
      <c r="O87" s="45" t="n">
        <v>0</v>
      </c>
      <c r="P87" t="inlineStr">
        <is>
          <t>CB UNO A UNO</t>
        </is>
      </c>
      <c r="Q87" t="inlineStr">
        <is>
          <t>CB UNO A UNO</t>
        </is>
      </c>
      <c r="R87" t="inlineStr">
        <is>
          <t>EJECUTADO</t>
        </is>
      </c>
      <c r="S87" t="inlineStr">
        <is>
          <t>EJECUTADO EXITOSO</t>
        </is>
      </c>
      <c r="T87" t="inlineStr">
        <is>
          <t>VISITA TECNICA</t>
        </is>
      </c>
      <c r="U87" t="inlineStr"/>
      <c r="V87" t="inlineStr">
        <is>
          <t>TIPO I</t>
        </is>
      </c>
      <c r="W87" t="inlineStr">
        <is>
          <t>TERRESTRE</t>
        </is>
      </c>
      <c r="X87" t="inlineStr">
        <is>
          <t>MARTINEZ TOVAR OSCAR DAVID</t>
        </is>
      </c>
      <c r="Y87" t="inlineStr">
        <is>
          <t>1</t>
        </is>
      </c>
      <c r="Z87" t="inlineStr">
        <is>
          <t>0</t>
        </is>
      </c>
      <c r="AA87" s="45" t="n">
        <v>96011</v>
      </c>
      <c r="AB87" t="inlineStr">
        <is>
          <t>0</t>
        </is>
      </c>
      <c r="AC87" s="45" t="n">
        <v>153426</v>
      </c>
      <c r="AD87" s="45" t="n">
        <v>0</v>
      </c>
    </row>
    <row r="88">
      <c r="A88" t="inlineStr">
        <is>
          <t>SINCELEJO</t>
        </is>
      </c>
      <c r="B88" t="inlineStr">
        <is>
          <t>COSTA</t>
        </is>
      </c>
      <c r="C88" t="inlineStr">
        <is>
          <t>0004-0001</t>
        </is>
      </c>
      <c r="D88" t="inlineStr">
        <is>
          <t>70001</t>
        </is>
      </c>
      <c r="E88" t="inlineStr">
        <is>
          <t>2631787</t>
        </is>
      </c>
      <c r="F88" t="inlineStr">
        <is>
          <t>3007075388</t>
        </is>
      </c>
      <c r="G88" t="inlineStr">
        <is>
          <t>OC PUBLICIDAD</t>
        </is>
      </c>
      <c r="H88" t="inlineStr">
        <is>
          <t>SUCRE</t>
        </is>
      </c>
      <c r="I88" t="inlineStr">
        <is>
          <t>SINCELEJO</t>
        </is>
      </c>
      <c r="J88" t="inlineStr">
        <is>
          <t>BARRIO KENNEDY SINCELEJO</t>
        </is>
      </c>
      <c r="K88" t="inlineStr">
        <is>
          <t>BANCOLOMBIA</t>
        </is>
      </c>
      <c r="L88" t="inlineStr">
        <is>
          <t>FO-25-1410228</t>
        </is>
      </c>
      <c r="M88" s="46" t="n">
        <v>45891.55902777778</v>
      </c>
      <c r="N88" s="46" t="n">
        <v>45893.56388888889</v>
      </c>
      <c r="O88" s="45" t="n">
        <v>0</v>
      </c>
      <c r="P88" t="inlineStr">
        <is>
          <t>CB UNO A UNO</t>
        </is>
      </c>
      <c r="Q88" t="inlineStr">
        <is>
          <t>CB UNO A UNO</t>
        </is>
      </c>
      <c r="R88" t="inlineStr">
        <is>
          <t>EJECUTADO</t>
        </is>
      </c>
      <c r="S88" t="inlineStr">
        <is>
          <t>EJECUTADO EXITOSO</t>
        </is>
      </c>
      <c r="T88" t="inlineStr">
        <is>
          <t>VISITA TECNICA</t>
        </is>
      </c>
      <c r="U88" t="inlineStr"/>
      <c r="V88" t="inlineStr">
        <is>
          <t>TIPO I</t>
        </is>
      </c>
      <c r="W88" t="inlineStr">
        <is>
          <t>TERRESTRE</t>
        </is>
      </c>
      <c r="X88" t="inlineStr">
        <is>
          <t>CACERES HERNANDEZ ANDRES</t>
        </is>
      </c>
      <c r="Y88" t="inlineStr">
        <is>
          <t>1</t>
        </is>
      </c>
      <c r="Z88" t="inlineStr">
        <is>
          <t>0</t>
        </is>
      </c>
      <c r="AA88" s="45" t="n">
        <v>96011</v>
      </c>
      <c r="AB88" t="inlineStr">
        <is>
          <t>0</t>
        </is>
      </c>
      <c r="AC88" s="45" t="n">
        <v>153426</v>
      </c>
      <c r="AD88" s="45" t="n">
        <v>0</v>
      </c>
    </row>
    <row r="89">
      <c r="A89" t="inlineStr">
        <is>
          <t>BUCARAMANGA</t>
        </is>
      </c>
      <c r="B89" t="inlineStr">
        <is>
          <t>SANTANDERES</t>
        </is>
      </c>
      <c r="C89" t="inlineStr">
        <is>
          <t>0004-0008</t>
        </is>
      </c>
      <c r="D89" t="inlineStr">
        <is>
          <t>68547</t>
        </is>
      </c>
      <c r="E89" t="inlineStr">
        <is>
          <t>2632840</t>
        </is>
      </c>
      <c r="F89" t="inlineStr">
        <is>
          <t>3007040693</t>
        </is>
      </c>
      <c r="G89" t="inlineStr">
        <is>
          <t>OC PUBLICIDAD</t>
        </is>
      </c>
      <c r="H89" t="inlineStr">
        <is>
          <t>SANTANDER</t>
        </is>
      </c>
      <c r="I89" t="inlineStr">
        <is>
          <t>PIEDECUESTA</t>
        </is>
      </c>
      <c r="J89" t="inlineStr">
        <is>
          <t>PTM PIEDECUESTA CYBER ANDRES</t>
        </is>
      </c>
      <c r="K89" t="inlineStr">
        <is>
          <t>BANCOLOMBIA</t>
        </is>
      </c>
      <c r="L89" t="inlineStr">
        <is>
          <t>FO-25-1411252</t>
        </is>
      </c>
      <c r="M89" s="46" t="n">
        <v>45891.64930555555</v>
      </c>
      <c r="N89" s="46" t="n">
        <v>45894.68333333333</v>
      </c>
      <c r="O89" s="45" t="n">
        <v>0</v>
      </c>
      <c r="P89" t="inlineStr">
        <is>
          <t>AGREGADOR</t>
        </is>
      </c>
      <c r="Q89" t="inlineStr">
        <is>
          <t>COMCARD - PTM</t>
        </is>
      </c>
      <c r="R89" t="inlineStr">
        <is>
          <t>EJECUTADO</t>
        </is>
      </c>
      <c r="S89" t="inlineStr">
        <is>
          <t>EJECUTADO EXITOSO</t>
        </is>
      </c>
      <c r="T89" t="inlineStr">
        <is>
          <t>VISITA TECNICA</t>
        </is>
      </c>
      <c r="U89" t="inlineStr"/>
      <c r="V89" t="inlineStr">
        <is>
          <t>TIPO II</t>
        </is>
      </c>
      <c r="W89" t="inlineStr">
        <is>
          <t>TERRESTRE</t>
        </is>
      </c>
      <c r="X89" t="inlineStr">
        <is>
          <t>GONZALEZ ESTUPIÑAN YEISON WALTER ANTONIO</t>
        </is>
      </c>
      <c r="Y89" t="inlineStr">
        <is>
          <t>1</t>
        </is>
      </c>
      <c r="Z89" t="inlineStr">
        <is>
          <t>0</t>
        </is>
      </c>
      <c r="AA89" s="45" t="n">
        <v>232859</v>
      </c>
      <c r="AB89" t="inlineStr">
        <is>
          <t>0</t>
        </is>
      </c>
      <c r="AC89" s="45" t="n">
        <v>343667</v>
      </c>
      <c r="AD89" s="45" t="n">
        <v>0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27361</t>
        </is>
      </c>
      <c r="E90" t="inlineStr">
        <is>
          <t>2634336</t>
        </is>
      </c>
      <c r="F90" t="inlineStr">
        <is>
          <t>3007041733</t>
        </is>
      </c>
      <c r="G90" t="inlineStr">
        <is>
          <t>OC PUBLICIDAD</t>
        </is>
      </c>
      <c r="H90" t="inlineStr">
        <is>
          <t>CHOCO</t>
        </is>
      </c>
      <c r="I90" t="inlineStr">
        <is>
          <t>ISTMINA</t>
        </is>
      </c>
      <c r="J90" t="inlineStr">
        <is>
          <t>BARRIO CUBIS ISTMINA 4</t>
        </is>
      </c>
      <c r="K90" t="inlineStr">
        <is>
          <t>BANCOLOMBIA</t>
        </is>
      </c>
      <c r="L90" t="inlineStr">
        <is>
          <t>FO-25-1413556</t>
        </is>
      </c>
      <c r="M90" s="46" t="n">
        <v>45892.38611111111</v>
      </c>
      <c r="N90" s="46" t="n">
        <v>45897.52430555555</v>
      </c>
      <c r="O90" s="45" t="n">
        <v>0</v>
      </c>
      <c r="P90" t="inlineStr">
        <is>
          <t>CB UNO A UNO</t>
        </is>
      </c>
      <c r="Q90" t="inlineStr">
        <is>
          <t>CB UNO A UNO</t>
        </is>
      </c>
      <c r="R90" t="inlineStr">
        <is>
          <t>EJECUTADO</t>
        </is>
      </c>
      <c r="S90" t="inlineStr">
        <is>
          <t>EJECUTADO EXITOSO</t>
        </is>
      </c>
      <c r="T90" t="inlineStr">
        <is>
          <t>VISITA TECNICA</t>
        </is>
      </c>
      <c r="U90" t="inlineStr"/>
      <c r="V90" t="inlineStr">
        <is>
          <t>TIPO IV ESPECIAL</t>
        </is>
      </c>
      <c r="W90" t="inlineStr">
        <is>
          <t>AEREO</t>
        </is>
      </c>
      <c r="X90" t="inlineStr">
        <is>
          <t>ROBLEDO DIAZ ANDRES FELIPE</t>
        </is>
      </c>
      <c r="Y90" t="inlineStr">
        <is>
          <t>1</t>
        </is>
      </c>
      <c r="Z90" t="inlineStr">
        <is>
          <t>0</t>
        </is>
      </c>
      <c r="AA90" s="45" t="n">
        <v>988463</v>
      </c>
      <c r="AB90" t="inlineStr">
        <is>
          <t>0</t>
        </is>
      </c>
      <c r="AC90" s="45" t="n">
        <v>1099271</v>
      </c>
      <c r="AD90" s="45" t="n">
        <v>0</v>
      </c>
    </row>
    <row r="91">
      <c r="A91" t="inlineStr">
        <is>
          <t>BUCARAMANGA</t>
        </is>
      </c>
      <c r="B91" t="inlineStr">
        <is>
          <t>SANTANDERES</t>
        </is>
      </c>
      <c r="C91" t="inlineStr">
        <is>
          <t>0004-0008</t>
        </is>
      </c>
      <c r="D91" t="inlineStr">
        <is>
          <t>68406</t>
        </is>
      </c>
      <c r="E91" t="inlineStr">
        <is>
          <t>2634444</t>
        </is>
      </c>
      <c r="F91" t="inlineStr">
        <is>
          <t>3007037246</t>
        </is>
      </c>
      <c r="G91" t="inlineStr">
        <is>
          <t>OC PUBLICIDAD</t>
        </is>
      </c>
      <c r="H91" t="inlineStr">
        <is>
          <t>SANTANDER</t>
        </is>
      </c>
      <c r="I91" t="inlineStr">
        <is>
          <t>LEBRIJA</t>
        </is>
      </c>
      <c r="J91" t="inlineStr">
        <is>
          <t>PTM LEBRIJA AGUADA</t>
        </is>
      </c>
      <c r="K91" t="inlineStr">
        <is>
          <t>BANCOLOMBIA</t>
        </is>
      </c>
      <c r="L91" t="inlineStr">
        <is>
          <t>FO-25-1413734</t>
        </is>
      </c>
      <c r="M91" s="46" t="n">
        <v>45892.44305555556</v>
      </c>
      <c r="N91" s="46" t="n">
        <v>45894.65</v>
      </c>
      <c r="O91" s="45" t="n">
        <v>0</v>
      </c>
      <c r="P91" t="inlineStr">
        <is>
          <t>AGREGADOR</t>
        </is>
      </c>
      <c r="Q91" t="inlineStr">
        <is>
          <t>COMCARD - PTM</t>
        </is>
      </c>
      <c r="R91" t="inlineStr">
        <is>
          <t>EJECUTADO</t>
        </is>
      </c>
      <c r="S91" t="inlineStr">
        <is>
          <t>EJECUTADO EXITOSO</t>
        </is>
      </c>
      <c r="T91" t="inlineStr">
        <is>
          <t>VISITA TECNICA</t>
        </is>
      </c>
      <c r="U91" t="inlineStr"/>
      <c r="V91" t="inlineStr">
        <is>
          <t>TIPO II</t>
        </is>
      </c>
      <c r="W91" t="inlineStr">
        <is>
          <t>TERRESTRE</t>
        </is>
      </c>
      <c r="X91" t="inlineStr">
        <is>
          <t>HERRERA LUQUE SAUL JAVIER</t>
        </is>
      </c>
      <c r="Y91" t="inlineStr">
        <is>
          <t>1</t>
        </is>
      </c>
      <c r="Z91" t="inlineStr">
        <is>
          <t>0</t>
        </is>
      </c>
      <c r="AA91" s="45" t="n">
        <v>232859</v>
      </c>
      <c r="AB91" t="inlineStr">
        <is>
          <t>0</t>
        </is>
      </c>
      <c r="AC91" s="45" t="n">
        <v>343667</v>
      </c>
      <c r="AD91" s="45" t="n">
        <v>0</v>
      </c>
    </row>
    <row r="92">
      <c r="A92" t="inlineStr">
        <is>
          <t>MEDELLIN</t>
        </is>
      </c>
      <c r="B92" t="inlineStr">
        <is>
          <t>NOROCCIDENTE</t>
        </is>
      </c>
      <c r="C92" t="inlineStr">
        <is>
          <t>0004-0005</t>
        </is>
      </c>
      <c r="D92" t="inlineStr">
        <is>
          <t>5001</t>
        </is>
      </c>
      <c r="E92" t="inlineStr">
        <is>
          <t>2636491</t>
        </is>
      </c>
      <c r="F92" t="inlineStr">
        <is>
          <t>3007075950</t>
        </is>
      </c>
      <c r="G92" t="inlineStr">
        <is>
          <t>OC PUBLICIDAD</t>
        </is>
      </c>
      <c r="H92" t="inlineStr">
        <is>
          <t>ANTIOQUIA</t>
        </is>
      </c>
      <c r="I92" t="inlineStr">
        <is>
          <t>MEDELLIN</t>
        </is>
      </c>
      <c r="J92" t="inlineStr">
        <is>
          <t>BARRIO SANTA TERESITA MEDELLIN</t>
        </is>
      </c>
      <c r="K92" t="inlineStr">
        <is>
          <t>BANCOLOMBIA</t>
        </is>
      </c>
      <c r="L92" t="inlineStr">
        <is>
          <t>FO-25-1418809</t>
        </is>
      </c>
      <c r="M92" s="46" t="n">
        <v>45894.35347222222</v>
      </c>
      <c r="N92" s="46" t="n">
        <v>45897.70833333334</v>
      </c>
      <c r="O92" s="45" t="n">
        <v>0</v>
      </c>
      <c r="P92" t="inlineStr">
        <is>
          <t>CB UNO A UNO</t>
        </is>
      </c>
      <c r="Q92" t="inlineStr">
        <is>
          <t>CB UNO A UNO</t>
        </is>
      </c>
      <c r="R92" t="inlineStr">
        <is>
          <t>EJECUTADO</t>
        </is>
      </c>
      <c r="S92" t="inlineStr">
        <is>
          <t>EJECUTADO EXITOSO</t>
        </is>
      </c>
      <c r="T92" t="inlineStr">
        <is>
          <t>VISITA TECNICA</t>
        </is>
      </c>
      <c r="U92" t="inlineStr"/>
      <c r="V92" t="inlineStr">
        <is>
          <t>TIPO I</t>
        </is>
      </c>
      <c r="W92" t="inlineStr">
        <is>
          <t>TERRESTRE</t>
        </is>
      </c>
      <c r="X92" t="inlineStr">
        <is>
          <t>ZAPATA LOPEZ EDWARD ASDRUBAL</t>
        </is>
      </c>
      <c r="Y92" t="inlineStr">
        <is>
          <t>1</t>
        </is>
      </c>
      <c r="Z92" t="inlineStr">
        <is>
          <t>0</t>
        </is>
      </c>
      <c r="AA92" s="45" t="n">
        <v>96011</v>
      </c>
      <c r="AB92" t="inlineStr">
        <is>
          <t>0</t>
        </is>
      </c>
      <c r="AC92" s="45" t="n">
        <v>153426</v>
      </c>
      <c r="AD92" s="45" t="n">
        <v>0</v>
      </c>
    </row>
    <row r="93">
      <c r="A93" t="inlineStr">
        <is>
          <t>IBAGUE</t>
        </is>
      </c>
      <c r="B93" t="inlineStr">
        <is>
          <t>REMOTAS</t>
        </is>
      </c>
      <c r="C93" t="inlineStr">
        <is>
          <t>0004-0007</t>
        </is>
      </c>
      <c r="D93" t="inlineStr">
        <is>
          <t>73001</t>
        </is>
      </c>
      <c r="E93" t="inlineStr">
        <is>
          <t>2636575</t>
        </is>
      </c>
      <c r="F93" t="inlineStr">
        <is>
          <t>3007060705</t>
        </is>
      </c>
      <c r="G93" t="inlineStr">
        <is>
          <t>OC PUBLICIDAD</t>
        </is>
      </c>
      <c r="H93" t="inlineStr">
        <is>
          <t>TOLIMA</t>
        </is>
      </c>
      <c r="I93" t="inlineStr">
        <is>
          <t>IBAGUE</t>
        </is>
      </c>
      <c r="J93" t="inlineStr">
        <is>
          <t>DISTRICOL CORRESPONSAL LA 27</t>
        </is>
      </c>
      <c r="K93" t="inlineStr">
        <is>
          <t>BANCOLOMBIA</t>
        </is>
      </c>
      <c r="L93" t="inlineStr">
        <is>
          <t>FO-25-1418802</t>
        </is>
      </c>
      <c r="M93" s="46" t="n">
        <v>45894.36388888889</v>
      </c>
      <c r="N93" s="46" t="n">
        <v>45894.68472222222</v>
      </c>
      <c r="O93" s="45" t="n">
        <v>0</v>
      </c>
      <c r="P93" t="inlineStr">
        <is>
          <t>AGREGADOR</t>
        </is>
      </c>
      <c r="Q93" t="inlineStr">
        <is>
          <t>DISTRICOL</t>
        </is>
      </c>
      <c r="R93" t="inlineStr">
        <is>
          <t>EJECUTADO</t>
        </is>
      </c>
      <c r="S93" t="inlineStr">
        <is>
          <t>EJECUTADO EXITOSO</t>
        </is>
      </c>
      <c r="T93" t="inlineStr">
        <is>
          <t>VISITA TECNICA</t>
        </is>
      </c>
      <c r="U93" t="inlineStr"/>
      <c r="V93" t="inlineStr">
        <is>
          <t>TIPO I</t>
        </is>
      </c>
      <c r="W93" t="inlineStr">
        <is>
          <t>TERRESTRE</t>
        </is>
      </c>
      <c r="X93" t="inlineStr">
        <is>
          <t>BARRAGAN TAFUR EDWIN ESTEBAN</t>
        </is>
      </c>
      <c r="Y93" t="inlineStr">
        <is>
          <t>1</t>
        </is>
      </c>
      <c r="Z93" t="inlineStr">
        <is>
          <t>0</t>
        </is>
      </c>
      <c r="AA93" s="45" t="n">
        <v>96011</v>
      </c>
      <c r="AB93" t="inlineStr">
        <is>
          <t>0</t>
        </is>
      </c>
      <c r="AC93" s="45" t="n">
        <v>153426</v>
      </c>
      <c r="AD93" s="45" t="n">
        <v>0</v>
      </c>
    </row>
    <row r="94">
      <c r="A94" t="inlineStr">
        <is>
          <t>BOGOTA</t>
        </is>
      </c>
      <c r="B94" t="inlineStr">
        <is>
          <t>CUNDINAMARCA</t>
        </is>
      </c>
      <c r="C94" t="inlineStr">
        <is>
          <t>0004-0004</t>
        </is>
      </c>
      <c r="D94" t="inlineStr">
        <is>
          <t>11001</t>
        </is>
      </c>
      <c r="E94" t="inlineStr">
        <is>
          <t>2637829</t>
        </is>
      </c>
      <c r="F94" t="inlineStr">
        <is>
          <t>3007048880</t>
        </is>
      </c>
      <c r="G94" t="inlineStr">
        <is>
          <t>OC PUBLICIDAD</t>
        </is>
      </c>
      <c r="H94" t="inlineStr">
        <is>
          <t>CUNDINAMARCA</t>
        </is>
      </c>
      <c r="I94" t="inlineStr">
        <is>
          <t>BOGOTA</t>
        </is>
      </c>
      <c r="J94" t="inlineStr">
        <is>
          <t>BARRIO FERIAS BOGOTA 4</t>
        </is>
      </c>
      <c r="K94" t="inlineStr">
        <is>
          <t>BANCOLOMBIA</t>
        </is>
      </c>
      <c r="L94" t="inlineStr">
        <is>
          <t>FO-25-1420332</t>
        </is>
      </c>
      <c r="M94" s="46" t="n">
        <v>45894.41458333333</v>
      </c>
      <c r="N94" s="46" t="n">
        <v>45895.58958333333</v>
      </c>
      <c r="O94" s="45" t="n">
        <v>0</v>
      </c>
      <c r="P94" t="inlineStr">
        <is>
          <t>UNO A UNO</t>
        </is>
      </c>
      <c r="Q94" t="inlineStr">
        <is>
          <t>CB UNO A UNO</t>
        </is>
      </c>
      <c r="R94" t="inlineStr">
        <is>
          <t>EJECUTADO</t>
        </is>
      </c>
      <c r="S94" t="inlineStr">
        <is>
          <t>EJECUTADO EXITOSO</t>
        </is>
      </c>
      <c r="T94" t="inlineStr">
        <is>
          <t>VISITA TECNICA</t>
        </is>
      </c>
      <c r="U94" t="inlineStr"/>
      <c r="V94" t="inlineStr">
        <is>
          <t>TIPO I</t>
        </is>
      </c>
      <c r="W94" t="inlineStr">
        <is>
          <t>TERRESTRE</t>
        </is>
      </c>
      <c r="X94" t="inlineStr">
        <is>
          <t>ORTIZ MARTINEZ STIVEN</t>
        </is>
      </c>
      <c r="Y94" t="inlineStr">
        <is>
          <t>1</t>
        </is>
      </c>
      <c r="Z94" t="inlineStr">
        <is>
          <t>0</t>
        </is>
      </c>
      <c r="AA94" s="45" t="n">
        <v>96011</v>
      </c>
      <c r="AB94" t="inlineStr">
        <is>
          <t>0</t>
        </is>
      </c>
      <c r="AC94" s="45" t="n">
        <v>153426</v>
      </c>
      <c r="AD94" s="45" t="n">
        <v>0</v>
      </c>
    </row>
    <row r="95">
      <c r="A95" t="inlineStr">
        <is>
          <t>CUCUTA</t>
        </is>
      </c>
      <c r="B95" t="inlineStr">
        <is>
          <t>SANTANDERES</t>
        </is>
      </c>
      <c r="C95" t="inlineStr">
        <is>
          <t>0004-0008</t>
        </is>
      </c>
      <c r="D95" t="inlineStr">
        <is>
          <t>54239</t>
        </is>
      </c>
      <c r="E95" t="inlineStr">
        <is>
          <t>2637922</t>
        </is>
      </c>
      <c r="F95" t="inlineStr">
        <is>
          <t>3007015003</t>
        </is>
      </c>
      <c r="G95" t="inlineStr">
        <is>
          <t>OC PUBLICIDAD</t>
        </is>
      </c>
      <c r="H95" t="inlineStr">
        <is>
          <t>NORTE DE SANTANDER</t>
        </is>
      </c>
      <c r="I95" t="inlineStr">
        <is>
          <t>DURANIA</t>
        </is>
      </c>
      <c r="J95" t="inlineStr">
        <is>
          <t>BARRIO CENTRO DURANIA CUCUTA</t>
        </is>
      </c>
      <c r="K95" t="inlineStr">
        <is>
          <t>BANCOLOMBIA</t>
        </is>
      </c>
      <c r="L95" t="inlineStr">
        <is>
          <t>FO-25-1420331</t>
        </is>
      </c>
      <c r="M95" s="46" t="n">
        <v>45894.42013888889</v>
      </c>
      <c r="N95" s="46" t="n">
        <v>45895.49583333333</v>
      </c>
      <c r="O95" s="45" t="n">
        <v>0</v>
      </c>
      <c r="P95" t="inlineStr">
        <is>
          <t>CB UNO A UNO</t>
        </is>
      </c>
      <c r="Q95" t="inlineStr">
        <is>
          <t>CB UNO A UNO</t>
        </is>
      </c>
      <c r="R95" t="inlineStr">
        <is>
          <t>EJECUTADO</t>
        </is>
      </c>
      <c r="S95" t="inlineStr">
        <is>
          <t>EJECUTADO EXITOSO</t>
        </is>
      </c>
      <c r="T95" t="inlineStr">
        <is>
          <t>VISITA TECNICA</t>
        </is>
      </c>
      <c r="U95" t="inlineStr"/>
      <c r="V95" t="inlineStr">
        <is>
          <t>TIPO II</t>
        </is>
      </c>
      <c r="W95" t="inlineStr">
        <is>
          <t>TERRESTRE</t>
        </is>
      </c>
      <c r="X95" t="inlineStr">
        <is>
          <t>DURAN ACOSTA FRANK YONNY</t>
        </is>
      </c>
      <c r="Y95" t="inlineStr">
        <is>
          <t>1</t>
        </is>
      </c>
      <c r="Z95" t="inlineStr">
        <is>
          <t>0</t>
        </is>
      </c>
      <c r="AA95" s="45" t="n">
        <v>232859</v>
      </c>
      <c r="AB95" t="inlineStr">
        <is>
          <t>0</t>
        </is>
      </c>
      <c r="AC95" s="45" t="n">
        <v>343667</v>
      </c>
      <c r="AD95" s="45" t="n">
        <v>0</v>
      </c>
    </row>
    <row r="96">
      <c r="A96" t="inlineStr">
        <is>
          <t>CALI</t>
        </is>
      </c>
      <c r="B96" t="inlineStr">
        <is>
          <t>SUROCCIDENTE Y EJE CAFETERO</t>
        </is>
      </c>
      <c r="C96" t="inlineStr">
        <is>
          <t>0004-0003</t>
        </is>
      </c>
      <c r="D96" t="inlineStr">
        <is>
          <t>76001</t>
        </is>
      </c>
      <c r="E96" t="inlineStr">
        <is>
          <t>2638811</t>
        </is>
      </c>
      <c r="F96" t="inlineStr">
        <is>
          <t>3007012998</t>
        </is>
      </c>
      <c r="G96" t="inlineStr">
        <is>
          <t>OC PUBLICIDAD</t>
        </is>
      </c>
      <c r="H96" t="inlineStr">
        <is>
          <t>VALLE DEL CAUCA</t>
        </is>
      </c>
      <c r="I96" t="inlineStr">
        <is>
          <t>CALI</t>
        </is>
      </c>
      <c r="J96" t="inlineStr">
        <is>
          <t>BARRIO CENTRO CALI</t>
        </is>
      </c>
      <c r="K96" t="inlineStr">
        <is>
          <t>BANCOLOMBIA</t>
        </is>
      </c>
      <c r="L96" t="inlineStr">
        <is>
          <t>FO-25-1420326</t>
        </is>
      </c>
      <c r="M96" s="46" t="n">
        <v>45894.46527777778</v>
      </c>
      <c r="N96" s="46" t="n">
        <v>45895.48194444444</v>
      </c>
      <c r="O96" s="45" t="n">
        <v>0</v>
      </c>
      <c r="P96" t="inlineStr">
        <is>
          <t>CB UNO A UNO</t>
        </is>
      </c>
      <c r="Q96" t="inlineStr">
        <is>
          <t>CB UNO A UNO</t>
        </is>
      </c>
      <c r="R96" t="inlineStr">
        <is>
          <t>EJECUTADO</t>
        </is>
      </c>
      <c r="S96" t="inlineStr">
        <is>
          <t>EJECUTADO EXITOSO</t>
        </is>
      </c>
      <c r="T96" t="inlineStr">
        <is>
          <t>VISITA TECNICA</t>
        </is>
      </c>
      <c r="U96" t="inlineStr"/>
      <c r="V96" t="inlineStr">
        <is>
          <t>TIPO I</t>
        </is>
      </c>
      <c r="W96" t="inlineStr">
        <is>
          <t>TERRESTRE</t>
        </is>
      </c>
      <c r="X96" t="inlineStr">
        <is>
          <t>TORRES GARCIA JENDRY JOSE</t>
        </is>
      </c>
      <c r="Y96" t="inlineStr">
        <is>
          <t>1</t>
        </is>
      </c>
      <c r="Z96" t="inlineStr">
        <is>
          <t>0</t>
        </is>
      </c>
      <c r="AA96" s="45" t="n">
        <v>96011</v>
      </c>
      <c r="AB96" t="inlineStr">
        <is>
          <t>0</t>
        </is>
      </c>
      <c r="AC96" s="45" t="n">
        <v>153426</v>
      </c>
      <c r="AD96" s="45" t="n">
        <v>0</v>
      </c>
    </row>
    <row r="97">
      <c r="A97" t="inlineStr">
        <is>
          <t>MEDELLIN</t>
        </is>
      </c>
      <c r="B97" t="inlineStr">
        <is>
          <t>NOROCCIDENTE</t>
        </is>
      </c>
      <c r="C97" t="inlineStr">
        <is>
          <t>0004-0005</t>
        </is>
      </c>
      <c r="D97" t="inlineStr">
        <is>
          <t>5001</t>
        </is>
      </c>
      <c r="E97" t="inlineStr">
        <is>
          <t>2640365</t>
        </is>
      </c>
      <c r="F97" t="inlineStr">
        <is>
          <t>3007079587</t>
        </is>
      </c>
      <c r="G97" t="inlineStr">
        <is>
          <t>OC PUBLICIDAD</t>
        </is>
      </c>
      <c r="H97" t="inlineStr">
        <is>
          <t>ANTIOQUIA</t>
        </is>
      </c>
      <c r="I97" t="inlineStr">
        <is>
          <t>MEDELLIN</t>
        </is>
      </c>
      <c r="J97" t="inlineStr">
        <is>
          <t>BARRIO BUENOS AIRES MEDELLIN 2</t>
        </is>
      </c>
      <c r="K97" t="inlineStr">
        <is>
          <t>BANCOLOMBIA</t>
        </is>
      </c>
      <c r="L97" t="inlineStr">
        <is>
          <t>FO-25-1421663</t>
        </is>
      </c>
      <c r="M97" s="46" t="n">
        <v>45894.60763888889</v>
      </c>
      <c r="N97" s="46" t="n">
        <v>45897.70625</v>
      </c>
      <c r="O97" s="45" t="n">
        <v>0</v>
      </c>
      <c r="P97" t="inlineStr">
        <is>
          <t>CB UNO A UNO</t>
        </is>
      </c>
      <c r="Q97" t="inlineStr">
        <is>
          <t>CB UNO A UNO</t>
        </is>
      </c>
      <c r="R97" t="inlineStr">
        <is>
          <t>EJECUTADO</t>
        </is>
      </c>
      <c r="S97" t="inlineStr">
        <is>
          <t>EJECUTADO EXITOSO</t>
        </is>
      </c>
      <c r="T97" t="inlineStr">
        <is>
          <t>VISITA TECNICA</t>
        </is>
      </c>
      <c r="U97" t="inlineStr"/>
      <c r="V97" t="inlineStr">
        <is>
          <t>TIPO I</t>
        </is>
      </c>
      <c r="W97" t="inlineStr">
        <is>
          <t>TERRESTRE</t>
        </is>
      </c>
      <c r="X97" t="inlineStr">
        <is>
          <t>PAREJA ECHAVARRIA JHON DAVID</t>
        </is>
      </c>
      <c r="Y97" t="inlineStr">
        <is>
          <t>1</t>
        </is>
      </c>
      <c r="Z97" t="inlineStr">
        <is>
          <t>0</t>
        </is>
      </c>
      <c r="AA97" s="45" t="n">
        <v>96011</v>
      </c>
      <c r="AB97" t="inlineStr">
        <is>
          <t>0</t>
        </is>
      </c>
      <c r="AC97" s="45" t="n">
        <v>153426</v>
      </c>
      <c r="AD97" s="45" t="n">
        <v>0</v>
      </c>
    </row>
    <row r="98">
      <c r="A98" t="inlineStr">
        <is>
          <t>TUNJA</t>
        </is>
      </c>
      <c r="B98" t="inlineStr">
        <is>
          <t>SANTANDERES</t>
        </is>
      </c>
      <c r="C98" t="inlineStr">
        <is>
          <t>0004-0008</t>
        </is>
      </c>
      <c r="D98" t="inlineStr">
        <is>
          <t>15001</t>
        </is>
      </c>
      <c r="E98" t="inlineStr">
        <is>
          <t>2644767</t>
        </is>
      </c>
      <c r="F98" t="inlineStr">
        <is>
          <t>3007034559</t>
        </is>
      </c>
      <c r="G98" t="inlineStr">
        <is>
          <t>OC PUBLICIDAD</t>
        </is>
      </c>
      <c r="H98" t="inlineStr">
        <is>
          <t>BOYACA</t>
        </is>
      </c>
      <c r="I98" t="inlineStr">
        <is>
          <t>TUNJA</t>
        </is>
      </c>
      <c r="J98" t="inlineStr">
        <is>
          <t>BARRIO VILLA BACHUE TUNJA</t>
        </is>
      </c>
      <c r="K98" t="inlineStr">
        <is>
          <t>BANCOLOMBIA</t>
        </is>
      </c>
      <c r="L98" t="inlineStr">
        <is>
          <t>FO-25-1425900</t>
        </is>
      </c>
      <c r="M98" s="46" t="n">
        <v>45895.42430555556</v>
      </c>
      <c r="N98" s="46" t="n">
        <v>45896.5375</v>
      </c>
      <c r="O98" s="45" t="n">
        <v>0</v>
      </c>
      <c r="P98" t="inlineStr">
        <is>
          <t>CB UNO A UNO</t>
        </is>
      </c>
      <c r="Q98" t="inlineStr">
        <is>
          <t>CB UNO A UNO</t>
        </is>
      </c>
      <c r="R98" t="inlineStr">
        <is>
          <t>EJECUTADO</t>
        </is>
      </c>
      <c r="S98" t="inlineStr">
        <is>
          <t>EJECUTADO EXITOSO</t>
        </is>
      </c>
      <c r="T98" t="inlineStr">
        <is>
          <t>VISITA TECNICA</t>
        </is>
      </c>
      <c r="U98" t="inlineStr"/>
      <c r="V98" t="inlineStr">
        <is>
          <t>TIPO I</t>
        </is>
      </c>
      <c r="W98" t="inlineStr">
        <is>
          <t>TERRESTRE</t>
        </is>
      </c>
      <c r="X98" t="inlineStr">
        <is>
          <t>GONZALEZ GONZALEZ MARIO ALBERTO</t>
        </is>
      </c>
      <c r="Y98" t="inlineStr">
        <is>
          <t>1</t>
        </is>
      </c>
      <c r="Z98" t="inlineStr">
        <is>
          <t>0</t>
        </is>
      </c>
      <c r="AA98" s="45" t="n">
        <v>96011</v>
      </c>
      <c r="AB98" t="inlineStr">
        <is>
          <t>0</t>
        </is>
      </c>
      <c r="AC98" s="45" t="n">
        <v>153426</v>
      </c>
      <c r="AD98" s="45" t="n">
        <v>0</v>
      </c>
    </row>
    <row r="99">
      <c r="A99" t="inlineStr">
        <is>
          <t>BARRANQUILLA</t>
        </is>
      </c>
      <c r="B99" t="inlineStr">
        <is>
          <t>COSTA</t>
        </is>
      </c>
      <c r="C99" t="inlineStr">
        <is>
          <t>0004-0001</t>
        </is>
      </c>
      <c r="D99" t="inlineStr">
        <is>
          <t>8758</t>
        </is>
      </c>
      <c r="E99" t="inlineStr">
        <is>
          <t>2646276</t>
        </is>
      </c>
      <c r="F99" t="inlineStr">
        <is>
          <t>3007066131</t>
        </is>
      </c>
      <c r="G99" t="inlineStr">
        <is>
          <t>OC PUBLICIDAD</t>
        </is>
      </c>
      <c r="H99" t="inlineStr">
        <is>
          <t>ATLANTICO</t>
        </is>
      </c>
      <c r="I99" t="inlineStr">
        <is>
          <t>SOLEDAD</t>
        </is>
      </c>
      <c r="J99" t="inlineStr">
        <is>
          <t>BARRIO BRISAS DE SEVILLA SOLED</t>
        </is>
      </c>
      <c r="K99" t="inlineStr">
        <is>
          <t>BANCOLOMBIA</t>
        </is>
      </c>
      <c r="L99" t="inlineStr">
        <is>
          <t>FO-25-1428204</t>
        </is>
      </c>
      <c r="M99" s="46" t="n">
        <v>45895.50208333333</v>
      </c>
      <c r="N99" s="46" t="n">
        <v>45896.89444444444</v>
      </c>
      <c r="O99" s="45" t="n">
        <v>0</v>
      </c>
      <c r="P99" t="inlineStr">
        <is>
          <t>CB UNO A UNO</t>
        </is>
      </c>
      <c r="Q99" t="inlineStr">
        <is>
          <t>CB UNO A UNO</t>
        </is>
      </c>
      <c r="R99" t="inlineStr">
        <is>
          <t>EJECUTADO</t>
        </is>
      </c>
      <c r="S99" t="inlineStr">
        <is>
          <t>EJECUTADO EXITOSO</t>
        </is>
      </c>
      <c r="T99" t="inlineStr">
        <is>
          <t>VISITA TECNICA</t>
        </is>
      </c>
      <c r="U99" t="inlineStr"/>
      <c r="V99" t="inlineStr">
        <is>
          <t>TIPO I</t>
        </is>
      </c>
      <c r="W99" t="inlineStr">
        <is>
          <t>TERRESTRE</t>
        </is>
      </c>
      <c r="X99" t="inlineStr">
        <is>
          <t>PORRAS CASTRO DARLON NASCK</t>
        </is>
      </c>
      <c r="Y99" t="inlineStr">
        <is>
          <t>1</t>
        </is>
      </c>
      <c r="Z99" t="inlineStr">
        <is>
          <t>0</t>
        </is>
      </c>
      <c r="AA99" s="45" t="n">
        <v>96011</v>
      </c>
      <c r="AB99" t="inlineStr">
        <is>
          <t>0</t>
        </is>
      </c>
      <c r="AC99" s="45" t="n">
        <v>153426</v>
      </c>
      <c r="AD99" s="45" t="n">
        <v>0</v>
      </c>
    </row>
    <row r="100">
      <c r="A100" t="inlineStr">
        <is>
          <t>VALLEDUPAR</t>
        </is>
      </c>
      <c r="B100" t="inlineStr">
        <is>
          <t>COSTA</t>
        </is>
      </c>
      <c r="C100" t="inlineStr">
        <is>
          <t>0004-0001</t>
        </is>
      </c>
      <c r="D100" t="inlineStr">
        <is>
          <t>20787</t>
        </is>
      </c>
      <c r="E100" t="inlineStr">
        <is>
          <t>2646475</t>
        </is>
      </c>
      <c r="F100" t="inlineStr">
        <is>
          <t>3007065372</t>
        </is>
      </c>
      <c r="G100" t="inlineStr">
        <is>
          <t>OC PUBLICIDAD</t>
        </is>
      </c>
      <c r="H100" t="inlineStr">
        <is>
          <t>CESAR</t>
        </is>
      </c>
      <c r="I100" t="inlineStr">
        <is>
          <t>TAMALAMEQUE</t>
        </is>
      </c>
      <c r="J100" t="inlineStr">
        <is>
          <t>BARRIO PALMIRA TAMALAMEQUE</t>
        </is>
      </c>
      <c r="K100" t="inlineStr">
        <is>
          <t>BANCOLOMBIA</t>
        </is>
      </c>
      <c r="L100" t="inlineStr">
        <is>
          <t>FO-25-1428193</t>
        </is>
      </c>
      <c r="M100" s="46" t="n">
        <v>45895.55625</v>
      </c>
      <c r="N100" s="46" t="n">
        <v>45899.39722222222</v>
      </c>
      <c r="O100" s="45" t="n">
        <v>0</v>
      </c>
      <c r="P100" t="inlineStr">
        <is>
          <t>CB UNO A UNO</t>
        </is>
      </c>
      <c r="Q100" t="inlineStr">
        <is>
          <t>CB UNO A UNO</t>
        </is>
      </c>
      <c r="R100" t="inlineStr">
        <is>
          <t>EJECUTADO</t>
        </is>
      </c>
      <c r="S100" t="inlineStr">
        <is>
          <t>EJECUTADO EXITOSO</t>
        </is>
      </c>
      <c r="T100" t="inlineStr">
        <is>
          <t>VISITA TECNICA</t>
        </is>
      </c>
      <c r="U100" t="inlineStr"/>
      <c r="V100" t="inlineStr">
        <is>
          <t>TIPO IV</t>
        </is>
      </c>
      <c r="W100" t="inlineStr">
        <is>
          <t>TERRESTRE</t>
        </is>
      </c>
      <c r="X100" t="inlineStr">
        <is>
          <t>MONTES DIAZ JOHN FRED</t>
        </is>
      </c>
      <c r="Y100" t="inlineStr">
        <is>
          <t>1</t>
        </is>
      </c>
      <c r="Z100" t="inlineStr">
        <is>
          <t>0</t>
        </is>
      </c>
      <c r="AA100" s="45" t="n">
        <v>548634</v>
      </c>
      <c r="AB100" t="inlineStr">
        <is>
          <t>0</t>
        </is>
      </c>
      <c r="AC100" s="45" t="n">
        <v>659442</v>
      </c>
      <c r="AD100" s="45" t="n">
        <v>0</v>
      </c>
    </row>
    <row r="101">
      <c r="A101" t="inlineStr">
        <is>
          <t>SINCELEJO</t>
        </is>
      </c>
      <c r="B101" t="inlineStr">
        <is>
          <t>COSTA</t>
        </is>
      </c>
      <c r="C101" t="inlineStr">
        <is>
          <t>0004-0001</t>
        </is>
      </c>
      <c r="D101" t="inlineStr">
        <is>
          <t>70713</t>
        </is>
      </c>
      <c r="E101" t="inlineStr">
        <is>
          <t>2648208</t>
        </is>
      </c>
      <c r="F101" t="inlineStr">
        <is>
          <t>3007024624</t>
        </is>
      </c>
      <c r="G101" t="inlineStr">
        <is>
          <t>OC PUBLICIDAD</t>
        </is>
      </c>
      <c r="H101" t="inlineStr">
        <is>
          <t>SUCRE</t>
        </is>
      </c>
      <c r="I101" t="inlineStr">
        <is>
          <t>SAN ONOFRE</t>
        </is>
      </c>
      <c r="J101" t="inlineStr">
        <is>
          <t>DISTRICOL CAMAZUGO</t>
        </is>
      </c>
      <c r="K101" t="inlineStr">
        <is>
          <t>BANCOLOMBIA</t>
        </is>
      </c>
      <c r="L101" t="inlineStr">
        <is>
          <t>FO-25-1430032</t>
        </is>
      </c>
      <c r="M101" s="46" t="n">
        <v>45895.66805555556</v>
      </c>
      <c r="N101" s="46" t="n">
        <v>45897.70486111111</v>
      </c>
      <c r="O101" s="45" t="n">
        <v>0</v>
      </c>
      <c r="P101" t="inlineStr">
        <is>
          <t>AGREGADOR</t>
        </is>
      </c>
      <c r="Q101" t="inlineStr">
        <is>
          <t>DISTRICOL</t>
        </is>
      </c>
      <c r="R101" t="inlineStr">
        <is>
          <t>EJECUTADO</t>
        </is>
      </c>
      <c r="S101" t="inlineStr">
        <is>
          <t>EJECUTADO EXITOSO</t>
        </is>
      </c>
      <c r="T101" t="inlineStr">
        <is>
          <t>VISITA TECNICA</t>
        </is>
      </c>
      <c r="U101" t="inlineStr"/>
      <c r="V101" t="inlineStr">
        <is>
          <t>TIPO II</t>
        </is>
      </c>
      <c r="W101" t="inlineStr">
        <is>
          <t>TERRESTRE</t>
        </is>
      </c>
      <c r="X101" t="inlineStr">
        <is>
          <t>CACERES HERNANDEZ ANDRES</t>
        </is>
      </c>
      <c r="Y101" t="inlineStr">
        <is>
          <t>1</t>
        </is>
      </c>
      <c r="Z101" t="inlineStr">
        <is>
          <t>0</t>
        </is>
      </c>
      <c r="AA101" s="45" t="n">
        <v>232859</v>
      </c>
      <c r="AB101" t="inlineStr">
        <is>
          <t>0</t>
        </is>
      </c>
      <c r="AC101" s="45" t="n">
        <v>343667</v>
      </c>
      <c r="AD101" s="45" t="n">
        <v>0</v>
      </c>
    </row>
    <row r="102">
      <c r="A102" t="inlineStr">
        <is>
          <t>VILLAVICENCIO</t>
        </is>
      </c>
      <c r="B102" t="inlineStr">
        <is>
          <t>REMOTAS</t>
        </is>
      </c>
      <c r="C102" t="inlineStr">
        <is>
          <t>0004-0007</t>
        </is>
      </c>
      <c r="D102" t="inlineStr">
        <is>
          <t>50001</t>
        </is>
      </c>
      <c r="E102" t="inlineStr">
        <is>
          <t>2648552</t>
        </is>
      </c>
      <c r="F102" t="inlineStr">
        <is>
          <t>3007043732</t>
        </is>
      </c>
      <c r="G102" t="inlineStr">
        <is>
          <t>OC PUBLICIDAD</t>
        </is>
      </c>
      <c r="H102" t="inlineStr">
        <is>
          <t>META</t>
        </is>
      </c>
      <c r="I102" t="inlineStr">
        <is>
          <t>VILLAVICENCIO</t>
        </is>
      </c>
      <c r="J102" t="inlineStr">
        <is>
          <t>BARRIO ESPERANZA VILLAVICENCIO</t>
        </is>
      </c>
      <c r="K102" t="inlineStr">
        <is>
          <t>BANCOLOMBIA</t>
        </is>
      </c>
      <c r="L102" t="inlineStr">
        <is>
          <t>FO-25-1430317</t>
        </is>
      </c>
      <c r="M102" s="46" t="n">
        <v>45895.7</v>
      </c>
      <c r="N102" s="46" t="n">
        <v>45896.89652777778</v>
      </c>
      <c r="O102" s="45" t="n">
        <v>0</v>
      </c>
      <c r="P102" t="inlineStr">
        <is>
          <t>CB UNO A UNO</t>
        </is>
      </c>
      <c r="Q102" t="inlineStr">
        <is>
          <t>CB UNO A UNO</t>
        </is>
      </c>
      <c r="R102" t="inlineStr">
        <is>
          <t>EJECUTADO / CANCELADO</t>
        </is>
      </c>
      <c r="S102" t="inlineStr">
        <is>
          <t>DIRECCION ERRADA</t>
        </is>
      </c>
      <c r="T102" t="inlineStr">
        <is>
          <t>VISITA TECNICA</t>
        </is>
      </c>
      <c r="U102" t="inlineStr"/>
      <c r="V102" t="inlineStr">
        <is>
          <t>TIPO I</t>
        </is>
      </c>
      <c r="W102" t="inlineStr">
        <is>
          <t>TERRESTRE</t>
        </is>
      </c>
      <c r="X102" t="inlineStr">
        <is>
          <t>PEDREROS CONTRERAS MICHAEL STEVENS</t>
        </is>
      </c>
      <c r="Y102" t="inlineStr">
        <is>
          <t>1</t>
        </is>
      </c>
      <c r="Z102" t="inlineStr">
        <is>
          <t>0</t>
        </is>
      </c>
      <c r="AA102" s="45" t="n">
        <v>96011</v>
      </c>
      <c r="AB102" t="inlineStr">
        <is>
          <t>0</t>
        </is>
      </c>
      <c r="AC102" s="45" t="n">
        <v>210841</v>
      </c>
      <c r="AD102" s="45" t="n">
        <v>0</v>
      </c>
    </row>
    <row r="103">
      <c r="A103" t="inlineStr">
        <is>
          <t>BUCARAMANGA</t>
        </is>
      </c>
      <c r="B103" t="inlineStr">
        <is>
          <t>SANTANDERES</t>
        </is>
      </c>
      <c r="C103" t="inlineStr">
        <is>
          <t>0004-0008</t>
        </is>
      </c>
      <c r="D103" t="inlineStr">
        <is>
          <t>68001</t>
        </is>
      </c>
      <c r="E103" t="inlineStr">
        <is>
          <t>2648944</t>
        </is>
      </c>
      <c r="F103" t="inlineStr">
        <is>
          <t>3007079878</t>
        </is>
      </c>
      <c r="G103" t="inlineStr">
        <is>
          <t>OC PUBLICIDAD</t>
        </is>
      </c>
      <c r="H103" t="inlineStr">
        <is>
          <t>SANTANDER</t>
        </is>
      </c>
      <c r="I103" t="inlineStr">
        <is>
          <t>BUCARAMANGA</t>
        </is>
      </c>
      <c r="J103" t="inlineStr">
        <is>
          <t>BARRIO MUTUALIDAD BUCARAMANGA 1</t>
        </is>
      </c>
      <c r="K103" t="inlineStr">
        <is>
          <t>BANCOLOMBIA</t>
        </is>
      </c>
      <c r="L103" t="inlineStr">
        <is>
          <t>FO-25-1431569</t>
        </is>
      </c>
      <c r="M103" s="46" t="n">
        <v>45895.7375</v>
      </c>
      <c r="N103" s="46" t="n">
        <v>45896.60625</v>
      </c>
      <c r="O103" s="45" t="n">
        <v>0</v>
      </c>
      <c r="P103" t="inlineStr">
        <is>
          <t>UNO A UNO</t>
        </is>
      </c>
      <c r="Q103" t="inlineStr">
        <is>
          <t>UNO A UNO</t>
        </is>
      </c>
      <c r="R103" t="inlineStr">
        <is>
          <t>EJECUTADO</t>
        </is>
      </c>
      <c r="S103" t="inlineStr">
        <is>
          <t>EJECUTADO EXITOSO</t>
        </is>
      </c>
      <c r="T103" t="inlineStr">
        <is>
          <t>VISITA TECNICA</t>
        </is>
      </c>
      <c r="U103" t="inlineStr"/>
      <c r="V103" t="inlineStr">
        <is>
          <t>TIPO I</t>
        </is>
      </c>
      <c r="W103" t="inlineStr">
        <is>
          <t>TERRESTRE</t>
        </is>
      </c>
      <c r="X103" t="inlineStr">
        <is>
          <t>MARIÑO PABON JORGE ENRIQUE</t>
        </is>
      </c>
      <c r="Y103" t="inlineStr">
        <is>
          <t>1</t>
        </is>
      </c>
      <c r="Z103" t="inlineStr">
        <is>
          <t>0</t>
        </is>
      </c>
      <c r="AA103" s="45" t="n">
        <v>96011</v>
      </c>
      <c r="AB103" t="inlineStr">
        <is>
          <t>0</t>
        </is>
      </c>
      <c r="AC103" s="45" t="n">
        <v>153426</v>
      </c>
      <c r="AD103" s="45" t="n">
        <v>0</v>
      </c>
    </row>
    <row r="104">
      <c r="A104" t="inlineStr">
        <is>
          <t>IBAGUE</t>
        </is>
      </c>
      <c r="B104" t="inlineStr">
        <is>
          <t>REMOTAS</t>
        </is>
      </c>
      <c r="C104" t="inlineStr">
        <is>
          <t>0004-0007</t>
        </is>
      </c>
      <c r="D104" t="inlineStr">
        <is>
          <t>73001</t>
        </is>
      </c>
      <c r="E104" t="inlineStr">
        <is>
          <t>2648999</t>
        </is>
      </c>
      <c r="F104" t="inlineStr">
        <is>
          <t>3007041333</t>
        </is>
      </c>
      <c r="G104" t="inlineStr">
        <is>
          <t>OC PUBLICIDAD</t>
        </is>
      </c>
      <c r="H104" t="inlineStr">
        <is>
          <t>TOLIMA</t>
        </is>
      </c>
      <c r="I104" t="inlineStr">
        <is>
          <t>IBAGUE</t>
        </is>
      </c>
      <c r="J104" t="inlineStr">
        <is>
          <t>BARRIO SALADO IBAGUE 2</t>
        </is>
      </c>
      <c r="K104" t="inlineStr">
        <is>
          <t>BANCOLOMBIA</t>
        </is>
      </c>
      <c r="L104" t="inlineStr">
        <is>
          <t>FO-25-1431568</t>
        </is>
      </c>
      <c r="M104" s="46" t="n">
        <v>45896.33333333334</v>
      </c>
      <c r="N104" s="46" t="n">
        <v>45896.54097222222</v>
      </c>
      <c r="O104" s="45" t="n">
        <v>0</v>
      </c>
      <c r="P104" t="inlineStr">
        <is>
          <t>CB UNO A UNO</t>
        </is>
      </c>
      <c r="Q104" t="inlineStr">
        <is>
          <t>CB UNO A UNO</t>
        </is>
      </c>
      <c r="R104" t="inlineStr">
        <is>
          <t>EJECUTADO</t>
        </is>
      </c>
      <c r="S104" t="inlineStr">
        <is>
          <t>EJECUTADO EXITOSO</t>
        </is>
      </c>
      <c r="T104" t="inlineStr">
        <is>
          <t>VISITA TECNICA</t>
        </is>
      </c>
      <c r="U104" t="inlineStr"/>
      <c r="V104" t="inlineStr">
        <is>
          <t>TIPO I</t>
        </is>
      </c>
      <c r="W104" t="inlineStr">
        <is>
          <t>TERRESTRE</t>
        </is>
      </c>
      <c r="X104" t="inlineStr">
        <is>
          <t>GUTIERREZ  CAMILO ANDRES</t>
        </is>
      </c>
      <c r="Y104" t="inlineStr">
        <is>
          <t>1</t>
        </is>
      </c>
      <c r="Z104" t="inlineStr">
        <is>
          <t>0</t>
        </is>
      </c>
      <c r="AA104" s="45" t="n">
        <v>96011</v>
      </c>
      <c r="AB104" t="inlineStr">
        <is>
          <t>0</t>
        </is>
      </c>
      <c r="AC104" s="45" t="n">
        <v>153426</v>
      </c>
      <c r="AD104" s="45" t="n">
        <v>0</v>
      </c>
    </row>
    <row r="105">
      <c r="A105" t="inlineStr">
        <is>
          <t>MANIZALES</t>
        </is>
      </c>
      <c r="B105" t="inlineStr">
        <is>
          <t>SUROCCIDENTE Y EJE CAFETERO</t>
        </is>
      </c>
      <c r="C105" t="inlineStr">
        <is>
          <t>0004-0002</t>
        </is>
      </c>
      <c r="D105" t="inlineStr">
        <is>
          <t>17001</t>
        </is>
      </c>
      <c r="E105" t="inlineStr">
        <is>
          <t>2650409</t>
        </is>
      </c>
      <c r="F105" t="inlineStr">
        <is>
          <t>3007045650</t>
        </is>
      </c>
      <c r="G105" t="inlineStr">
        <is>
          <t>OC PUBLICIDAD</t>
        </is>
      </c>
      <c r="H105" t="inlineStr">
        <is>
          <t>CALDAS</t>
        </is>
      </c>
      <c r="I105" t="inlineStr">
        <is>
          <t>MANIZALES</t>
        </is>
      </c>
      <c r="J105" t="inlineStr">
        <is>
          <t>BARRIO SAN CAYETANO MANIZALES</t>
        </is>
      </c>
      <c r="K105" t="inlineStr">
        <is>
          <t>BANCOLOMBIA</t>
        </is>
      </c>
      <c r="L105" t="inlineStr">
        <is>
          <t>FO-25-1432412</t>
        </is>
      </c>
      <c r="M105" s="46" t="n">
        <v>45896.37916666667</v>
      </c>
      <c r="N105" s="46" t="n">
        <v>45899.60902777778</v>
      </c>
      <c r="O105" s="45" t="n">
        <v>0</v>
      </c>
      <c r="P105" t="inlineStr">
        <is>
          <t>CB UNO A UNO</t>
        </is>
      </c>
      <c r="Q105" t="inlineStr">
        <is>
          <t>CB UNO A UNO</t>
        </is>
      </c>
      <c r="R105" t="inlineStr">
        <is>
          <t>EJECUTADO</t>
        </is>
      </c>
      <c r="T105" t="inlineStr">
        <is>
          <t>VISITA TECNICA</t>
        </is>
      </c>
      <c r="U105" t="inlineStr"/>
      <c r="V105" t="inlineStr">
        <is>
          <t>TIPO I</t>
        </is>
      </c>
      <c r="W105" t="inlineStr">
        <is>
          <t>TERRESTRE</t>
        </is>
      </c>
      <c r="X105" t="inlineStr">
        <is>
          <t>AGUIRRE HENAO RAUL EDUARDO</t>
        </is>
      </c>
      <c r="Y105" t="inlineStr">
        <is>
          <t>1</t>
        </is>
      </c>
      <c r="Z105" t="inlineStr">
        <is>
          <t>0</t>
        </is>
      </c>
      <c r="AA105" s="45" t="n">
        <v>96011</v>
      </c>
      <c r="AB105" t="inlineStr">
        <is>
          <t>0</t>
        </is>
      </c>
      <c r="AC105" s="45" t="n">
        <v>153426</v>
      </c>
      <c r="AD105" s="45" t="n">
        <v>0</v>
      </c>
    </row>
    <row r="106">
      <c r="A106" t="inlineStr">
        <is>
          <t>BUCARAMANGA</t>
        </is>
      </c>
      <c r="B106" t="inlineStr">
        <is>
          <t>SANTANDERES</t>
        </is>
      </c>
      <c r="C106" t="inlineStr">
        <is>
          <t>0004-0008</t>
        </is>
      </c>
      <c r="D106" t="inlineStr">
        <is>
          <t>68276</t>
        </is>
      </c>
      <c r="E106" t="inlineStr">
        <is>
          <t>2652065</t>
        </is>
      </c>
      <c r="F106" t="inlineStr">
        <is>
          <t>3007053348</t>
        </is>
      </c>
      <c r="G106" t="inlineStr">
        <is>
          <t>OC PUBLICIDAD</t>
        </is>
      </c>
      <c r="H106" t="inlineStr">
        <is>
          <t>SANTANDER</t>
        </is>
      </c>
      <c r="I106" t="inlineStr">
        <is>
          <t>FLORIDABLANCA</t>
        </is>
      </c>
      <c r="J106" t="inlineStr">
        <is>
          <t>DISTRICOL PA EL SANTISIMO</t>
        </is>
      </c>
      <c r="K106" t="inlineStr">
        <is>
          <t>BANCOLOMBIA</t>
        </is>
      </c>
      <c r="L106" t="inlineStr">
        <is>
          <t>FO-25-1436384</t>
        </is>
      </c>
      <c r="M106" s="46" t="n">
        <v>45896.47013888889</v>
      </c>
      <c r="N106" s="46" t="n">
        <v>45897.69930555556</v>
      </c>
      <c r="O106" s="45" t="n">
        <v>0</v>
      </c>
      <c r="P106" t="inlineStr">
        <is>
          <t>AGREGADOR</t>
        </is>
      </c>
      <c r="Q106" t="inlineStr">
        <is>
          <t>DISTRICOL</t>
        </is>
      </c>
      <c r="R106" t="inlineStr">
        <is>
          <t>EJECUTADO</t>
        </is>
      </c>
      <c r="S106" t="inlineStr">
        <is>
          <t>EJECUTADO EXITOSO</t>
        </is>
      </c>
      <c r="T106" t="inlineStr">
        <is>
          <t>VISITA TECNICA</t>
        </is>
      </c>
      <c r="U106" t="inlineStr"/>
      <c r="V106" t="inlineStr">
        <is>
          <t>TIPO I</t>
        </is>
      </c>
      <c r="W106" t="inlineStr">
        <is>
          <t>TERRESTRE</t>
        </is>
      </c>
      <c r="X106" t="inlineStr">
        <is>
          <t>PEÑA DIAZ IVAN YESID</t>
        </is>
      </c>
      <c r="Y106" t="inlineStr">
        <is>
          <t>2</t>
        </is>
      </c>
      <c r="Z106" t="inlineStr">
        <is>
          <t>0</t>
        </is>
      </c>
      <c r="AA106" s="45" t="n">
        <v>192022</v>
      </c>
      <c r="AB106" t="inlineStr">
        <is>
          <t>0</t>
        </is>
      </c>
      <c r="AC106" s="45" t="n">
        <v>249437</v>
      </c>
      <c r="AD106" s="45" t="n">
        <v>0</v>
      </c>
    </row>
    <row r="107">
      <c r="A107" t="inlineStr">
        <is>
          <t>MEDELLIN</t>
        </is>
      </c>
      <c r="B107" t="inlineStr">
        <is>
          <t>NOROCCIDENTE</t>
        </is>
      </c>
      <c r="C107" t="inlineStr">
        <is>
          <t>0004-0005</t>
        </is>
      </c>
      <c r="D107" t="inlineStr">
        <is>
          <t>5001</t>
        </is>
      </c>
      <c r="E107" t="inlineStr">
        <is>
          <t>2652222</t>
        </is>
      </c>
      <c r="F107" t="inlineStr">
        <is>
          <t>3007024787</t>
        </is>
      </c>
      <c r="G107" t="inlineStr">
        <is>
          <t>OC PUBLICIDAD</t>
        </is>
      </c>
      <c r="H107" t="inlineStr">
        <is>
          <t>ANTIOQUIA</t>
        </is>
      </c>
      <c r="I107" t="inlineStr">
        <is>
          <t>MEDELLIN</t>
        </is>
      </c>
      <c r="J107" t="inlineStr">
        <is>
          <t>COMCARD MEDELLIN JUBILEO</t>
        </is>
      </c>
      <c r="K107" t="inlineStr">
        <is>
          <t>BANCOLOMBIA</t>
        </is>
      </c>
      <c r="L107" t="inlineStr">
        <is>
          <t>FO-25-1434033</t>
        </is>
      </c>
      <c r="M107" s="46" t="n">
        <v>45896.47361111111</v>
      </c>
      <c r="N107" s="46" t="n">
        <v>45897.69652777778</v>
      </c>
      <c r="O107" s="45" t="n">
        <v>0</v>
      </c>
      <c r="P107" t="inlineStr">
        <is>
          <t>AGREGADOR</t>
        </is>
      </c>
      <c r="Q107" t="inlineStr">
        <is>
          <t>COMCARD - PTM</t>
        </is>
      </c>
      <c r="R107" t="inlineStr">
        <is>
          <t>EJECUTADO</t>
        </is>
      </c>
      <c r="S107" t="inlineStr">
        <is>
          <t>EJECUTADO EXITOSO</t>
        </is>
      </c>
      <c r="T107" t="inlineStr">
        <is>
          <t>VISITA TECNICA</t>
        </is>
      </c>
      <c r="U107" t="inlineStr"/>
      <c r="V107" t="inlineStr">
        <is>
          <t>TIPO I</t>
        </is>
      </c>
      <c r="W107" t="inlineStr">
        <is>
          <t>TERRESTRE</t>
        </is>
      </c>
      <c r="X107" t="inlineStr">
        <is>
          <t>PAREJA ECHAVARRIA JHON DAVID</t>
        </is>
      </c>
      <c r="Y107" t="inlineStr">
        <is>
          <t>1</t>
        </is>
      </c>
      <c r="Z107" t="inlineStr">
        <is>
          <t>0</t>
        </is>
      </c>
      <c r="AA107" s="45" t="n">
        <v>96011</v>
      </c>
      <c r="AB107" t="inlineStr">
        <is>
          <t>0</t>
        </is>
      </c>
      <c r="AC107" s="45" t="n">
        <v>153426</v>
      </c>
      <c r="AD107" s="45" t="n">
        <v>0</v>
      </c>
    </row>
    <row r="108">
      <c r="A108" t="inlineStr">
        <is>
          <t>VILLAVICENCIO</t>
        </is>
      </c>
      <c r="B108" t="inlineStr">
        <is>
          <t>REMOTAS</t>
        </is>
      </c>
      <c r="C108" t="inlineStr">
        <is>
          <t>0004-0007</t>
        </is>
      </c>
      <c r="D108" t="inlineStr">
        <is>
          <t>50006</t>
        </is>
      </c>
      <c r="E108" t="inlineStr">
        <is>
          <t>2652621</t>
        </is>
      </c>
      <c r="F108" t="inlineStr">
        <is>
          <t>3007070936</t>
        </is>
      </c>
      <c r="G108" t="inlineStr">
        <is>
          <t>OC PUBLICIDAD</t>
        </is>
      </c>
      <c r="H108" t="inlineStr">
        <is>
          <t>META</t>
        </is>
      </c>
      <c r="I108" t="inlineStr">
        <is>
          <t>ACACIAS</t>
        </is>
      </c>
      <c r="J108" t="inlineStr">
        <is>
          <t>BARRIO CONCAJA ACACIAS</t>
        </is>
      </c>
      <c r="K108" t="inlineStr">
        <is>
          <t>BANCOLOMBIA</t>
        </is>
      </c>
      <c r="L108" t="inlineStr">
        <is>
          <t>FO-25-1434032</t>
        </is>
      </c>
      <c r="M108" s="46" t="n">
        <v>45896.49861111111</v>
      </c>
      <c r="N108" s="46" t="n">
        <v>45897.69444444445</v>
      </c>
      <c r="O108" s="45" t="n">
        <v>0</v>
      </c>
      <c r="P108" t="inlineStr">
        <is>
          <t>CB UNO A UNO</t>
        </is>
      </c>
      <c r="Q108" t="inlineStr">
        <is>
          <t>CB UNO A UNO</t>
        </is>
      </c>
      <c r="R108" t="inlineStr">
        <is>
          <t>EJECUTADO / CANCELADO</t>
        </is>
      </c>
      <c r="S108" t="inlineStr">
        <is>
          <t>PETICIÓN BANCOLOMBIA</t>
        </is>
      </c>
      <c r="T108" t="inlineStr">
        <is>
          <t>VISITA TECNICA</t>
        </is>
      </c>
      <c r="U108" t="inlineStr"/>
      <c r="V108" t="inlineStr">
        <is>
          <t>TIPO II</t>
        </is>
      </c>
      <c r="W108" t="inlineStr">
        <is>
          <t>TERRESTRE</t>
        </is>
      </c>
      <c r="X108" t="inlineStr">
        <is>
          <t>ROZO JIMENEZ EDGAR ARMANDO</t>
        </is>
      </c>
      <c r="Y108" t="inlineStr">
        <is>
          <t>1</t>
        </is>
      </c>
      <c r="Z108" t="inlineStr">
        <is>
          <t>0</t>
        </is>
      </c>
      <c r="AA108" s="45" t="n">
        <v>232859</v>
      </c>
      <c r="AB108" t="inlineStr">
        <is>
          <t>0</t>
        </is>
      </c>
      <c r="AC108" s="45" t="n">
        <v>454475</v>
      </c>
      <c r="AD108" s="45" t="n">
        <v>0</v>
      </c>
    </row>
    <row r="109">
      <c r="A109" t="inlineStr">
        <is>
          <t>VILLAVICENCIO</t>
        </is>
      </c>
      <c r="B109" t="inlineStr">
        <is>
          <t>REMOTAS</t>
        </is>
      </c>
      <c r="C109" t="inlineStr">
        <is>
          <t>0004-0007</t>
        </is>
      </c>
      <c r="D109" t="inlineStr">
        <is>
          <t>50001</t>
        </is>
      </c>
      <c r="E109" t="inlineStr">
        <is>
          <t>2652886</t>
        </is>
      </c>
      <c r="F109" t="inlineStr">
        <is>
          <t>3007076863</t>
        </is>
      </c>
      <c r="G109" t="inlineStr">
        <is>
          <t>OC PUBLICIDAD</t>
        </is>
      </c>
      <c r="H109" t="inlineStr">
        <is>
          <t>META</t>
        </is>
      </c>
      <c r="I109" t="inlineStr">
        <is>
          <t>VILLAVICENCIO</t>
        </is>
      </c>
      <c r="J109" t="inlineStr">
        <is>
          <t>BARRIO OLIMPICO VILLACENCIO</t>
        </is>
      </c>
      <c r="K109" t="inlineStr">
        <is>
          <t>BANCOLOMBIA</t>
        </is>
      </c>
      <c r="L109" t="inlineStr">
        <is>
          <t>FO-25-1434632</t>
        </is>
      </c>
      <c r="M109" s="46" t="n">
        <v>45896.55694444444</v>
      </c>
      <c r="N109" s="46" t="n">
        <v>45897.52291666667</v>
      </c>
      <c r="O109" s="45" t="n">
        <v>0</v>
      </c>
      <c r="P109" t="inlineStr">
        <is>
          <t>CB UNO A UNO</t>
        </is>
      </c>
      <c r="Q109" t="inlineStr">
        <is>
          <t>CB UNO A UNO</t>
        </is>
      </c>
      <c r="R109" t="inlineStr">
        <is>
          <t>EJECUTADO</t>
        </is>
      </c>
      <c r="S109" t="inlineStr">
        <is>
          <t>EJECUTADO EXITOSO</t>
        </is>
      </c>
      <c r="T109" t="inlineStr">
        <is>
          <t>VISITA TECNICA</t>
        </is>
      </c>
      <c r="U109" t="inlineStr"/>
      <c r="V109" t="inlineStr">
        <is>
          <t>TIPO I</t>
        </is>
      </c>
      <c r="W109" t="inlineStr">
        <is>
          <t>TERRESTRE</t>
        </is>
      </c>
      <c r="X109" t="inlineStr">
        <is>
          <t>CASTRILLON URREA LONDIER LEANDRO</t>
        </is>
      </c>
      <c r="Y109" t="inlineStr">
        <is>
          <t>1</t>
        </is>
      </c>
      <c r="Z109" t="inlineStr">
        <is>
          <t>0</t>
        </is>
      </c>
      <c r="AA109" s="45" t="n">
        <v>96011</v>
      </c>
      <c r="AB109" t="inlineStr">
        <is>
          <t>0</t>
        </is>
      </c>
      <c r="AC109" s="45" t="n">
        <v>153426</v>
      </c>
      <c r="AD109" s="45" t="n">
        <v>0</v>
      </c>
    </row>
    <row r="110">
      <c r="A110" t="inlineStr">
        <is>
          <t>MEDELLIN</t>
        </is>
      </c>
      <c r="B110" t="inlineStr">
        <is>
          <t>NOROCCIDENTE</t>
        </is>
      </c>
      <c r="C110" t="inlineStr">
        <is>
          <t>0004-0005</t>
        </is>
      </c>
      <c r="D110" t="inlineStr">
        <is>
          <t>5088</t>
        </is>
      </c>
      <c r="E110" t="inlineStr">
        <is>
          <t>2653746</t>
        </is>
      </c>
      <c r="F110" t="inlineStr">
        <is>
          <t>3007075823</t>
        </is>
      </c>
      <c r="G110" t="inlineStr">
        <is>
          <t>OC PUBLICIDAD</t>
        </is>
      </c>
      <c r="H110" t="inlineStr">
        <is>
          <t>ANTIOQUIA</t>
        </is>
      </c>
      <c r="I110" t="inlineStr">
        <is>
          <t>BELLO</t>
        </is>
      </c>
      <c r="J110" t="inlineStr">
        <is>
          <t>PTM BELLO TIENDA LOS DUQUE</t>
        </is>
      </c>
      <c r="K110" t="inlineStr">
        <is>
          <t>BANCOLOMBIA</t>
        </is>
      </c>
      <c r="L110" t="inlineStr">
        <is>
          <t>FO-25-1436380</t>
        </is>
      </c>
      <c r="M110" s="46" t="n">
        <v>45896.62361111111</v>
      </c>
      <c r="N110" s="46" t="n">
        <v>45899.60555555556</v>
      </c>
      <c r="O110" s="45" t="n">
        <v>0</v>
      </c>
      <c r="P110" t="inlineStr">
        <is>
          <t>AGREGADOR</t>
        </is>
      </c>
      <c r="Q110" t="inlineStr">
        <is>
          <t>COMCARD - PTM</t>
        </is>
      </c>
      <c r="R110" t="inlineStr">
        <is>
          <t>EJECUTADO</t>
        </is>
      </c>
      <c r="S110" t="inlineStr">
        <is>
          <t>EJECUTADO EXITOSO</t>
        </is>
      </c>
      <c r="T110" t="inlineStr">
        <is>
          <t>VISITA TECNICA</t>
        </is>
      </c>
      <c r="U110" t="inlineStr"/>
      <c r="V110" t="inlineStr">
        <is>
          <t>TIPO I</t>
        </is>
      </c>
      <c r="W110" t="inlineStr">
        <is>
          <t>TERRESTRE</t>
        </is>
      </c>
      <c r="X110" t="inlineStr">
        <is>
          <t>MARTINEZ TOVAR OSCAR DAVID</t>
        </is>
      </c>
      <c r="Y110" t="inlineStr">
        <is>
          <t>1</t>
        </is>
      </c>
      <c r="Z110" t="inlineStr">
        <is>
          <t>0</t>
        </is>
      </c>
      <c r="AA110" s="45" t="n">
        <v>96011</v>
      </c>
      <c r="AB110" t="inlineStr">
        <is>
          <t>0</t>
        </is>
      </c>
      <c r="AC110" s="45" t="n">
        <v>153426</v>
      </c>
      <c r="AD110" s="45" t="n">
        <v>0</v>
      </c>
    </row>
    <row r="111">
      <c r="A111" t="inlineStr">
        <is>
          <t>VILLAVICENCIO</t>
        </is>
      </c>
      <c r="B111" t="inlineStr">
        <is>
          <t>REMOTAS</t>
        </is>
      </c>
      <c r="C111" t="inlineStr">
        <is>
          <t>0004-0007</t>
        </is>
      </c>
      <c r="D111" t="inlineStr">
        <is>
          <t>50001</t>
        </is>
      </c>
      <c r="E111" t="inlineStr">
        <is>
          <t>2654245</t>
        </is>
      </c>
      <c r="F111" t="inlineStr">
        <is>
          <t>3007074418</t>
        </is>
      </c>
      <c r="G111" t="inlineStr">
        <is>
          <t>OC PUBLICIDAD</t>
        </is>
      </c>
      <c r="H111" t="inlineStr">
        <is>
          <t>META</t>
        </is>
      </c>
      <c r="I111" t="inlineStr">
        <is>
          <t>VILLAVICENCIO</t>
        </is>
      </c>
      <c r="J111" t="inlineStr">
        <is>
          <t>BARRIO PRIMAVERA VILLAVICENCIO</t>
        </is>
      </c>
      <c r="K111" t="inlineStr">
        <is>
          <t>BANCOLOMBIA</t>
        </is>
      </c>
      <c r="L111" t="inlineStr">
        <is>
          <t>FO-25-1436379</t>
        </is>
      </c>
      <c r="M111" s="46" t="n">
        <v>45896.65972222222</v>
      </c>
      <c r="N111" s="46" t="n">
        <v>45897.45486111111</v>
      </c>
      <c r="O111" s="45" t="n">
        <v>0</v>
      </c>
      <c r="P111" t="inlineStr">
        <is>
          <t>CB UNO A UNO</t>
        </is>
      </c>
      <c r="Q111" t="inlineStr">
        <is>
          <t>CB UNO A UNO</t>
        </is>
      </c>
      <c r="R111" t="inlineStr">
        <is>
          <t>EJECUTADO</t>
        </is>
      </c>
      <c r="S111" t="inlineStr">
        <is>
          <t>EJECUTADO EXITOSO</t>
        </is>
      </c>
      <c r="T111" t="inlineStr">
        <is>
          <t>VISITA TECNICA</t>
        </is>
      </c>
      <c r="U111" t="inlineStr"/>
      <c r="V111" t="inlineStr">
        <is>
          <t>TIPO I</t>
        </is>
      </c>
      <c r="W111" t="inlineStr">
        <is>
          <t>TERRESTRE</t>
        </is>
      </c>
      <c r="X111" t="inlineStr">
        <is>
          <t>MOLINA CASTRO JAVIER ALBERTO</t>
        </is>
      </c>
      <c r="Y111" t="inlineStr">
        <is>
          <t>1</t>
        </is>
      </c>
      <c r="Z111" t="inlineStr">
        <is>
          <t>0</t>
        </is>
      </c>
      <c r="AA111" s="45" t="n">
        <v>96011</v>
      </c>
      <c r="AB111" t="inlineStr">
        <is>
          <t>0</t>
        </is>
      </c>
      <c r="AC111" s="45" t="n">
        <v>153426</v>
      </c>
      <c r="AD111" s="45" t="n">
        <v>0</v>
      </c>
    </row>
    <row r="112">
      <c r="A112" t="inlineStr">
        <is>
          <t>VILLAVICENCIO</t>
        </is>
      </c>
      <c r="B112" t="inlineStr">
        <is>
          <t>REMOTAS</t>
        </is>
      </c>
      <c r="C112" t="inlineStr">
        <is>
          <t>0004-0007</t>
        </is>
      </c>
      <c r="D112" t="inlineStr">
        <is>
          <t>50001</t>
        </is>
      </c>
      <c r="E112" t="inlineStr">
        <is>
          <t>2654296</t>
        </is>
      </c>
      <c r="F112" t="inlineStr">
        <is>
          <t>3007077045</t>
        </is>
      </c>
      <c r="G112" t="inlineStr">
        <is>
          <t>OC PUBLICIDAD</t>
        </is>
      </c>
      <c r="H112" t="inlineStr">
        <is>
          <t>META</t>
        </is>
      </c>
      <c r="I112" t="inlineStr">
        <is>
          <t>VILLAVICENCIO</t>
        </is>
      </c>
      <c r="J112" t="inlineStr">
        <is>
          <t>BARRIO RELIQUIA VILLAVICENCIO</t>
        </is>
      </c>
      <c r="K112" t="inlineStr">
        <is>
          <t>BANCOLOMBIA</t>
        </is>
      </c>
      <c r="L112" t="inlineStr">
        <is>
          <t>FO-25-1436378</t>
        </is>
      </c>
      <c r="M112" s="46" t="n">
        <v>45896.67013888889</v>
      </c>
      <c r="N112" s="46" t="n">
        <v>45897.52013888889</v>
      </c>
      <c r="O112" s="45" t="n">
        <v>0</v>
      </c>
      <c r="P112" t="inlineStr">
        <is>
          <t>CB UNO A UNO</t>
        </is>
      </c>
      <c r="Q112" t="inlineStr">
        <is>
          <t>CB UNO A UNO</t>
        </is>
      </c>
      <c r="R112" t="inlineStr">
        <is>
          <t>EJECUTADO</t>
        </is>
      </c>
      <c r="S112" t="inlineStr">
        <is>
          <t>EJECUTADO EXITOSO</t>
        </is>
      </c>
      <c r="T112" t="inlineStr">
        <is>
          <t>VISITA TECNICA</t>
        </is>
      </c>
      <c r="U112" t="inlineStr"/>
      <c r="V112" t="inlineStr">
        <is>
          <t>TIPO I</t>
        </is>
      </c>
      <c r="W112" t="inlineStr">
        <is>
          <t>TERRESTRE</t>
        </is>
      </c>
      <c r="X112" t="inlineStr">
        <is>
          <t>CASTRILLON URREA LONDIER LEANDRO</t>
        </is>
      </c>
      <c r="Y112" t="inlineStr">
        <is>
          <t>1</t>
        </is>
      </c>
      <c r="Z112" t="inlineStr">
        <is>
          <t>0</t>
        </is>
      </c>
      <c r="AA112" s="45" t="n">
        <v>96011</v>
      </c>
      <c r="AB112" t="inlineStr">
        <is>
          <t>0</t>
        </is>
      </c>
      <c r="AC112" s="45" t="n">
        <v>153426</v>
      </c>
      <c r="AD112" s="45" t="n">
        <v>0</v>
      </c>
    </row>
    <row r="113">
      <c r="A113" t="inlineStr">
        <is>
          <t>TUNJA</t>
        </is>
      </c>
      <c r="B113" t="inlineStr">
        <is>
          <t>SANTANDERES</t>
        </is>
      </c>
      <c r="C113" t="inlineStr">
        <is>
          <t>0004-0008</t>
        </is>
      </c>
      <c r="D113" t="inlineStr">
        <is>
          <t>15001</t>
        </is>
      </c>
      <c r="E113" t="inlineStr">
        <is>
          <t>2654966</t>
        </is>
      </c>
      <c r="F113" t="inlineStr">
        <is>
          <t>3007077601</t>
        </is>
      </c>
      <c r="G113" t="inlineStr">
        <is>
          <t>OC PUBLICIDAD</t>
        </is>
      </c>
      <c r="H113" t="inlineStr">
        <is>
          <t>BOYACA</t>
        </is>
      </c>
      <c r="I113" t="inlineStr">
        <is>
          <t>TUNJA</t>
        </is>
      </c>
      <c r="J113" t="inlineStr">
        <is>
          <t>BARRIO LA FUENTE TUNJA 3</t>
        </is>
      </c>
      <c r="K113" t="inlineStr">
        <is>
          <t>BANCOLOMBIA</t>
        </is>
      </c>
      <c r="L113" t="inlineStr">
        <is>
          <t>FO-25-1436374</t>
        </is>
      </c>
      <c r="M113" s="46" t="n">
        <v>45896.73402777778</v>
      </c>
      <c r="N113" s="46" t="n">
        <v>45899.38125</v>
      </c>
      <c r="O113" s="45" t="n">
        <v>0</v>
      </c>
      <c r="P113" t="inlineStr">
        <is>
          <t>UNO A UNO</t>
        </is>
      </c>
      <c r="Q113" t="inlineStr">
        <is>
          <t>UNO A UNO</t>
        </is>
      </c>
      <c r="R113" t="inlineStr">
        <is>
          <t>EJECUTADO</t>
        </is>
      </c>
      <c r="S113" t="inlineStr">
        <is>
          <t>CIERRE EXITOSO</t>
        </is>
      </c>
      <c r="T113" t="inlineStr">
        <is>
          <t>VISITA TECNICA</t>
        </is>
      </c>
      <c r="U113" t="inlineStr"/>
      <c r="V113" t="inlineStr">
        <is>
          <t>TIPO I</t>
        </is>
      </c>
      <c r="W113" t="inlineStr">
        <is>
          <t>TERRESTRE</t>
        </is>
      </c>
      <c r="X113" t="inlineStr">
        <is>
          <t>HERRERA GARZON JEYSON STEVENT</t>
        </is>
      </c>
      <c r="Y113" t="inlineStr">
        <is>
          <t>1</t>
        </is>
      </c>
      <c r="Z113" t="inlineStr">
        <is>
          <t>0</t>
        </is>
      </c>
      <c r="AA113" s="45" t="n">
        <v>96011</v>
      </c>
      <c r="AB113" t="inlineStr">
        <is>
          <t>0</t>
        </is>
      </c>
      <c r="AC113" s="45" t="n">
        <v>153426</v>
      </c>
      <c r="AD113" s="45" t="n">
        <v>0</v>
      </c>
    </row>
    <row r="114">
      <c r="A114" t="inlineStr">
        <is>
          <t>VILLAVICENCIO</t>
        </is>
      </c>
      <c r="B114" t="inlineStr">
        <is>
          <t>REMOTAS</t>
        </is>
      </c>
      <c r="C114" t="inlineStr">
        <is>
          <t>0004-0007</t>
        </is>
      </c>
      <c r="D114" t="inlineStr">
        <is>
          <t>50006</t>
        </is>
      </c>
      <c r="E114" t="inlineStr">
        <is>
          <t>2655009</t>
        </is>
      </c>
      <c r="F114" t="inlineStr">
        <is>
          <t>3007024607</t>
        </is>
      </c>
      <c r="G114" t="inlineStr">
        <is>
          <t>OC PUBLICIDAD</t>
        </is>
      </c>
      <c r="H114" t="inlineStr">
        <is>
          <t>META</t>
        </is>
      </c>
      <c r="I114" t="inlineStr">
        <is>
          <t>ACACIAS</t>
        </is>
      </c>
      <c r="J114" t="inlineStr">
        <is>
          <t>BARRIO PALERMO ACACIAS</t>
        </is>
      </c>
      <c r="K114" t="inlineStr">
        <is>
          <t>BANCOLOMBIA</t>
        </is>
      </c>
      <c r="L114" t="inlineStr">
        <is>
          <t>FO-25-1436375</t>
        </is>
      </c>
      <c r="M114" s="46" t="n">
        <v>45896.72361111111</v>
      </c>
      <c r="N114" s="46" t="n">
        <v>45897.6875</v>
      </c>
      <c r="O114" s="45" t="n">
        <v>0</v>
      </c>
      <c r="P114" t="inlineStr">
        <is>
          <t>CB UNO A UNO</t>
        </is>
      </c>
      <c r="Q114" t="inlineStr">
        <is>
          <t>CB UNO A UNO</t>
        </is>
      </c>
      <c r="R114" t="inlineStr">
        <is>
          <t>EJECUTADO</t>
        </is>
      </c>
      <c r="S114" t="inlineStr">
        <is>
          <t>EJECUTADO EXITOSO</t>
        </is>
      </c>
      <c r="T114" t="inlineStr">
        <is>
          <t>VISITA TECNICA</t>
        </is>
      </c>
      <c r="U114" t="inlineStr"/>
      <c r="V114" t="inlineStr">
        <is>
          <t>TIPO II</t>
        </is>
      </c>
      <c r="W114" t="inlineStr">
        <is>
          <t>TERRESTRE</t>
        </is>
      </c>
      <c r="X114" t="inlineStr">
        <is>
          <t>ROZO JIMENEZ EDGAR ARMANDO</t>
        </is>
      </c>
      <c r="Y114" t="inlineStr">
        <is>
          <t>1</t>
        </is>
      </c>
      <c r="Z114" t="inlineStr">
        <is>
          <t>0</t>
        </is>
      </c>
      <c r="AA114" s="45" t="n">
        <v>232859</v>
      </c>
      <c r="AB114" t="inlineStr">
        <is>
          <t>0</t>
        </is>
      </c>
      <c r="AC114" s="45" t="n">
        <v>343667</v>
      </c>
      <c r="AD114" s="45" t="n">
        <v>0</v>
      </c>
    </row>
    <row r="115">
      <c r="A115" t="inlineStr">
        <is>
          <t>IBAGUE</t>
        </is>
      </c>
      <c r="B115" t="inlineStr">
        <is>
          <t>REMOTAS</t>
        </is>
      </c>
      <c r="C115" t="inlineStr">
        <is>
          <t>0004-0007</t>
        </is>
      </c>
      <c r="D115" t="inlineStr">
        <is>
          <t>73001</t>
        </is>
      </c>
      <c r="E115" t="inlineStr">
        <is>
          <t>2655452</t>
        </is>
      </c>
      <c r="F115" t="inlineStr">
        <is>
          <t>3007053220</t>
        </is>
      </c>
      <c r="G115" t="inlineStr">
        <is>
          <t>OC PUBLICIDAD</t>
        </is>
      </c>
      <c r="H115" t="inlineStr">
        <is>
          <t>TOLIMA</t>
        </is>
      </c>
      <c r="I115" t="inlineStr">
        <is>
          <t>IBAGUE</t>
        </is>
      </c>
      <c r="J115" t="inlineStr">
        <is>
          <t>BARRIO LOS CIRUELOS IBAGUE</t>
        </is>
      </c>
      <c r="K115" t="inlineStr">
        <is>
          <t>BANCOLOMBIA</t>
        </is>
      </c>
      <c r="L115" t="inlineStr">
        <is>
          <t>FO-25-1436638</t>
        </is>
      </c>
      <c r="M115" s="46" t="n">
        <v>45897.33333333334</v>
      </c>
      <c r="N115" s="46" t="n">
        <v>45899.37916666667</v>
      </c>
      <c r="O115" s="45" t="n">
        <v>0</v>
      </c>
      <c r="P115" t="inlineStr">
        <is>
          <t>CB UNO A UNO</t>
        </is>
      </c>
      <c r="Q115" t="inlineStr">
        <is>
          <t>CB UNO A UNO</t>
        </is>
      </c>
      <c r="R115" t="inlineStr">
        <is>
          <t>EJECUTADO</t>
        </is>
      </c>
      <c r="S115" t="inlineStr">
        <is>
          <t>EJECUTADO EXITOSO</t>
        </is>
      </c>
      <c r="T115" t="inlineStr">
        <is>
          <t>VISITA TECNICA</t>
        </is>
      </c>
      <c r="U115" t="inlineStr"/>
      <c r="V115" t="inlineStr">
        <is>
          <t>TIPO I</t>
        </is>
      </c>
      <c r="W115" t="inlineStr">
        <is>
          <t>TERRESTRE</t>
        </is>
      </c>
      <c r="X115" t="inlineStr">
        <is>
          <t>VARGAS HERRERA JHON JAIRO</t>
        </is>
      </c>
      <c r="Y115" t="inlineStr">
        <is>
          <t>1</t>
        </is>
      </c>
      <c r="Z115" t="inlineStr">
        <is>
          <t>0</t>
        </is>
      </c>
      <c r="AA115" s="45" t="n">
        <v>96011</v>
      </c>
      <c r="AB115" t="inlineStr">
        <is>
          <t>0</t>
        </is>
      </c>
      <c r="AC115" s="45" t="n">
        <v>153426</v>
      </c>
      <c r="AD115" s="45" t="n">
        <v>0</v>
      </c>
    </row>
    <row r="116">
      <c r="A116" t="inlineStr">
        <is>
          <t>PASTO</t>
        </is>
      </c>
      <c r="B116" t="inlineStr">
        <is>
          <t>SUROCCIDENTE Y EJE CAFETERO</t>
        </is>
      </c>
      <c r="C116" t="inlineStr">
        <is>
          <t>0004-0003</t>
        </is>
      </c>
      <c r="D116" t="inlineStr">
        <is>
          <t>52001</t>
        </is>
      </c>
      <c r="E116" t="inlineStr">
        <is>
          <t>2657364</t>
        </is>
      </c>
      <c r="F116" t="inlineStr">
        <is>
          <t>3007076904</t>
        </is>
      </c>
      <c r="G116" t="inlineStr">
        <is>
          <t>OC PUBLICIDAD</t>
        </is>
      </c>
      <c r="H116" t="inlineStr">
        <is>
          <t>NARIÑO</t>
        </is>
      </c>
      <c r="I116" t="inlineStr">
        <is>
          <t>PASTO</t>
        </is>
      </c>
      <c r="J116" t="inlineStr">
        <is>
          <t>BARRIO AV PANAMERICANA PASTO 1</t>
        </is>
      </c>
      <c r="K116" t="inlineStr">
        <is>
          <t>BANCOLOMBIA</t>
        </is>
      </c>
      <c r="L116" t="inlineStr">
        <is>
          <t>FO-25-1437960</t>
        </is>
      </c>
      <c r="M116" s="46" t="n">
        <v>45897.41875</v>
      </c>
      <c r="N116" s="46" t="n">
        <v>45899.36597222222</v>
      </c>
      <c r="O116" s="45" t="n">
        <v>0</v>
      </c>
      <c r="P116" t="inlineStr">
        <is>
          <t>UNO A UNO</t>
        </is>
      </c>
      <c r="Q116" t="inlineStr">
        <is>
          <t>UNO A UNO</t>
        </is>
      </c>
      <c r="R116" t="inlineStr">
        <is>
          <t>EJECUTADO</t>
        </is>
      </c>
      <c r="S116" t="inlineStr">
        <is>
          <t>EJECUTADO EXITOSO</t>
        </is>
      </c>
      <c r="T116" t="inlineStr">
        <is>
          <t>VISITA TECNICA</t>
        </is>
      </c>
      <c r="U116" t="inlineStr"/>
      <c r="V116" t="inlineStr">
        <is>
          <t>TIPO I</t>
        </is>
      </c>
      <c r="W116" t="inlineStr">
        <is>
          <t>TERRESTRE</t>
        </is>
      </c>
      <c r="X116" t="inlineStr">
        <is>
          <t>REMICIO AMADO JOHN HEBER</t>
        </is>
      </c>
      <c r="Y116" t="inlineStr">
        <is>
          <t>1</t>
        </is>
      </c>
      <c r="Z116" t="inlineStr">
        <is>
          <t>0</t>
        </is>
      </c>
      <c r="AA116" s="45" t="n">
        <v>96011</v>
      </c>
      <c r="AB116" t="inlineStr">
        <is>
          <t>0</t>
        </is>
      </c>
      <c r="AC116" s="45" t="n">
        <v>153426</v>
      </c>
      <c r="AD116" s="45" t="n">
        <v>0</v>
      </c>
    </row>
    <row r="117">
      <c r="A117" t="inlineStr">
        <is>
          <t>BOGOTA</t>
        </is>
      </c>
      <c r="B117" t="inlineStr">
        <is>
          <t>CUNDINAMARCA</t>
        </is>
      </c>
      <c r="C117" t="inlineStr">
        <is>
          <t>0004-0004</t>
        </is>
      </c>
      <c r="D117" t="inlineStr">
        <is>
          <t>11001</t>
        </is>
      </c>
      <c r="E117" t="inlineStr">
        <is>
          <t>2659867</t>
        </is>
      </c>
      <c r="F117" t="inlineStr">
        <is>
          <t>3007068541</t>
        </is>
      </c>
      <c r="G117" t="inlineStr">
        <is>
          <t>OC PUBLICIDAD</t>
        </is>
      </c>
      <c r="H117" t="inlineStr">
        <is>
          <t>CUNDINAMARCA</t>
        </is>
      </c>
      <c r="I117" t="inlineStr">
        <is>
          <t>BOGOTA</t>
        </is>
      </c>
      <c r="J117" t="inlineStr">
        <is>
          <t>BOSA ESTACION 3</t>
        </is>
      </c>
      <c r="K117" t="inlineStr">
        <is>
          <t>BANCOLOMBIA</t>
        </is>
      </c>
      <c r="L117" t="inlineStr">
        <is>
          <t>FO-25-1440812</t>
        </is>
      </c>
      <c r="M117" s="46" t="n">
        <v>45897.61805555555</v>
      </c>
      <c r="N117" s="46" t="n">
        <v>45899.36319444444</v>
      </c>
      <c r="O117" s="45" t="n">
        <v>0</v>
      </c>
      <c r="P117" t="inlineStr">
        <is>
          <t>CB UNO A UNO</t>
        </is>
      </c>
      <c r="Q117" t="inlineStr">
        <is>
          <t>CB UNO A UNO</t>
        </is>
      </c>
      <c r="R117" t="inlineStr">
        <is>
          <t>EJECUTADO</t>
        </is>
      </c>
      <c r="S117" t="inlineStr">
        <is>
          <t>EJECUTADO EXITOSO</t>
        </is>
      </c>
      <c r="T117" t="inlineStr">
        <is>
          <t>VISITA TECNICA</t>
        </is>
      </c>
      <c r="U117" t="inlineStr"/>
      <c r="V117" t="inlineStr">
        <is>
          <t>TIPO I</t>
        </is>
      </c>
      <c r="W117" t="inlineStr">
        <is>
          <t>TERRESTRE</t>
        </is>
      </c>
      <c r="X117" t="inlineStr">
        <is>
          <t>BUSTOS MORA DIEGO MANUEL</t>
        </is>
      </c>
      <c r="Y117" t="inlineStr">
        <is>
          <t>1</t>
        </is>
      </c>
      <c r="Z117" t="inlineStr">
        <is>
          <t>0</t>
        </is>
      </c>
      <c r="AA117" s="45" t="n">
        <v>96011</v>
      </c>
      <c r="AB117" t="inlineStr">
        <is>
          <t>0</t>
        </is>
      </c>
      <c r="AC117" s="45" t="n">
        <v>153426</v>
      </c>
      <c r="AD117" s="45" t="n">
        <v>0</v>
      </c>
    </row>
    <row r="118">
      <c r="A118" t="inlineStr">
        <is>
          <t>IBAGUE</t>
        </is>
      </c>
      <c r="B118" t="inlineStr">
        <is>
          <t>REMOTAS</t>
        </is>
      </c>
      <c r="C118" t="inlineStr">
        <is>
          <t>0004-0007</t>
        </is>
      </c>
      <c r="D118" t="inlineStr">
        <is>
          <t>73001</t>
        </is>
      </c>
      <c r="E118" t="inlineStr">
        <is>
          <t>2660757</t>
        </is>
      </c>
      <c r="F118" t="inlineStr">
        <is>
          <t>3007050633</t>
        </is>
      </c>
      <c r="G118" t="inlineStr">
        <is>
          <t>OC PUBLICIDAD</t>
        </is>
      </c>
      <c r="H118" t="inlineStr">
        <is>
          <t>TOLIMA</t>
        </is>
      </c>
      <c r="I118" t="inlineStr">
        <is>
          <t>IBAGUE</t>
        </is>
      </c>
      <c r="J118" t="inlineStr">
        <is>
          <t>BARRIO CADIZ IBAGUE</t>
        </is>
      </c>
      <c r="K118" t="inlineStr">
        <is>
          <t>BANCOLOMBIA</t>
        </is>
      </c>
      <c r="L118" t="inlineStr">
        <is>
          <t>FO-25-1441061</t>
        </is>
      </c>
      <c r="M118" s="46" t="n">
        <v>45897.69166666667</v>
      </c>
      <c r="N118" s="46" t="n">
        <v>45899.59444444445</v>
      </c>
      <c r="O118" s="45" t="n">
        <v>0</v>
      </c>
      <c r="P118" t="inlineStr">
        <is>
          <t>UNO A UNO</t>
        </is>
      </c>
      <c r="Q118" t="inlineStr">
        <is>
          <t>CB UNO A UNO</t>
        </is>
      </c>
      <c r="R118" t="inlineStr">
        <is>
          <t>EJECUTADO / CANCELADO</t>
        </is>
      </c>
      <c r="S118" t="inlineStr">
        <is>
          <t>PETICIÓN USUARIO</t>
        </is>
      </c>
      <c r="T118" t="inlineStr">
        <is>
          <t>VISITA TECNICA</t>
        </is>
      </c>
      <c r="U118" t="inlineStr"/>
      <c r="V118" t="inlineStr">
        <is>
          <t>TIPO I</t>
        </is>
      </c>
      <c r="W118" t="inlineStr">
        <is>
          <t>TERRESTRE</t>
        </is>
      </c>
      <c r="X118" t="inlineStr">
        <is>
          <t>BARRAGAN TAFUR EDWIN ESTEBAN</t>
        </is>
      </c>
      <c r="Y118" t="inlineStr">
        <is>
          <t>1</t>
        </is>
      </c>
      <c r="Z118" t="inlineStr">
        <is>
          <t>0</t>
        </is>
      </c>
      <c r="AA118" s="45" t="n">
        <v>96011</v>
      </c>
      <c r="AB118" t="inlineStr">
        <is>
          <t>0</t>
        </is>
      </c>
      <c r="AC118" s="45" t="n">
        <v>210841</v>
      </c>
      <c r="AD118" s="45" t="n">
        <v>0</v>
      </c>
    </row>
    <row r="119">
      <c r="A119" t="inlineStr">
        <is>
          <t>PEREIRA</t>
        </is>
      </c>
      <c r="B119" t="inlineStr">
        <is>
          <t>SUROCCIDENTE Y EJE CAFETERO</t>
        </is>
      </c>
      <c r="C119" t="inlineStr">
        <is>
          <t>0004-0002</t>
        </is>
      </c>
      <c r="D119" t="inlineStr">
        <is>
          <t>66001</t>
        </is>
      </c>
      <c r="E119" t="inlineStr">
        <is>
          <t>2549869</t>
        </is>
      </c>
      <c r="F119" t="inlineStr">
        <is>
          <t>3007043574</t>
        </is>
      </c>
      <c r="G119" t="inlineStr">
        <is>
          <t>OC PUBLICIDAD</t>
        </is>
      </c>
      <c r="H119" t="inlineStr">
        <is>
          <t>RISARALDA</t>
        </is>
      </c>
      <c r="I119" t="inlineStr">
        <is>
          <t>PEREIRA</t>
        </is>
      </c>
      <c r="J119" t="inlineStr">
        <is>
          <t>BARRIO CUBA PEREIRA 3</t>
        </is>
      </c>
      <c r="K119" t="inlineStr">
        <is>
          <t>BANCOLOMBIA</t>
        </is>
      </c>
      <c r="L119" t="inlineStr">
        <is>
          <t>FO-25-1327268</t>
        </is>
      </c>
      <c r="M119" s="46" t="n">
        <v>45873.58878472223</v>
      </c>
      <c r="N119" s="46" t="n">
        <v>45875.55069444444</v>
      </c>
      <c r="O119" s="45" t="n">
        <v>0</v>
      </c>
      <c r="P119" t="inlineStr">
        <is>
          <t>CB UNO A UNO</t>
        </is>
      </c>
      <c r="Q119" t="inlineStr">
        <is>
          <t>CB UNO A UNO</t>
        </is>
      </c>
      <c r="R119" t="inlineStr">
        <is>
          <t>EJECUTADO</t>
        </is>
      </c>
      <c r="S119" t="inlineStr">
        <is>
          <t>EJECUTADO EXITOSO</t>
        </is>
      </c>
      <c r="T119" t="inlineStr">
        <is>
          <t>VISITA TECNICA</t>
        </is>
      </c>
      <c r="U119" t="inlineStr"/>
      <c r="V119" t="inlineStr">
        <is>
          <t>TIPO I</t>
        </is>
      </c>
      <c r="W119" t="inlineStr">
        <is>
          <t>TERRESTRE</t>
        </is>
      </c>
      <c r="X119" t="inlineStr">
        <is>
          <t>ARROYAVE CANO MANUEL GUILLERMO</t>
        </is>
      </c>
      <c r="Y119" t="inlineStr">
        <is>
          <t>1</t>
        </is>
      </c>
      <c r="Z119" t="inlineStr">
        <is>
          <t>0</t>
        </is>
      </c>
      <c r="AA119" s="45" t="n">
        <v>96011</v>
      </c>
      <c r="AB119" t="inlineStr">
        <is>
          <t>0</t>
        </is>
      </c>
      <c r="AC119" s="45" t="n">
        <v>96011</v>
      </c>
      <c r="AD119" s="45" t="n">
        <v>0</v>
      </c>
    </row>
    <row r="120">
      <c r="A120" t="inlineStr">
        <is>
          <t>BUCARAMANGA</t>
        </is>
      </c>
      <c r="B120" t="inlineStr">
        <is>
          <t>SANTANDERES</t>
        </is>
      </c>
      <c r="C120" t="inlineStr">
        <is>
          <t>0004-0008</t>
        </is>
      </c>
      <c r="D120" t="inlineStr">
        <is>
          <t>68276</t>
        </is>
      </c>
      <c r="E120" t="inlineStr">
        <is>
          <t>2618207</t>
        </is>
      </c>
      <c r="F120" t="inlineStr">
        <is>
          <t>3007072109</t>
        </is>
      </c>
      <c r="G120" t="inlineStr">
        <is>
          <t>OC PUBLICIDAD</t>
        </is>
      </c>
      <c r="H120" t="inlineStr">
        <is>
          <t>SANTANDER</t>
        </is>
      </c>
      <c r="I120" t="inlineStr">
        <is>
          <t>FLORIDABLANCA</t>
        </is>
      </c>
      <c r="J120" t="inlineStr">
        <is>
          <t>DISTRICOL FOTO ESTUDIO TRUMAN</t>
        </is>
      </c>
      <c r="K120" t="inlineStr">
        <is>
          <t>BANCOLOMBIA</t>
        </is>
      </c>
      <c r="L120" t="inlineStr">
        <is>
          <t>FO-25-1396582</t>
        </is>
      </c>
      <c r="M120" s="46" t="n">
        <v>45889.44722222222</v>
      </c>
      <c r="N120" s="46" t="n">
        <v>45889.68263888889</v>
      </c>
      <c r="O120" s="45" t="n">
        <v>0</v>
      </c>
      <c r="P120" t="inlineStr">
        <is>
          <t>AGREGADOR</t>
        </is>
      </c>
      <c r="Q120" t="inlineStr">
        <is>
          <t>DISTRICOL</t>
        </is>
      </c>
      <c r="R120" t="inlineStr">
        <is>
          <t>CANCELADO</t>
        </is>
      </c>
      <c r="S120" t="inlineStr">
        <is>
          <t>CANCELADO POR LA ENTIDAD</t>
        </is>
      </c>
      <c r="T120" t="inlineStr">
        <is>
          <t>SOPORTE TELEFONICO</t>
        </is>
      </c>
      <c r="U120" t="inlineStr"/>
      <c r="V120" t="inlineStr">
        <is>
          <t>TIPO I</t>
        </is>
      </c>
      <c r="W120" t="inlineStr">
        <is>
          <t>TERRESTRE</t>
        </is>
      </c>
      <c r="X120" t="inlineStr">
        <is>
          <t>SALAZAR AGUDELO JHONATAN STIVEN</t>
        </is>
      </c>
      <c r="Y120" t="inlineStr">
        <is>
          <t>1</t>
        </is>
      </c>
      <c r="Z120" t="inlineStr">
        <is>
          <t>0</t>
        </is>
      </c>
      <c r="AA120" s="45" t="n">
        <v>37905</v>
      </c>
      <c r="AB120" t="inlineStr">
        <is>
          <t>0</t>
        </is>
      </c>
      <c r="AC120" s="45" t="n">
        <v>37905</v>
      </c>
      <c r="AD120" s="45" t="n">
        <v>0</v>
      </c>
    </row>
  </sheetData>
  <autoFilter ref="A1:AD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2015-02-09T21:21:29Z</dcterms:created>
  <dcterms:modified xmlns:dcterms="http://purl.org/dc/terms/" xmlns:xsi="http://www.w3.org/2001/XMLSchema-instance" xsi:type="dcterms:W3CDTF">2025-09-01T11:16:13Z</dcterms:modified>
  <cp:lastModifiedBy>Luz Nedy Molina Torrado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0x01010053B65F2A1E6B224C9C5044DE90DA3D05</vt:lpwstr>
  </property>
  <property name="MediaServiceImageTags" fmtid="{D5CDD505-2E9C-101B-9397-08002B2CF9AE}" pid="3">
    <vt:lpwstr xmlns:vt="http://schemas.openxmlformats.org/officeDocument/2006/docPropsVTypes"/>
  </property>
</Properties>
</file>